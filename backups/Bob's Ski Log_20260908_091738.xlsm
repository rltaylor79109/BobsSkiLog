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oogle Drive Streaming\My Drive\My Documents\Recreation\Ski Snow\Logs\"/>
    </mc:Choice>
  </mc:AlternateContent>
  <xr:revisionPtr revIDLastSave="0" documentId="13_ncr:1_{40DCF703-400D-4E39-B594-0356A6692E65}" xr6:coauthVersionLast="47" xr6:coauthVersionMax="47" xr10:uidLastSave="{00000000-0000-0000-0000-000000000000}"/>
  <bookViews>
    <workbookView xWindow="-110" yWindow="-110" windowWidth="38620" windowHeight="21100" activeTab="6" xr2:uid="{B25ED3E0-8ADF-42B0-8B04-DDE64373ABCA}"/>
  </bookViews>
  <sheets>
    <sheet name="2022-2023" sheetId="3" r:id="rId1"/>
    <sheet name="2023-2024" sheetId="1" r:id="rId2"/>
    <sheet name="2024-2025" sheetId="4" r:id="rId3"/>
    <sheet name="2025-2026" sheetId="13" r:id="rId4"/>
    <sheet name="Resorts" sheetId="2" r:id="rId5"/>
    <sheet name="Skis" sheetId="12" r:id="rId6"/>
    <sheet name="Settings" sheetId="14" r:id="rId7"/>
  </sheets>
  <functionGroups builtInGroupCount="19"/>
  <definedNames>
    <definedName name="_xleta.COUNT" hidden="1" xlm="1">#NAME?</definedName>
    <definedName name="_xleta.COUNTA" hidden="1" xlm="1">#NAME?</definedName>
    <definedName name="_xleta.COUNTIF" hidden="1" xlm="1">#NAME?</definedName>
    <definedName name="_xleta.DAYS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OFFSET" hidden="1" xlm="1">#NAME?</definedName>
    <definedName name="_xleta.SUM" hidden="1" xlm="1">#NAME?</definedName>
    <definedName name="_xleta.T" hidden="1" xlm="1">#NAME?</definedName>
    <definedName name="_xleta.UNIQUE" hidden="1" xlm="1">#NAME?</definedName>
    <definedName name="_xleta.XLOOKUP" hidden="1" xlm="1">#NAME?</definedName>
    <definedName name="_xlop.cell_ref" hidden="1" xlm="1">#NAME?</definedName>
    <definedName name="_xlop.pColSki" hidden="1" xlm="1">#NAME?</definedName>
    <definedName name="_xlop.pColSkiName" hidden="1" xlm="1">#NAME?</definedName>
    <definedName name="_xlop.pCurrentSeasonWrkshtName" hidden="1" xlm="1">#NAME?</definedName>
    <definedName name="_xlop.pCurSeasonWrkshtName" hidden="1" xlm="1">#NAME?</definedName>
    <definedName name="_xlop.pCursSeasonWrkshtName" hidden="1" xlm="1">#NAME?</definedName>
    <definedName name="_xlop.pLastValue" hidden="1" xlm="1">#NAME?</definedName>
    <definedName name="_xlop.pResortName" hidden="1" xlm="1">#NAME?</definedName>
    <definedName name="_xlop.pSeasonName" hidden="1" xlm="1">#NAME?</definedName>
    <definedName name="_xlop.pSeasonWrkshtName" hidden="1" xlm="1">#NAME?</definedName>
    <definedName name="_xlop.pSkiAlphaAndMaintProcAbbrev" hidden="1" xlm="1">#NAME?</definedName>
    <definedName name="_xlop.pSkiMainProcAbbrev" hidden="1" xlm="1">#NAME?</definedName>
    <definedName name="_xlop.pSkiName" hidden="1" xlm="1">#NAME?</definedName>
    <definedName name="_xlop.pTableName" hidden="1" xlm="1">#NAME?</definedName>
    <definedName name="_xlop.pWrkshtname" hidden="1" xlm="1">#NAME?</definedName>
    <definedName name="_xlop.ref" hidden="1" xlm="1">#NAME?</definedName>
    <definedName name="_xlpm._" hidden="1" xlm="1">#NAME?</definedName>
    <definedName name="_xlpm.__cellColNum" hidden="1" xlm="1">#NAME?</definedName>
    <definedName name="_xlpm.__colDoneName" hidden="1" xlm="1">#NAME?</definedName>
    <definedName name="_xlpm.__colDoneRef" hidden="1" xlm="1">#NAME?</definedName>
    <definedName name="_xlpm.__colSkiAlphabeticIndicator" hidden="1" xlm="1">#NAME?</definedName>
    <definedName name="_xlpm.__colSkiName" hidden="1" xlm="1">#NAME?</definedName>
    <definedName name="_xlpm.__headerRowRef" hidden="1" xlm="1">#NAME?</definedName>
    <definedName name="_xlpm.__indexParam" hidden="1" xlm="1">#NAME?</definedName>
    <definedName name="_xlpm.__isDateEmpty" hidden="1" xlm="1">#NAME?</definedName>
    <definedName name="_xlpm.__param" hidden="1" xlm="1">#NAME?</definedName>
    <definedName name="_xlpm.__prelimValue" hidden="1" xlm="1">#NAME?</definedName>
    <definedName name="_xlpm.__result" hidden="1" xlm="1">#NAME?</definedName>
    <definedName name="_xlpm.__rowSkiName" hidden="1" xlm="1">#NAME?</definedName>
    <definedName name="_xlpm.__seasonName" hidden="1" xlm="1">#NAME?</definedName>
    <definedName name="_xlpm.__tableFirstColNum" hidden="1" xlm="1">#NAME?</definedName>
    <definedName name="_xlpm._c" hidden="1" xlm="1">#NAME?</definedName>
    <definedName name="_xlpm._c_result" hidden="1" xlm="1">#NAME?</definedName>
    <definedName name="_xlpm._ce_result" hidden="1" xlm="1">#NAME?</definedName>
    <definedName name="_xlpm._cel_result" hidden="1" xlm="1">#NAME?</definedName>
    <definedName name="_xlpm._cell_result" hidden="1" xlm="1">#NAME?</definedName>
    <definedName name="_xlpm._cellR_result" hidden="1" xlm="1">#NAME?</definedName>
    <definedName name="_xlpm._cellRo_result" hidden="1" xlm="1">#NAME?</definedName>
    <definedName name="_xlpm._cellRow" hidden="1" xlm="1">#NAME?</definedName>
    <definedName name="_xlpm._cellRow_result" hidden="1" xlm="1">#NAME?</definedName>
    <definedName name="_xlpm._co" hidden="1" xlm="1">#NAME?</definedName>
    <definedName name="_xlpm._col" hidden="1" xlm="1">#NAME?</definedName>
    <definedName name="_xlpm._colDaysName" hidden="1" xlm="1">#NAME?</definedName>
    <definedName name="_xlpm._colN" hidden="1" xlm="1">#NAME?</definedName>
    <definedName name="_xlpm._colNa" hidden="1" xlm="1">#NAME?</definedName>
    <definedName name="_xlpm._colNam" hidden="1" xlm="1">#NAME?</definedName>
    <definedName name="_xlpm._colName" hidden="1" xlm="1">#NAME?</definedName>
    <definedName name="_xlpm._colNum" hidden="1" xlm="1">#NAME?</definedName>
    <definedName name="_xlpm._colRef" hidden="1" xlm="1">#NAME?</definedName>
    <definedName name="_xlpm._colu" hidden="1" xlm="1">#NAME?</definedName>
    <definedName name="_xlpm._colum" hidden="1" xlm="1">#NAME?</definedName>
    <definedName name="_xlpm._column" hidden="1" xlm="1">#NAME?</definedName>
    <definedName name="_xlpm._comment" hidden="1" xlm="1">#NAME?</definedName>
    <definedName name="_xlpm._countCriteria" hidden="1" xlm="1">#NAME?</definedName>
    <definedName name="_xlpm._countRange" hidden="1" xlm="1">#NAME?</definedName>
    <definedName name="_xlpm._currentCell" hidden="1" xlm="1">#NAME?</definedName>
    <definedName name="_xlpm._currentCellInFirstRow" hidden="1" xlm="1">#NAME?</definedName>
    <definedName name="_xlpm._currentCellRow" hidden="1" xlm="1">#NAME?</definedName>
    <definedName name="_xlpm._currentEndYear" hidden="1" xlm="1">#NAME?</definedName>
    <definedName name="_xlpm._currentSeasonWrkshtName" hidden="1" xlm="1">#NAME?</definedName>
    <definedName name="_xlpm._currentStartYear" hidden="1" xlm="1">#NAME?</definedName>
    <definedName name="_xlpm._fullColumn" hidden="1" xlm="1">#NAME?</definedName>
    <definedName name="_xlpm._headersRef" hidden="1" xlm="1">#NAME?</definedName>
    <definedName name="_xlpm._indirectParam" hidden="1" xlm="1">#NAME?</definedName>
    <definedName name="_xlpm._indirectRef" hidden="1" xlm="1">#NAME?</definedName>
    <definedName name="_xlpm._indirectRefS" hidden="1" xlm="1">#NAME?</definedName>
    <definedName name="_xlpm._indirectRefSt" hidden="1" xlm="1">#NAME?</definedName>
    <definedName name="_xlpm._indirectRefStr" hidden="1" xlm="1">#NAME?</definedName>
    <definedName name="_xlpm._indirectRefStri" hidden="1" xlm="1">#NAME?</definedName>
    <definedName name="_xlpm._indirectRefStrin" hidden="1" xlm="1">#NAME?</definedName>
    <definedName name="_xlpm._indirectRefString" hidden="1" xlm="1">#NAME?</definedName>
    <definedName name="_xlpm._isCurrentCellInTableFirstRow" hidden="1" xlm="1">#NAME?</definedName>
    <definedName name="_xlpm._isDateEmpty" hidden="1" xlm="1">#NAME?</definedName>
    <definedName name="_xlpm._lastValue" hidden="1" xlm="1">#NAME?</definedName>
    <definedName name="_xlpm._newValue" hidden="1" xlm="1">#NAME?</definedName>
    <definedName name="_xlpm._prevEOStableName" hidden="1" xlm="1">#NAME?</definedName>
    <definedName name="_xlpm._previousDayCount" hidden="1" xlm="1">#NAME?</definedName>
    <definedName name="_xlpm._priorSeasonWrkshtName" hidden="1" xlm="1">#NAME?</definedName>
    <definedName name="_xlpm._priorYearEnd" hidden="1" xlm="1">#NAME?</definedName>
    <definedName name="_xlpm._priorYearStart" hidden="1" xlm="1">#NAME?</definedName>
    <definedName name="_xlpm._ref" hidden="1" xlm="1">#NAME?</definedName>
    <definedName name="_xlpm._result" hidden="1" xlm="1">#NAME?</definedName>
    <definedName name="_xlpm._rowNum" hidden="1" xlm="1">#NAME?</definedName>
    <definedName name="_xlpm._rowSki" hidden="1" xlm="1">#NAME?</definedName>
    <definedName name="_xlpm._seasonTableName" hidden="1" xlm="1">#NAME?</definedName>
    <definedName name="_xlpm._skiAlpha" hidden="1" xlm="1">#NAME?</definedName>
    <definedName name="_xlpm._skiAlphaAndMaintProcAbbrev" hidden="1" xlm="1">#NAME?</definedName>
    <definedName name="_xlpm._tableFirstRow" hidden="1" xlm="1">#NAME?</definedName>
    <definedName name="_xlpm._tableName" hidden="1" xlm="1">#NAME?</definedName>
    <definedName name="_xlpm._tableRef" hidden="1" xlm="1">#NAME?</definedName>
    <definedName name="_xlpm._wasMaintenanceDone" hidden="1" xlm="1">#NAME?</definedName>
    <definedName name="_xlpm._wrkshtName" hidden="1" xlm="1">#NAME?</definedName>
    <definedName name="_xlpm.abbrev_input" hidden="1" xlm="1">#NAME?</definedName>
    <definedName name="_xlpm.ableName" hidden="1" xlm="1">#NAME?</definedName>
    <definedName name="_xlpm.accum" hidden="1" xlm="1">#NAME?</definedName>
    <definedName name="_xlpm.aintenanceTypeAbrrev" hidden="1" xlm="1">#NAME?</definedName>
    <definedName name="_xlpm.ame" hidden="1" xlm="1">#NAME?</definedName>
    <definedName name="_xlpm.bleName" hidden="1" xlm="1">#NAME?</definedName>
    <definedName name="_xlpm.C" hidden="1" xlm="1">#NAME?</definedName>
    <definedName name="_xlpm.cell_ref" hidden="1" xlm="1">#NAME?</definedName>
    <definedName name="_xlpm.cellRef" hidden="1" xlm="1">#NAME?</definedName>
    <definedName name="_xlpm.Co" hidden="1" xlm="1">#NAME?</definedName>
    <definedName name="_xlpm.col" hidden="1" xlm="1">#NAME?</definedName>
    <definedName name="_xlpm.colN" hidden="1" xlm="1">#NAME?</definedName>
    <definedName name="_xlpm.colNa" hidden="1" xlm="1">#NAME?</definedName>
    <definedName name="_xlpm.colNam" hidden="1" xlm="1">#NAME?</definedName>
    <definedName name="_xlpm.colName" hidden="1" xlm="1">#NAME?</definedName>
    <definedName name="_xlpm.ColSki" hidden="1" xlm="1">#NAME?</definedName>
    <definedName name="_xlpm.currentCell" hidden="1" xlm="1">#NAME?</definedName>
    <definedName name="_xlpm.currentDate" hidden="1" xlm="1">#NAME?</definedName>
    <definedName name="_xlpm.currentResort" hidden="1" xlm="1">#NAME?</definedName>
    <definedName name="_xlpm.dateCol" hidden="1" xlm="1">#NAME?</definedName>
    <definedName name="_xlpm.DateRef" hidden="1" xlm="1">#NAME?</definedName>
    <definedName name="_xlpm.DoneRef" hidden="1" xlm="1">#NAME?</definedName>
    <definedName name="_xlpm.e" hidden="1" xlm="1">#NAME?</definedName>
    <definedName name="_xlpm.eName" hidden="1" xlm="1">#NAME?</definedName>
    <definedName name="_xlpm.end" hidden="1" xlm="1">#NAME?</definedName>
    <definedName name="_xlpm.eoskiLetter" hidden="1" xlm="1">#NAME?</definedName>
    <definedName name="_xlpm.eosskiLetter" hidden="1" xlm="1">#NAME?</definedName>
    <definedName name="_xlpm.eosTableName" hidden="1" xlm="1">#NAME?</definedName>
    <definedName name="_xlpm.eosTableNameskiLetter" hidden="1" xlm="1">#NAME?</definedName>
    <definedName name="_xlpm.eosTableNamskiLetter" hidden="1" xlm="1">#NAME?</definedName>
    <definedName name="_xlpm.eosTableNaskiLetter" hidden="1" xlm="1">#NAME?</definedName>
    <definedName name="_xlpm.eosTableNskiLetter" hidden="1" xlm="1">#NAME?</definedName>
    <definedName name="_xlpm.eosTableskiLetter" hidden="1" xlm="1">#NAME?</definedName>
    <definedName name="_xlpm.eosTablskiLetter" hidden="1" xlm="1">#NAME?</definedName>
    <definedName name="_xlpm.eosTabskiLetter" hidden="1" xlm="1">#NAME?</definedName>
    <definedName name="_xlpm.eosTaskiLetter" hidden="1" xlm="1">#NAME?</definedName>
    <definedName name="_xlpm.eosTskiLetter" hidden="1" xlm="1">#NAME?</definedName>
    <definedName name="_xlpm.eskiLetter" hidden="1" xlm="1">#NAME?</definedName>
    <definedName name="_xlpm.f" hidden="1" xlm="1">#NAME?</definedName>
    <definedName name="_xlpm.headersRef" hidden="1" xlm="1">#NAME?</definedName>
    <definedName name="_xlpm.I_countRange" hidden="1" xlm="1">#NAME?</definedName>
    <definedName name="_xlpm.In_countRange" hidden="1" xlm="1">#NAME?</definedName>
    <definedName name="_xlpm.Ind_countRange" hidden="1" xlm="1">#NAME?</definedName>
    <definedName name="_xlpm.Inde_countRange" hidden="1" xlm="1">#NAME?</definedName>
    <definedName name="_xlpm.Index_countRange" hidden="1" xlm="1">#NAME?</definedName>
    <definedName name="_xlpm.LastCount" hidden="1" xlm="1">#NAME?</definedName>
    <definedName name="_xlpm.lastValue" hidden="1" xlm="1">#NAME?</definedName>
    <definedName name="_xlpm.leName" hidden="1" xlm="1">#NAME?</definedName>
    <definedName name="_xlpm.maintenanceLetterAbbrev" hidden="1" xlm="1">#NAME?</definedName>
    <definedName name="_xlpm.maintenanceTypeAbrrev" hidden="1" xlm="1">#NAME?</definedName>
    <definedName name="_xlpm.me" hidden="1" xlm="1">#NAME?</definedName>
    <definedName name="_xlpm.Name" hidden="1" xlm="1">#NAME?</definedName>
    <definedName name="_xlpm.name_input" hidden="1" xlm="1">#NAME?</definedName>
    <definedName name="_xlpm.new" hidden="1" xlm="1">#NAME?</definedName>
    <definedName name="_xlpm.osTableName" hidden="1" xlm="1">#NAME?</definedName>
    <definedName name="_xlpm.pCellRef" hidden="1" xlm="1">#NAME?</definedName>
    <definedName name="_xlpm.pColSki" hidden="1" xlm="1">#NAME?</definedName>
    <definedName name="_xlpm.pColSkiName" hidden="1" xlm="1">#NAME?</definedName>
    <definedName name="_xlpm.pCurrentSeasonWrkshtName" hidden="1" xlm="1">#NAME?</definedName>
    <definedName name="_xlpm.pCurSeasonWrkshtName" hidden="1" xlm="1">#NAME?</definedName>
    <definedName name="_xlpm.pCursSeasonWrkshtName" hidden="1" xlm="1">#NAME?</definedName>
    <definedName name="_xlpm.pLastValue" hidden="1" xlm="1">#NAME?</definedName>
    <definedName name="_xlpm.pMainProcName" hidden="1" xlm="1">#NAME?</definedName>
    <definedName name="_xlpm.pMaintProcAbbrev" hidden="1" xlm="1">#NAME?</definedName>
    <definedName name="_xlpm.pMaintProcName" hidden="1" xlm="1">#NAME?</definedName>
    <definedName name="_xlpm.pResortName" hidden="1" xlm="1">#NAME?</definedName>
    <definedName name="_xlpm.previous_count" hidden="1" xlm="1">#NAME?</definedName>
    <definedName name="_xlpm.pSeasonName" hidden="1" xlm="1">#NAME?</definedName>
    <definedName name="_xlpm.pSeasonWrkshtName" hidden="1" xlm="1">#NAME?</definedName>
    <definedName name="_xlpm.pSkiAlphaAndMaintProcAbbrev" hidden="1" xlm="1">#NAME?</definedName>
    <definedName name="_xlpm.pSkiMainProcAbbrev" hidden="1" xlm="1">#NAME?</definedName>
    <definedName name="_xlpm.pSkiMaintProcAbbrev" hidden="1" xlm="1">#NAME?</definedName>
    <definedName name="_xlpm.pSkiName" hidden="1" xlm="1">#NAME?</definedName>
    <definedName name="_xlpm.pTableName" hidden="1" xlm="1">#NAME?</definedName>
    <definedName name="_xlpm.pWrkshtname" hidden="1" xlm="1">#NAME?</definedName>
    <definedName name="_xlpm.ref" hidden="1" xlm="1">#NAME?</definedName>
    <definedName name="_xlpm.reference" hidden="1" xlm="1">#NAME?</definedName>
    <definedName name="_xlpm.resortCol" hidden="1" xlm="1">#NAME?</definedName>
    <definedName name="_xlpm.resortName" hidden="1" xlm="1">#NAME?</definedName>
    <definedName name="_xlpm.row" hidden="1" xlm="1">#NAME?</definedName>
    <definedName name="_xlpm.RowSki" hidden="1" xlm="1">#NAME?</definedName>
    <definedName name="_xlpm.skiLetter" hidden="1" xlm="1">#NAME?</definedName>
    <definedName name="_xlpm.skiLetterAbbrev" hidden="1" xlm="1">#NAME?</definedName>
    <definedName name="_xlpm.skiLetterAndMaintenanceType" hidden="1" xlm="1">#NAME?</definedName>
    <definedName name="_xlpm.skiSeasonName" hidden="1" xlm="1">#NAME?</definedName>
    <definedName name="_xlpm.sTableName" hidden="1" xlm="1">#NAME?</definedName>
    <definedName name="_xlpm.start" hidden="1" xlm="1">#NAME?</definedName>
    <definedName name="_xlpm.t" hidden="1" xlm="1">#NAME?</definedName>
    <definedName name="_xlpm.ta" hidden="1" xlm="1">#NAME?</definedName>
    <definedName name="_xlpm.tab" hidden="1" xlm="1">#NAME?</definedName>
    <definedName name="_xlpm.tabl" hidden="1" xlm="1">#NAME?</definedName>
    <definedName name="_xlpm.table" hidden="1" xlm="1">#NAME?</definedName>
    <definedName name="_xlpm.table_ef" hidden="1" xlm="1">#NAME?</definedName>
    <definedName name="_xlpm.table_ref" hidden="1" xlm="1">#NAME?</definedName>
    <definedName name="_xlpm.tableef" hidden="1" xlm="1">#NAME?</definedName>
    <definedName name="_xlpm.tableN" hidden="1" xlm="1">#NAME?</definedName>
    <definedName name="_xlpm.tableNa" hidden="1" xlm="1">#NAME?</definedName>
    <definedName name="_xlpm.tableNam" hidden="1" xlm="1">#NAME?</definedName>
    <definedName name="_xlpm.tableName" hidden="1" xlm="1">#NAME?</definedName>
    <definedName name="_xlpm.tableNametable2025_2026" hidden="1" xlm="1">#NAME?</definedName>
    <definedName name="_xlpm.tableR" hidden="1" xlm="1">#NAME?</definedName>
    <definedName name="_xlpm.tableRe" hidden="1" xlm="1">#NAME?</definedName>
    <definedName name="_xlpm.tableRef" hidden="1" xlm="1">#NAME?</definedName>
    <definedName name="_xlpm.tbl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ysSkiedCountByResortAndSeason">_xlfn.LAMBDA(_xlop.pSkiName,_xlop.pSeasonName,_xlfn.LET(_xlpm._comment,N("function name: GetDaySkisUsedCountBySeason"),_xlpm._seasonTableName,_xlfn.LET(_xlpm.__seasonName,IF(_xlfn.ISOMITTED(_xlpm.pSeasonName),GetColumnName("tableSkis"),_xlpm.pSeasonName),_xlpm.__result,"table"&amp;SUBSTITUTE(_xlpm.__seasonName,"-","_"),_xlpm.__result),_xlpm._countRange,INDIRECT(_xlpm._seasonTableName&amp;"[Ski]"),_xlpm._countCriteria,_xlfn.LET(_xlpm.__result,IF(_xlfn.ISOMITTED(_xlpm.pSkiName),tableSkis[[#This Row],[Name]],_xlpm.pSkiName),_xlpm.__result),_xlpm._result,COUNTIF(_xlpm._countRange,_xlpm._countCriteria),_xlpm._result))</definedName>
    <definedName name="GetCaloriesAvgPerDay">_xlfn.LAMBDA(_xlop.pSeasonWrkshtName,   _xlfn.LET(     _xlpm._tableName, IF(_xlfn.ISOMITTED(_xlpm.pSeasonWrkshtName),GetSeasonTableName(),GetSeasonTableName(_xlpm.pSeasonWrkshtName)),     _xlpm._colName, "Calories",     _xlpm._indirectParam, _xlpm._tableName &amp; "[" &amp; _xlpm._colName &amp; "]",     _xlpm._colRef, INDIRECT(_xlpm._indirectParam),     _xlpm._result, IFERROR(SUM(_xlpm._colRef)/COUNTA(_xlpm._colRef),"-"),        _xlpm._result   ) )</definedName>
    <definedName name="GetCaloriesTotal">_xlfn.LAMBDA(_xlop.pSeasonWrkshtName,   _xlfn.LET(     _xlpm._tableName, IF(_xlfn.ISOMITTED(_xlpm.pSeasonWrkshtName),GetSeasonTableName(),GetSeasonTableName(_xlpm.pSeasonWrkshtName)),     _xlpm._colName, "Calories",     _xlpm._indirectParam, _xlpm._tableName &amp; "[" &amp; _xlpm._colName &amp; "]",     _xlpm._colRef, INDIRECT(_xlpm._indirectParam),     _xlpm._result, SUM(_xlpm._colRef),        _xlpm._result   ) )</definedName>
    <definedName name="GetColumnName">_xlfn.LAMBDA(_xlpm.tableName,    _xlfn.LET(     _xlpm._tableRef, INDIRECT(_xlpm.tableName),     _xlpm._headersRef, INDIRECT(_xlpm.tableName &amp; "[#Headers]"),      _xlpm._result, INDEX(_xlpm._headersRef,COLUMN()-MIN(COLUMN(_xlpm._tableRef))+1), _xlpm._result) )</definedName>
    <definedName name="GetDaySkisUsedCountBySeason">_xlfn.LAMBDA(_xlop.pSkiName,_xlop.pSeasonName,   _xlfn.LET(     _xlpm._comment,     N(       "function name: GetDaySkisUsedCountBySeason"     ),     _xlpm._seasonTableName,     _xlfn.LET(       _xlpm.__seasonName,       IF(         _xlfn.ISOMITTED(           _xlpm.pSeasonName         ),         GetColumnName(           "tableSkis"         ),         _xlpm.pSeasonName       ),       _xlpm.__result,       "table" &amp; SUBSTITUTE(         _xlpm.__seasonName,         "-",         "_"       ),       _xlpm.__result     ),     _xlpm._countRange,     INDIRECT(       _xlpm._seasonTableName &amp; "[Ski]"     ),     _xlpm._countCriteria,     _xlfn.LET(       _xlpm.__result,       IF(         _xlfn.ISOMITTED(           _xlpm.pSkiName         ),         tableSkis[[#This Row],[Name]],         _xlpm.pSkiName       ),       _xlpm.__result     ),     _xlpm._result,     COUNTIF(       _xlpm._countRange,       _xlpm._countCriteria     ),     _xlpm._result   ) )</definedName>
    <definedName name="GetDaysSinceSkiMaintProc">_xlfn.LAMBDA(_xlop.pLastValue,_xlop.pTableName,_xlop.pColSkiName,_xlop.pSkiAlphaAndMaintProcAbbrev,      _xlfn.LET(     _xlpm._wrkShtName, GetWorksheetName(),     _xlpm._tableName, IF(_xlfn.ISOMITTED(_xlpm.pTableName),       GetSeasonTableName(_xlpm._wrkShtName),       _xlpm.pTableName       ),     _xlpm._colDaysName, IF(_xlfn.ISOMITTED(_xlpm.pSkiAlphaAndMaintProcAbbrev),       GetColumnName(_xlpm._tableName),       _xlpm.pSkiAlphaAndMaintProcAbbrev &amp; "-Days"       ),     _xlpm._skiAlphaAndMaintProcAbbrev, SUBSTITUTE(_xlpm._colDaysName, "-Days", ""),     _xlpm._currentCell, _xlfn.LET(       _xlpm.__param, _xlpm._tableName &amp; "[@[" &amp; _xlpm._colDaysName &amp; "]]",       _xlpm.__result, INDIRECT(_xlpm.__param),              _xlpm.__result       ),     _xlpm._isCurrentCellInTableFirstRow, IsCellInTableFirstRow(       _xlpm._currentCell,       INDIRECT(_xlpm._tableName)       ),     _xlpm._lastValue, IF(_xlfn.ISOMITTED(_xlpm.pLastValue),         IF(_xlpm._isCurrentCellInTableFirstRow,           GetPrevEOSskiMaintProcDays(_xlpm._skiAlphaAndMaintProcAbbrev, _xlpm._wrkShtName),           OFFSET(_xlpm._currentCell, -1, 0)         ),         _xlpm.pLastValue       ),     _xlpm._wasMaintenanceDone, _xlfn.LET(         _xlpm.__colDoneName, SUBSTITUTE(_xlpm._colDaysName, "Days", "Done"),         _xlpm.__colDoneRef, INDIRECT(_xlpm._tableName &amp; "[" &amp; _xlpm.__colDoneName &amp; "]"),         _xlpm.__headerRowRef, INDIRECT(_xlpm._tableName &amp; "[#Headers]"),         _xlpm.__indexParam, ROW(_xlpm._currentCell) - ROW(_xlpm.__headerRowRef) - 1,         _xlpm.__result, IF(_xlpm._isCurrentCellInTableFirstRow,           FALSE,           INDEX(_xlpm.__colDoneRef, _xlpm.__indexParam)           ),                    _xlpm.__result       ),     _xlpm._newValue, _xlfn.LET(       _xlpm.__rowSkiName, INDIRECT(_xlpm._tableName &amp;  "[@Ski]"),       _xlpm.__colSkiAlphabeticIndicator, LEFT(_xlpm._colDaysName, 1),       _xlpm.__colSkiName, IF(_xlfn.ISOMITTED(_xlpm.pColSkiName),         GetSkiNameFromAlphabeticIndicator(_xlpm.__colSkiAlphabeticIndicator),         _xlpm.pColSkiName         ),       _xlpm.__isDateEmpty,  LEN(INDIRECT(_xlpm._tableName &amp; "[@Date]")) = 0,       _xlpm.__prelimValue, IF(_xlpm._wasMaintenanceDone, 0, _xlpm._lastValue),       _xlpm.__result, IF(OR(_xlpm.__isDateEmpty, _xlpm.__rowSkiName &lt;&gt; _xlpm.__colSkiName),         _xlpm.__prelimValue,         _xlpm.__prelimValue + 1       ),        _xlpm.__result     ),     _xlpm._result, _xlpm._newValue,          _xlpm._result   ) )</definedName>
    <definedName name="GetDaysSkiedAtResortRunningCount">_xlfn.LAMBDA(_xlpm.resortCol,_xlpm.currentResort,_xlpm.dateCol,_xlpm.currentDate,   _xlfn.LET(     _xlpm._result, COUNTIFS(       _xlpm.resortCol, _xlpm.currentResort,       _xlpm.dateCol, "&lt;=" &amp; _xlpm.currentDate       ),      _xlpm._result   ) )</definedName>
    <definedName name="GetEndOfSeasonMaintenanceDays" comment="Gets the end of season maintenance days value for the specified season, ski, and maintenance type. ">_xlfn.LAMBDA(_xlpm.eosTableName,_xlpm.skiLetter,_xlpm.maintenanceTypeAbrrev, _xlfn.LET(_xlpm._colName, _xlpm.skiLetter &amp; _xlpm.maintenanceTypeAbrrev &amp; "-Days", _xlpm._indirectRefStr, _xlpm.eosTableName &amp; "[" &amp; _xlpm._colName &amp; "]", _xlpm._result, INDEX(INDIRECT(_xlpm._indirectRefStr), 1), _xlpm._result))</definedName>
    <definedName name="GetMaintProcAbbrevFromName">_xlfn.LAMBDA(_xlpm.pMaintProcName,   _xlfn.LET(     _xlpm._result, _xlfn.SWITCH(_xlpm.pMaintProcName,       "Edges", "E",       "Full Tune", "FT",       "Wax", "W",       "Not Defined"       ),          _xlpm._result   ) )</definedName>
    <definedName name="GetMaintProcNameFromAbbrev">_xlfn.LAMBDA(_xlpm.pMaintProcAbbrev,   _xlfn.LET(     _xlpm._result, _xlfn.SWITCH(_xlpm.pMaintProcAbbrev,       "E", "Edges",       "FT", "Full Tune",       "W", "Wax",       "Not Defined"       ),          _xlpm._result   ) )</definedName>
    <definedName name="GetPrevEOSskiMaintProcDays">_xlfn.LAMBDA(_xlop.pSkiMainProcAbbrev,_xlop.pCurSeasonWrkshtName,      _xlfn.LET(     _xlpm._colName, IF(_xlfn.ISOMITTED(_xlpm.pSkiMainProcAbbrev),       GetColumnName(),            _xlpm.pSkiMainProcAbbrev &amp; "-Days"              ),     _xlpm._priorSeasonWrkshtName, IF(_xlfn.ISOMITTED(_xlpm.pCurSeasonWrkshtName),       GetPriorSeasonWrkshtName(),       GetPriorSeasonWrkshtName(_xlpm.pCurSeasonWrkshtName)       ),     _xlpm._prevEOStableName, "table" &amp; SUBSTITUTE(_xlpm._priorSeasonWrkshtName, "-", "_") &amp; "_EOS",     _xlpm._indirectParam, _xlpm._prevEOStableName &amp; "[" &amp; _xlpm._colName &amp; "]",     _xlpm._result, INDEX(INDIRECT(_xlpm._indirectParam), 1),      _xlpm._result   )  )</definedName>
    <definedName name="GetPriorSeasonWrkshtName">_xlfn.LAMBDA(_xlop.pCurrentSeasonWrkshtName,      _xlfn.LET(         _xlpm._currentSeasonWrkshtName, IF(           _xlfn.ISOMITTED(_xlpm.pCurrentSeasonWrkshtName),           GetWorksheetName(),           _xlpm.pCurrentSeasonWrkshtName           ),         _xlpm._currentStartYear, LEFT(_xlpm._currentSeasonWrkshtName, 4),         _xlpm._currentEndYear, RIGHT(_xlpm._currentSeasonWrkshtName, 4),         _xlpm._priorYearStart, _xlpm._currentStartYear - 1,         _xlpm._priorYearEnd, _xlpm._currentEndYear - 1,         _xlpm._result, _xlpm._priorYearStart &amp; "-" &amp; _xlpm._priorYearEnd,                  _xlpm._result     ) )</definedName>
    <definedName name="GetResortCount">_xlfn.LAMBDA(_xlop.pSeasonWrkshtName,_xlfn.LET(_xlpm._comment,N("function name: GetResortCount"),_xlpm._tableName,IF(_xlfn.ISOMITTED(_xlpm.pSeasonWrkshtName),GetSeasonTableName(),GetSeasonTableName(_xlpm.pSeasonWrkshtName)),_xlpm._colName,"Resort Name",_xlpm._indirectParam,_xlpm._tableName&amp;"["&amp;_xlpm._colName&amp;"]",_xlpm._colRef,INDIRECT(_xlpm._indirectParam),_xlpm._result,COUNTA(_xlfn.UNIQUE(_xlpm._colRef)),_xlpm._result))</definedName>
    <definedName name="GetResortCountBySeason">_xlfn.LAMBDA(_xlop.pResortName,_xlop.pSeasonName,    _xlfn.LET(     _xlpm._tableName, _xlfn.LET(       _xlpm.__seasonName, IF(_xlfn.ISOMITTED(_xlpm.pSeasonName),GetColumnName("tableResorts"),_xlpm.pSeasonName),       _xlpm.__result, "table" &amp; SUBSTITUTE(_xlpm.__seasonName, "-", "_"),              _xlpm.__result       ),     _xlpm._countRange, INDIRECT(_xlpm._tableName &amp; "[Resort Name]"),     _xlpm._countCriteria, _xlfn.LET(         _xlpm.__result, IF(_xlfn.ISOMITTED(_xlpm.pResortName),tableResorts[[#This Row],[Name]], _xlpm.pResortName),                  _xlpm.__result       ),     _xlpm._result, COUNTIF(_xlpm._countRange, _xlpm._countCriteria),      _xlpm._result   ) )</definedName>
    <definedName name="GetSeasonTableName">_xlfn.LAMBDA(_xlop.pWrkshtname,   _xlfn.LET(     _xlpm._wrkshtName, IF(_xlfn.ISOMITTED(_xlpm.pWrkshtname), GetWorksheetName(), _xlpm.pWrkshtname),         _xlpm._result, "table" &amp; SUBSTITUTE(_xlpm._wrkshtName, "-", "_"),          _xlpm._result       ) )</definedName>
    <definedName name="GetSkiAlphabeticIndicatorFromName">_xlfn.LAMBDA(_xlpm.name_input,      _xlfn.XLOOKUP(_xlpm.name_input, tableSkis[Name], tableSkis[Abbrev], "Not Found") )</definedName>
    <definedName name="GetSkiDaysCount">_xlfn.LAMBDA(_xlop.pSeasonWrkshtName,   _xlfn.LET(     _xlpm._tableName, IF(_xlfn.ISOMITTED(_xlpm.pSeasonWrkshtName),GetSeasonTableName(),GetSeasonTableName(_xlpm.pSeasonWrkshtName)),     _xlpm._colName, "Date",     _xlpm._indirectParam, _xlpm._tableName &amp; "[" &amp; _xlpm._colName &amp; "]",     _xlpm._colRef, INDIRECT(_xlpm._indirectParam),     _xlpm._result, COUNTA(_xlpm._colRef),        _xlpm._result   ) )</definedName>
    <definedName name="GetSkiNameFromAlphabeticIndicator">_xlfn.LAMBDA(_xlpm.abbrev_input,      _xlfn.XLOOKUP(_xlpm.abbrev_input, tableSkis[Abbrev], tableSkis[Name], "Not Found") )</definedName>
    <definedName name="GetSkiNameFromSkiAlphaAndMaintProcAbbrev">_xlfn.LAMBDA(_xlpm.pSkiMaintProcAbbrev,   _xlfn.LET(     _xlpm._skiAlpha, LEFT(_xlpm.pSkiMaintProcAbbrev, 1),     _xlpm._result, GetSkiNameFromAlphabeticIndicator(_xlpm._skiAlpha),          _xlpm._result   ) )</definedName>
    <definedName name="GetTableColLastValue" comment="Gets the last non-empty value of a column in a table, where the parameter, tableName, is a string representing the table's name and the parameter, colName, is a string representing the column's name.">_xlfn.LAMBDA(_xlpm.tableName,_xlpm.colName, _xlfn.LET(_xlpm._fullColumn, INDIRECT(_xlpm.tableName &amp; "[" &amp; _xlpm.colName &amp; "]"), _xlpm._result, _xlfn.TAKE(_xlfn._xlws.FILTER(_xlpm._fullColumn, _xlpm._fullColumn &lt;&gt; ""), -1), _xlpm._result ))</definedName>
    <definedName name="GetTableColumnNameByCellRef">_xlfn.LAMBDA(_xlpm.pCellRef,_xlpm.pTableName,   _xlfn.LET(     _xlpm._comment,     N(       "function name: GetTableColumnNameByCellRef"     ),     _xlpm._ref,     INDIRECT(       _xlpm.pTableName &amp; "[#Headers]"     ),     _xlpm._rowNum,     1,     _xlpm._colNum,     _xlfn.LET(       _xlpm.__cellColNum,       COLUMN(         _xlpm.pCellRef       ),       _xlpm.__tableFirstColNum,       _xlfn.SINGLE(COLUMN(         INDIRECT(           _xlpm.pTableName         )       )),       _xlpm.__result,       _xlpm.__cellColNum - _xlpm.__tableFirstColNum + 1,  _xlpm.__result ), _xlpm._result, INDEX(   _xlpm._ref,   _xlpm._rowNum,   _xlpm._colNum ),  _xlpm._result ) )</definedName>
    <definedName name="GetVerticalFeetAvgPerDay">_xlfn.LAMBDA(_xlop.pSeasonWrkshtName,   _xlfn.LET(     _xlpm._tableName, IF(_xlfn.ISOMITTED(_xlpm.pSeasonWrkshtName),GetSeasonTableName(),GetSeasonTableName(_xlpm.pSeasonWrkshtName)),     _xlpm._colName, "Vertical Feet",     _xlpm._indirectParam, _xlpm._tableName &amp; "[" &amp; _xlpm._colName &amp; "]",     _xlpm._colRef, INDIRECT(_xlpm._indirectParam),     _xlpm._result, IFERROR(SUM(_xlpm._colRef)/COUNTA(_xlpm._colRef),"-"),        _xlpm._result   ) )</definedName>
    <definedName name="GetVerticalFeetTotal">_xlfn.LAMBDA(_xlop.pSeasonWrkshtName,   _xlfn.LET(     _xlpm._tableName, IF(_xlfn.ISOMITTED(_xlpm.pSeasonWrkshtName),GetSeasonTableName(),GetSeasonTableName(_xlpm.pSeasonWrkshtName)),     _xlpm._colName, "Vertical Feet",     _xlpm._indirectParam, _xlpm._tableName &amp; "[" &amp; _xlpm._colName &amp; "]",     _xlpm._colRef, INDIRECT(_xlpm._indirectParam),     _xlpm._result, SUM(_xlpm._colRef),        _xlpm._result   ) )</definedName>
    <definedName name="GetWorksheetName">_xlfn.LAMBDA(_xlfn.TEXTAFTER(CELL("filename", !A1048576), "]"))</definedName>
    <definedName name="IsCellInTableFirstRow" comment="Determines if the specified cell is in the first row of a table. Parameter cellRef is the cell against which the test is run. Parameter tableRef is the table that is checked.">_xlfn.LAMBDA(_xlpm.cellRef,_xlpm.tableRef,_xlfn.LET(_xlpm._cellRow,ROW(_xlpm.cellRef),_xlpm._tableFirstRow,MIN(ROW(_xlpm.tableRef)),_xlpm._result, _xlpm._cellRow = _xlpm._tableFirstRow,_xlpm._result))</definedName>
    <definedName name="ResortNames">tableResorts[Name]</definedName>
    <definedName name="SkiNames">tableSkis[Name]</definedName>
    <definedName name="WorkbookTitle">Settings!$B$7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13" l="1" a="1"/>
  <c r="A19" i="13" s="1"/>
  <c r="A20" i="13" s="1" a="1"/>
  <c r="A20" i="13" s="1"/>
  <c r="A21" i="13" s="1" a="1"/>
  <c r="A21" i="13" s="1"/>
  <c r="A22" i="13" s="1" a="1"/>
  <c r="A22" i="13" s="1"/>
  <c r="A23" i="13" s="1" a="1"/>
  <c r="A23" i="13" s="1"/>
  <c r="A24" i="13" s="1" a="1"/>
  <c r="A24" i="13" s="1"/>
  <c r="A25" i="13" s="1" a="1"/>
  <c r="A25" i="13" s="1"/>
  <c r="A26" i="13" s="1" a="1"/>
  <c r="A26" i="13" s="1"/>
  <c r="A27" i="13" s="1" a="1"/>
  <c r="A27" i="13" s="1"/>
  <c r="A28" i="13" s="1" a="1"/>
  <c r="A28" i="13" s="1"/>
  <c r="A29" i="13" s="1" a="1"/>
  <c r="A29" i="13" s="1"/>
  <c r="A30" i="13" s="1" a="1"/>
  <c r="A30" i="13" s="1"/>
  <c r="A31" i="13" s="1" a="1"/>
  <c r="A31" i="13" s="1"/>
  <c r="A32" i="13" s="1" a="1"/>
  <c r="A32" i="13" s="1"/>
  <c r="A33" i="13" s="1" a="1"/>
  <c r="A33" i="13" s="1"/>
  <c r="A34" i="13" s="1" a="1"/>
  <c r="A34" i="13" s="1"/>
  <c r="A35" i="13" s="1" a="1"/>
  <c r="A35" i="13" s="1"/>
  <c r="A36" i="13" s="1" a="1"/>
  <c r="A36" i="13" s="1"/>
  <c r="A37" i="13" s="1" a="1"/>
  <c r="A37" i="13" s="1"/>
  <c r="A38" i="13" s="1" a="1"/>
  <c r="A38" i="13" s="1"/>
  <c r="A39" i="13" s="1" a="1"/>
  <c r="A39" i="13" s="1"/>
  <c r="A40" i="13" s="1" a="1"/>
  <c r="A40" i="13" s="1"/>
  <c r="A41" i="13" s="1" a="1"/>
  <c r="A41" i="13" s="1"/>
  <c r="A42" i="13" s="1" a="1"/>
  <c r="A42" i="13" s="1"/>
  <c r="A43" i="13" s="1" a="1"/>
  <c r="A43" i="13" s="1"/>
  <c r="A44" i="13" s="1" a="1"/>
  <c r="A44" i="13" s="1"/>
  <c r="A45" i="13" s="1" a="1"/>
  <c r="A45" i="13" s="1"/>
  <c r="A46" i="13" s="1" a="1"/>
  <c r="A46" i="13" s="1"/>
  <c r="A47" i="13" s="1" a="1"/>
  <c r="A47" i="13" s="1"/>
  <c r="A48" i="13" s="1" a="1"/>
  <c r="A48" i="13" s="1"/>
  <c r="A49" i="13" s="1" a="1"/>
  <c r="A49" i="13" s="1"/>
  <c r="A50" i="13" s="1" a="1"/>
  <c r="A50" i="13" s="1"/>
  <c r="A51" i="13" s="1" a="1"/>
  <c r="A51" i="13" s="1"/>
  <c r="A52" i="13" s="1" a="1"/>
  <c r="A52" i="13" s="1"/>
  <c r="A53" i="13" s="1" a="1"/>
  <c r="A53" i="13" s="1"/>
  <c r="A54" i="13" s="1" a="1"/>
  <c r="A54" i="13" s="1"/>
  <c r="A55" i="13" s="1" a="1"/>
  <c r="A55" i="13" s="1"/>
  <c r="A56" i="13" s="1" a="1"/>
  <c r="A56" i="13" s="1"/>
  <c r="A57" i="13" s="1" a="1"/>
  <c r="A57" i="13" s="1"/>
  <c r="A58" i="13" s="1" a="1"/>
  <c r="A58" i="13" s="1"/>
  <c r="A59" i="13" s="1" a="1"/>
  <c r="A59" i="13" s="1"/>
  <c r="A60" i="13" s="1" a="1"/>
  <c r="A60" i="13" s="1"/>
  <c r="A61" i="13" s="1" a="1"/>
  <c r="A61" i="13" s="1"/>
  <c r="A62" i="13" s="1" a="1"/>
  <c r="A62" i="13" s="1"/>
  <c r="A63" i="13" s="1" a="1"/>
  <c r="A63" i="13" s="1"/>
  <c r="A64" i="13" s="1" a="1"/>
  <c r="A64" i="13" s="1"/>
  <c r="A65" i="13" s="1" a="1"/>
  <c r="A65" i="13" s="1"/>
  <c r="A66" i="13" s="1" a="1"/>
  <c r="A66" i="13" s="1"/>
  <c r="A67" i="13" s="1" a="1"/>
  <c r="A67" i="13" s="1"/>
  <c r="A68" i="13" s="1" a="1"/>
  <c r="A68" i="13" s="1"/>
  <c r="A69" i="13" s="1" a="1"/>
  <c r="A69" i="13" s="1"/>
  <c r="A70" i="13" s="1" a="1"/>
  <c r="A70" i="13" s="1"/>
  <c r="A71" i="13" s="1" a="1"/>
  <c r="A71" i="13" s="1"/>
  <c r="A72" i="13" s="1" a="1"/>
  <c r="A72" i="13" s="1"/>
  <c r="D20" i="13" a="1"/>
  <c r="D20" i="13" s="1"/>
  <c r="D21" i="13" a="1"/>
  <c r="D21" i="13" s="1"/>
  <c r="D22" i="13" a="1"/>
  <c r="D22" i="13" s="1"/>
  <c r="D23" i="13" a="1"/>
  <c r="D23" i="13" s="1"/>
  <c r="D24" i="13" a="1"/>
  <c r="D24" i="13" s="1"/>
  <c r="D25" i="13" a="1"/>
  <c r="D25" i="13" s="1"/>
  <c r="D26" i="13" a="1"/>
  <c r="D26" i="13" s="1"/>
  <c r="D27" i="13" a="1"/>
  <c r="D27" i="13" s="1"/>
  <c r="D28" i="13" a="1"/>
  <c r="D28" i="13" s="1"/>
  <c r="D29" i="13" a="1"/>
  <c r="D29" i="13" s="1"/>
  <c r="D30" i="13" a="1"/>
  <c r="D30" i="13" s="1"/>
  <c r="D31" i="13" a="1"/>
  <c r="D31" i="13" s="1"/>
  <c r="D32" i="13" a="1"/>
  <c r="D32" i="13" s="1"/>
  <c r="D33" i="13" a="1"/>
  <c r="D33" i="13" s="1"/>
  <c r="D34" i="13" a="1"/>
  <c r="D34" i="13" s="1"/>
  <c r="D35" i="13" a="1"/>
  <c r="D35" i="13" s="1"/>
  <c r="D36" i="13" a="1"/>
  <c r="D36" i="13" s="1"/>
  <c r="D37" i="13" a="1"/>
  <c r="D37" i="13" s="1"/>
  <c r="D38" i="13" a="1"/>
  <c r="D38" i="13" s="1"/>
  <c r="D39" i="13" a="1"/>
  <c r="D39" i="13" s="1"/>
  <c r="D40" i="13" a="1"/>
  <c r="D40" i="13" s="1"/>
  <c r="D41" i="13" a="1"/>
  <c r="D41" i="13" s="1"/>
  <c r="D42" i="13" a="1"/>
  <c r="D42" i="13" s="1"/>
  <c r="D43" i="13" a="1"/>
  <c r="D43" i="13"/>
  <c r="D44" i="13" a="1"/>
  <c r="D44" i="13" s="1"/>
  <c r="D45" i="13" a="1"/>
  <c r="D45" i="13" s="1"/>
  <c r="D46" i="13" a="1"/>
  <c r="D46" i="13" s="1"/>
  <c r="D47" i="13" a="1"/>
  <c r="D47" i="13" s="1"/>
  <c r="D48" i="13" a="1"/>
  <c r="D48" i="13" s="1"/>
  <c r="D49" i="13" a="1"/>
  <c r="D49" i="13" s="1"/>
  <c r="D50" i="13" a="1"/>
  <c r="D50" i="13" s="1"/>
  <c r="D51" i="13" a="1"/>
  <c r="D51" i="13" s="1"/>
  <c r="D52" i="13" a="1"/>
  <c r="D52" i="13" s="1"/>
  <c r="D53" i="13" a="1"/>
  <c r="D53" i="13" s="1"/>
  <c r="D54" i="13" a="1"/>
  <c r="D54" i="13" s="1"/>
  <c r="D55" i="13" a="1"/>
  <c r="D55" i="13" s="1"/>
  <c r="D56" i="13" a="1"/>
  <c r="D56" i="13" s="1"/>
  <c r="D57" i="13" a="1"/>
  <c r="D57" i="13" s="1"/>
  <c r="D58" i="13" a="1"/>
  <c r="D58" i="13" s="1"/>
  <c r="D59" i="13" a="1"/>
  <c r="D59" i="13" s="1"/>
  <c r="D60" i="13" a="1"/>
  <c r="D60" i="13" s="1"/>
  <c r="D61" i="13" a="1"/>
  <c r="D61" i="13" s="1"/>
  <c r="D62" i="13" a="1"/>
  <c r="D62" i="13" s="1"/>
  <c r="D63" i="13" a="1"/>
  <c r="D63" i="13" s="1"/>
  <c r="D64" i="13" a="1"/>
  <c r="D64" i="13" s="1"/>
  <c r="D65" i="13" a="1"/>
  <c r="D65" i="13" s="1"/>
  <c r="D66" i="13" a="1"/>
  <c r="D66" i="13" s="1"/>
  <c r="D67" i="13" a="1"/>
  <c r="D67" i="13" s="1"/>
  <c r="D68" i="13" a="1"/>
  <c r="D68" i="13" s="1"/>
  <c r="D69" i="13" a="1"/>
  <c r="D69" i="13" s="1"/>
  <c r="D70" i="13" a="1"/>
  <c r="D70" i="13" s="1"/>
  <c r="D71" i="13" a="1"/>
  <c r="D71" i="13" s="1"/>
  <c r="D72" i="13" a="1"/>
  <c r="D72" i="13" s="1"/>
  <c r="F68" i="13"/>
  <c r="B17" i="2"/>
  <c r="C17" i="2"/>
  <c r="D17" i="2"/>
  <c r="J13" i="13" a="1"/>
  <c r="J13" i="13" s="1"/>
  <c r="X13" i="13" a="1"/>
  <c r="X13" i="13" s="1"/>
  <c r="V13" i="13" a="1"/>
  <c r="V13" i="13" s="1"/>
  <c r="T13" i="13" a="1"/>
  <c r="T13" i="13" s="1"/>
  <c r="R13" i="13" a="1"/>
  <c r="R13" i="13" s="1"/>
  <c r="P13" i="13" a="1"/>
  <c r="P13" i="13" s="1"/>
  <c r="N13" i="13" a="1"/>
  <c r="N13" i="13" s="1"/>
  <c r="L13" i="13" a="1"/>
  <c r="L13" i="13" s="1"/>
  <c r="H13" i="13" a="1"/>
  <c r="H13" i="13" s="1"/>
  <c r="D19" i="13" a="1"/>
  <c r="D19" i="13" s="1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6" i="2"/>
  <c r="D14" i="2"/>
  <c r="D15" i="2"/>
  <c r="D13" i="2"/>
  <c r="D12" i="2"/>
  <c r="D11" i="2"/>
  <c r="D9" i="2"/>
  <c r="D10" i="2"/>
  <c r="D8" i="2"/>
  <c r="D7" i="2"/>
  <c r="D6" i="2"/>
  <c r="D5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6" i="2"/>
  <c r="C14" i="2"/>
  <c r="C15" i="2"/>
  <c r="C13" i="2"/>
  <c r="C12" i="2"/>
  <c r="C11" i="2"/>
  <c r="C9" i="2"/>
  <c r="C10" i="2"/>
  <c r="C8" i="2"/>
  <c r="C7" i="2"/>
  <c r="C6" i="2"/>
  <c r="C5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6" i="2"/>
  <c r="B14" i="2"/>
  <c r="B15" i="2"/>
  <c r="B13" i="2"/>
  <c r="B12" i="2"/>
  <c r="B11" i="2"/>
  <c r="B9" i="2"/>
  <c r="B10" i="2"/>
  <c r="B8" i="2"/>
  <c r="B7" i="2"/>
  <c r="B6" i="2"/>
  <c r="B5" i="2"/>
  <c r="T11" i="13" a="1"/>
  <c r="T11" i="13" s="1"/>
  <c r="N11" i="13" a="1"/>
  <c r="N11" i="13" s="1"/>
  <c r="H11" i="13" a="1"/>
  <c r="H11" i="13" s="1"/>
  <c r="V21" i="13" a="1"/>
  <c r="V24" i="13" a="1"/>
  <c r="T21" i="13" a="1"/>
  <c r="P64" i="13" a="1"/>
  <c r="P21" i="13" a="1"/>
  <c r="P38" i="13" a="1"/>
  <c r="P54" i="13" a="1"/>
  <c r="P48" i="13" a="1"/>
  <c r="P33" i="13" a="1"/>
  <c r="P58" i="13" a="1"/>
  <c r="P68" i="13" a="1"/>
  <c r="P44" i="13" a="1"/>
  <c r="N44" i="13" a="1"/>
  <c r="N71" i="13" a="1"/>
  <c r="N21" i="13" a="1"/>
  <c r="N38" i="13" a="1"/>
  <c r="N54" i="13" a="1"/>
  <c r="N64" i="13" a="1"/>
  <c r="N48" i="13" a="1"/>
  <c r="N58" i="13" a="1"/>
  <c r="N68" i="13" a="1"/>
  <c r="J29" i="13" a="1"/>
  <c r="J21" i="13" a="1"/>
  <c r="J38" i="13" a="1"/>
  <c r="J23" i="13" a="1"/>
  <c r="J58" i="13" a="1"/>
  <c r="H20" i="13" a="1"/>
  <c r="H29" i="13" a="1"/>
  <c r="H21" i="13" a="1"/>
  <c r="H38" i="13" a="1"/>
  <c r="H48" i="13" a="1"/>
  <c r="H58" i="13" a="1"/>
  <c r="H17" i="2" a="1"/>
  <c r="H14" i="2" a="1"/>
  <c r="E5" i="12" a="1"/>
  <c r="H25" i="2" a="1"/>
  <c r="G26" i="2" a="1"/>
  <c r="E8" i="2" a="1"/>
  <c r="G23" i="2" a="1"/>
  <c r="G8" i="2" a="1"/>
  <c r="F20" i="2" a="1"/>
  <c r="F4" i="12" a="1"/>
  <c r="G11" i="2" a="1"/>
  <c r="G19" i="2" a="1"/>
  <c r="H22" i="2" a="1"/>
  <c r="F22" i="2" a="1"/>
  <c r="G20" i="2" a="1"/>
  <c r="E15" i="2" a="1"/>
  <c r="F6" i="2" a="1"/>
  <c r="E6" i="2" a="1"/>
  <c r="E7" i="2" a="1"/>
  <c r="D4" i="12" a="1"/>
  <c r="H21" i="2" a="1"/>
  <c r="G5" i="2" a="1"/>
  <c r="E30" i="2" a="1"/>
  <c r="E26" i="2" a="1"/>
  <c r="G30" i="2" a="1"/>
  <c r="H28" i="2" a="1"/>
  <c r="H16" i="2" a="1"/>
  <c r="E19" i="2" a="1"/>
  <c r="E24" i="2" a="1"/>
  <c r="H27" i="2" a="1"/>
  <c r="H5" i="2" a="1"/>
  <c r="H23" i="2" a="1"/>
  <c r="H6" i="2" a="1"/>
  <c r="H11" i="2" a="1"/>
  <c r="F5" i="12" a="1"/>
  <c r="G10" i="2" a="1"/>
  <c r="E12" i="2" a="1"/>
  <c r="F13" i="2" a="1"/>
  <c r="F21" i="2" a="1"/>
  <c r="E29" i="2" a="1"/>
  <c r="E23" i="2" a="1"/>
  <c r="G22" i="2" a="1"/>
  <c r="H4" i="12" a="1"/>
  <c r="H8" i="2" a="1"/>
  <c r="G25" i="2" a="1"/>
  <c r="F19" i="2" a="1"/>
  <c r="E9" i="2" a="1"/>
  <c r="G27" i="2" a="1"/>
  <c r="H19" i="2" a="1"/>
  <c r="E13" i="2" a="1"/>
  <c r="H30" i="2" a="1"/>
  <c r="G16" i="2" a="1"/>
  <c r="H9" i="2" a="1"/>
  <c r="H7" i="2" a="1"/>
  <c r="G24" i="2" a="1"/>
  <c r="F16" i="2" a="1"/>
  <c r="E18" i="2" a="1"/>
  <c r="E20" i="2" a="1"/>
  <c r="G12" i="2" a="1"/>
  <c r="F23" i="2" a="1"/>
  <c r="H15" i="2" a="1"/>
  <c r="E6" i="12" a="1"/>
  <c r="F24" i="2" a="1"/>
  <c r="E22" i="2" a="1"/>
  <c r="F26" i="2" a="1"/>
  <c r="G6" i="2" a="1"/>
  <c r="F30" i="2" a="1"/>
  <c r="H24" i="2" a="1"/>
  <c r="G14" i="2" a="1"/>
  <c r="G17" i="2" a="1"/>
  <c r="F7" i="2" a="1"/>
  <c r="G5" i="12" a="1"/>
  <c r="E28" i="2" a="1"/>
  <c r="G7" i="2" a="1"/>
  <c r="D5" i="12" a="1"/>
  <c r="E17" i="2" a="1"/>
  <c r="E11" i="2" a="1"/>
  <c r="H13" i="2" a="1"/>
  <c r="E27" i="2" a="1"/>
  <c r="F9" i="2" a="1"/>
  <c r="F15" i="2" a="1"/>
  <c r="E5" i="2" a="1"/>
  <c r="H12" i="2" a="1"/>
  <c r="H18" i="2" a="1"/>
  <c r="H26" i="2" a="1"/>
  <c r="F8" i="2" a="1"/>
  <c r="F27" i="2" a="1"/>
  <c r="H10" i="2" a="1"/>
  <c r="G6" i="12" a="1"/>
  <c r="F18" i="2" a="1"/>
  <c r="F12" i="2" a="1"/>
  <c r="F5" i="2" a="1"/>
  <c r="G9" i="2" a="1"/>
  <c r="F17" i="2" a="1"/>
  <c r="F28" i="2" a="1"/>
  <c r="G15" i="2" a="1"/>
  <c r="E16" i="2" a="1"/>
  <c r="G28" i="2" a="1"/>
  <c r="H20" i="2" a="1"/>
  <c r="E14" i="2" a="1"/>
  <c r="G18" i="2" a="1"/>
  <c r="G13" i="2" a="1"/>
  <c r="F14" i="2" a="1"/>
  <c r="E4" i="12" a="1"/>
  <c r="G29" i="2" a="1"/>
  <c r="E25" i="2" a="1"/>
  <c r="D6" i="12" a="1"/>
  <c r="F6" i="12" a="1"/>
  <c r="G21" i="2" a="1"/>
  <c r="H29" i="2" a="1"/>
  <c r="F25" i="2" a="1"/>
  <c r="F29" i="2" a="1"/>
  <c r="E10" i="2" a="1"/>
  <c r="E21" i="2" a="1"/>
  <c r="F10" i="2" a="1"/>
  <c r="H6" i="12" a="1"/>
  <c r="H5" i="12" a="1"/>
  <c r="G4" i="12" a="1"/>
  <c r="F11" i="2" a="1"/>
  <c r="V24" i="13" l="1"/>
  <c r="V21" i="13"/>
  <c r="T21" i="13"/>
  <c r="P44" i="13"/>
  <c r="P68" i="13"/>
  <c r="P58" i="13"/>
  <c r="P33" i="13"/>
  <c r="P48" i="13"/>
  <c r="P54" i="13"/>
  <c r="P38" i="13"/>
  <c r="P21" i="13"/>
  <c r="P64" i="13"/>
  <c r="N68" i="13"/>
  <c r="N58" i="13"/>
  <c r="N48" i="13"/>
  <c r="N64" i="13"/>
  <c r="N54" i="13"/>
  <c r="N38" i="13"/>
  <c r="N21" i="13"/>
  <c r="N71" i="13"/>
  <c r="N44" i="13"/>
  <c r="J58" i="13"/>
  <c r="J23" i="13"/>
  <c r="J38" i="13"/>
  <c r="J21" i="13"/>
  <c r="J29" i="13"/>
  <c r="H58" i="13"/>
  <c r="H48" i="13"/>
  <c r="H38" i="13"/>
  <c r="H21" i="13"/>
  <c r="H29" i="13"/>
  <c r="H20" i="13"/>
  <c r="E4" i="12"/>
  <c r="G5" i="12"/>
  <c r="H6" i="12"/>
  <c r="G4" i="12"/>
  <c r="F5" i="12"/>
  <c r="F6" i="12"/>
  <c r="F4" i="12"/>
  <c r="E6" i="12"/>
  <c r="E5" i="12"/>
  <c r="H5" i="12"/>
  <c r="H4" i="12"/>
  <c r="G6" i="12"/>
  <c r="D5" i="12"/>
  <c r="D6" i="12"/>
  <c r="D4" i="12"/>
  <c r="G28" i="2"/>
  <c r="G20" i="2"/>
  <c r="G12" i="2"/>
  <c r="G11" i="2"/>
  <c r="H9" i="2"/>
  <c r="G19" i="2"/>
  <c r="G10" i="2"/>
  <c r="H25" i="2"/>
  <c r="G26" i="2"/>
  <c r="G18" i="2"/>
  <c r="H18" i="2"/>
  <c r="H7" i="2"/>
  <c r="G17" i="2"/>
  <c r="G25" i="2"/>
  <c r="G9" i="2"/>
  <c r="H10" i="2"/>
  <c r="H16" i="2"/>
  <c r="H30" i="2"/>
  <c r="H6" i="2"/>
  <c r="G16" i="2"/>
  <c r="H27" i="2"/>
  <c r="G27" i="2"/>
  <c r="H15" i="2"/>
  <c r="H22" i="2"/>
  <c r="H14" i="2"/>
  <c r="G24" i="2"/>
  <c r="G8" i="2"/>
  <c r="H17" i="2"/>
  <c r="H23" i="2"/>
  <c r="H21" i="2"/>
  <c r="H13" i="2"/>
  <c r="G15" i="2"/>
  <c r="H5" i="2"/>
  <c r="G23" i="2"/>
  <c r="G7" i="2"/>
  <c r="H26" i="2"/>
  <c r="H24" i="2"/>
  <c r="H29" i="2"/>
  <c r="H20" i="2"/>
  <c r="G30" i="2"/>
  <c r="G22" i="2"/>
  <c r="G6" i="2"/>
  <c r="H8" i="2"/>
  <c r="H28" i="2"/>
  <c r="H12" i="2"/>
  <c r="G14" i="2"/>
  <c r="H19" i="2"/>
  <c r="H11" i="2"/>
  <c r="G29" i="2"/>
  <c r="G21" i="2"/>
  <c r="G13" i="2"/>
  <c r="G5" i="2"/>
  <c r="E28" i="2"/>
  <c r="E20" i="2"/>
  <c r="E12" i="2"/>
  <c r="E29" i="2"/>
  <c r="E27" i="2"/>
  <c r="E11" i="2"/>
  <c r="E21" i="2"/>
  <c r="E19" i="2"/>
  <c r="E26" i="2"/>
  <c r="E10" i="2"/>
  <c r="E18" i="2"/>
  <c r="E25" i="2"/>
  <c r="E9" i="2"/>
  <c r="E17" i="2"/>
  <c r="E24" i="2"/>
  <c r="E8" i="2"/>
  <c r="E16" i="2"/>
  <c r="E23" i="2"/>
  <c r="E7" i="2"/>
  <c r="E30" i="2"/>
  <c r="E15" i="2"/>
  <c r="E22" i="2"/>
  <c r="E6" i="2"/>
  <c r="E14" i="2"/>
  <c r="E13" i="2"/>
  <c r="E5" i="2"/>
  <c r="F12" i="2"/>
  <c r="F21" i="2"/>
  <c r="F27" i="2"/>
  <c r="F11" i="2"/>
  <c r="F19" i="2"/>
  <c r="F10" i="2"/>
  <c r="F28" i="2"/>
  <c r="F26" i="2"/>
  <c r="F18" i="2"/>
  <c r="F25" i="2"/>
  <c r="F9" i="2"/>
  <c r="F20" i="2"/>
  <c r="F17" i="2"/>
  <c r="F24" i="2"/>
  <c r="F8" i="2"/>
  <c r="F29" i="2"/>
  <c r="F16" i="2"/>
  <c r="F13" i="2"/>
  <c r="F23" i="2"/>
  <c r="F7" i="2"/>
  <c r="F15" i="2"/>
  <c r="F30" i="2"/>
  <c r="F22" i="2"/>
  <c r="F6" i="2"/>
  <c r="F14" i="2"/>
  <c r="F5" i="2"/>
  <c r="E7" i="4"/>
  <c r="D7" i="4"/>
  <c r="G7" i="4"/>
  <c r="F7" i="4"/>
  <c r="V25" i="13" a="1"/>
  <c r="V22" i="13" a="1"/>
  <c r="T22" i="13" a="1"/>
  <c r="P45" i="13" a="1"/>
  <c r="P34" i="13" a="1"/>
  <c r="P49" i="13" a="1"/>
  <c r="P69" i="13" a="1"/>
  <c r="P39" i="13" a="1"/>
  <c r="P65" i="13" a="1"/>
  <c r="P59" i="13" a="1"/>
  <c r="P22" i="13" a="1"/>
  <c r="P55" i="13" a="1"/>
  <c r="N69" i="13" a="1"/>
  <c r="N49" i="13" a="1"/>
  <c r="N55" i="13" a="1"/>
  <c r="N59" i="13" a="1"/>
  <c r="N65" i="13" a="1"/>
  <c r="N39" i="13" a="1"/>
  <c r="N22" i="13" a="1"/>
  <c r="N72" i="13" a="1"/>
  <c r="N45" i="13" a="1"/>
  <c r="J59" i="13" a="1"/>
  <c r="J24" i="13" a="1"/>
  <c r="J22" i="13" a="1"/>
  <c r="J30" i="13" a="1"/>
  <c r="J39" i="13" a="1"/>
  <c r="H59" i="13" a="1"/>
  <c r="H39" i="13" a="1"/>
  <c r="H22" i="13" a="1"/>
  <c r="H30" i="13" a="1"/>
  <c r="H49" i="13" a="1"/>
  <c r="B7" i="13" a="1"/>
  <c r="C7" i="13" a="1"/>
  <c r="F7" i="13" a="1"/>
  <c r="E7" i="13" a="1"/>
  <c r="D7" i="13" a="1"/>
  <c r="V22" i="13" l="1"/>
  <c r="V25" i="13"/>
  <c r="T22" i="13"/>
  <c r="P55" i="13"/>
  <c r="P22" i="13"/>
  <c r="P59" i="13"/>
  <c r="P65" i="13"/>
  <c r="P39" i="13"/>
  <c r="P69" i="13"/>
  <c r="P49" i="13"/>
  <c r="P34" i="13"/>
  <c r="P45" i="13"/>
  <c r="N45" i="13"/>
  <c r="N72" i="13"/>
  <c r="N22" i="13"/>
  <c r="N39" i="13"/>
  <c r="N65" i="13"/>
  <c r="N59" i="13"/>
  <c r="N55" i="13"/>
  <c r="N49" i="13"/>
  <c r="N69" i="13"/>
  <c r="J39" i="13"/>
  <c r="J30" i="13"/>
  <c r="J22" i="13"/>
  <c r="J24" i="13"/>
  <c r="J59" i="13"/>
  <c r="H49" i="13"/>
  <c r="H30" i="13"/>
  <c r="H22" i="13"/>
  <c r="H39" i="13"/>
  <c r="H59" i="13"/>
  <c r="I4" i="12"/>
  <c r="I6" i="12"/>
  <c r="I5" i="12"/>
  <c r="D7" i="13"/>
  <c r="E7" i="13"/>
  <c r="F7" i="13"/>
  <c r="C7" i="13"/>
  <c r="B7" i="13"/>
  <c r="I119" i="4" a="1"/>
  <c r="I119" i="4" s="1"/>
  <c r="Y119" i="4" a="1"/>
  <c r="Y119" i="4" s="1"/>
  <c r="W119" i="4" a="1"/>
  <c r="W119" i="4" s="1"/>
  <c r="U119" i="4" a="1"/>
  <c r="U119" i="4" s="1"/>
  <c r="S119" i="4" a="1"/>
  <c r="S119" i="4" s="1"/>
  <c r="Q119" i="4" a="1"/>
  <c r="Q119" i="4" s="1"/>
  <c r="O119" i="4" a="1"/>
  <c r="O119" i="4" s="1"/>
  <c r="M119" i="4" a="1"/>
  <c r="M119" i="4" s="1"/>
  <c r="K119" i="4" a="1"/>
  <c r="K119" i="4" s="1"/>
  <c r="T116" i="4"/>
  <c r="N116" i="4"/>
  <c r="H116" i="4"/>
  <c r="A2" i="13" a="1"/>
  <c r="A2" i="13" s="1"/>
  <c r="A1" i="13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V113" i="4"/>
  <c r="V112" i="4"/>
  <c r="V111" i="4"/>
  <c r="V110" i="4"/>
  <c r="V109" i="4"/>
  <c r="V108" i="4"/>
  <c r="V107" i="4"/>
  <c r="V106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40" i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39" i="1"/>
  <c r="I38" i="1"/>
  <c r="I12" i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39" i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38" i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19" i="1"/>
  <c r="G20" i="1" s="1"/>
  <c r="G21" i="1" s="1"/>
  <c r="G22" i="1" s="1"/>
  <c r="G23" i="1" s="1"/>
  <c r="G24" i="1" s="1"/>
  <c r="G25" i="1" s="1"/>
  <c r="G26" i="1" s="1"/>
  <c r="G15" i="1"/>
  <c r="G16" i="1" s="1"/>
  <c r="G17" i="1" s="1"/>
  <c r="G18" i="1" s="1"/>
  <c r="G14" i="1"/>
  <c r="G12" i="1"/>
  <c r="G13" i="1" s="1"/>
  <c r="G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48" i="1"/>
  <c r="E49" i="1" s="1"/>
  <c r="E50" i="1" s="1"/>
  <c r="E51" i="1" s="1"/>
  <c r="E52" i="1" s="1"/>
  <c r="E53" i="1" s="1"/>
  <c r="E54" i="1" s="1"/>
  <c r="E55" i="1" s="1"/>
  <c r="E56" i="1" s="1"/>
  <c r="E57" i="1" s="1"/>
  <c r="E44" i="1"/>
  <c r="E45" i="1" s="1"/>
  <c r="E46" i="1" s="1"/>
  <c r="E47" i="1" s="1"/>
  <c r="E39" i="1"/>
  <c r="E40" i="1" s="1"/>
  <c r="E41" i="1" s="1"/>
  <c r="E42" i="1" s="1"/>
  <c r="E43" i="1" s="1"/>
  <c r="E38" i="1"/>
  <c r="E32" i="1"/>
  <c r="E33" i="1" s="1"/>
  <c r="E34" i="1" s="1"/>
  <c r="E35" i="1" s="1"/>
  <c r="E36" i="1" s="1"/>
  <c r="E37" i="1" s="1"/>
  <c r="E27" i="1"/>
  <c r="E28" i="1" s="1"/>
  <c r="E29" i="1" s="1"/>
  <c r="E30" i="1" s="1"/>
  <c r="E31" i="1" s="1"/>
  <c r="E23" i="1"/>
  <c r="E24" i="1" s="1"/>
  <c r="E25" i="1" s="1"/>
  <c r="E26" i="1" s="1"/>
  <c r="E22" i="1"/>
  <c r="E20" i="1"/>
  <c r="E21" i="1" s="1"/>
  <c r="E19" i="1"/>
  <c r="E15" i="1"/>
  <c r="E16" i="1" s="1"/>
  <c r="E17" i="1" s="1"/>
  <c r="E18" i="1" s="1"/>
  <c r="E14" i="1"/>
  <c r="E12" i="1"/>
  <c r="E13" i="1" s="1"/>
  <c r="E11" i="1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37" i="3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15" i="3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13" i="3"/>
  <c r="I14" i="3" s="1"/>
  <c r="I12" i="3"/>
  <c r="I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6" i="3"/>
  <c r="G37" i="3" s="1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59" i="3"/>
  <c r="E60" i="3" s="1"/>
  <c r="E58" i="3"/>
  <c r="E55" i="3"/>
  <c r="E56" i="3" s="1"/>
  <c r="E57" i="3" s="1"/>
  <c r="E50" i="3"/>
  <c r="E51" i="3" s="1"/>
  <c r="E52" i="3" s="1"/>
  <c r="E53" i="3" s="1"/>
  <c r="E54" i="3" s="1"/>
  <c r="E48" i="3"/>
  <c r="E49" i="3" s="1"/>
  <c r="E44" i="3"/>
  <c r="E45" i="3" s="1"/>
  <c r="E46" i="3" s="1"/>
  <c r="E47" i="3" s="1"/>
  <c r="E42" i="3"/>
  <c r="E43" i="3" s="1"/>
  <c r="E41" i="3"/>
  <c r="E37" i="3"/>
  <c r="E38" i="3" s="1"/>
  <c r="E39" i="3" s="1"/>
  <c r="E40" i="3" s="1"/>
  <c r="E32" i="3"/>
  <c r="E33" i="3" s="1"/>
  <c r="E34" i="3" s="1"/>
  <c r="E35" i="3" s="1"/>
  <c r="E36" i="3" s="1"/>
  <c r="E15" i="3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12" i="3"/>
  <c r="E13" i="3" s="1"/>
  <c r="E14" i="3" s="1"/>
  <c r="E11" i="3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S55" i="4"/>
  <c r="Q55" i="4"/>
  <c r="O55" i="4"/>
  <c r="M54" i="4"/>
  <c r="K54" i="4"/>
  <c r="I54" i="4"/>
  <c r="O61" i="4"/>
  <c r="U52" i="4"/>
  <c r="U42" i="4"/>
  <c r="U41" i="4"/>
  <c r="U36" i="4"/>
  <c r="W32" i="4"/>
  <c r="U32" i="4"/>
  <c r="W27" i="4"/>
  <c r="U27" i="4"/>
  <c r="Y22" i="4"/>
  <c r="W22" i="4"/>
  <c r="U22" i="4"/>
  <c r="W19" i="4"/>
  <c r="U19" i="4"/>
  <c r="W13" i="4"/>
  <c r="U13" i="4"/>
  <c r="F47" i="1"/>
  <c r="F43" i="1"/>
  <c r="J37" i="1"/>
  <c r="H37" i="1"/>
  <c r="F37" i="1"/>
  <c r="F31" i="1"/>
  <c r="H26" i="1"/>
  <c r="F26" i="1"/>
  <c r="F21" i="1"/>
  <c r="H18" i="1"/>
  <c r="F18" i="1"/>
  <c r="H13" i="1"/>
  <c r="F13" i="1"/>
  <c r="J36" i="3"/>
  <c r="J14" i="3"/>
  <c r="H36" i="3"/>
  <c r="H14" i="3"/>
  <c r="H10" i="3"/>
  <c r="F40" i="3"/>
  <c r="F43" i="3"/>
  <c r="F47" i="3"/>
  <c r="F49" i="3"/>
  <c r="F57" i="3"/>
  <c r="F54" i="3"/>
  <c r="F41" i="3"/>
  <c r="F36" i="3"/>
  <c r="F31" i="3"/>
  <c r="F14" i="3"/>
  <c r="F10" i="3"/>
  <c r="A2" i="4" a="1"/>
  <c r="A2" i="4" s="1"/>
  <c r="A2" i="1" a="1"/>
  <c r="A2" i="1" s="1"/>
  <c r="A2" i="3" a="1"/>
  <c r="A2" i="3" s="1"/>
  <c r="D113" i="4" a="1"/>
  <c r="D113" i="4" s="1"/>
  <c r="D112" i="4" a="1"/>
  <c r="D112" i="4" s="1"/>
  <c r="D111" i="4" a="1"/>
  <c r="D111" i="4" s="1"/>
  <c r="D110" i="4" a="1"/>
  <c r="D110" i="4" s="1"/>
  <c r="D109" i="4" a="1"/>
  <c r="D109" i="4" s="1"/>
  <c r="D108" i="4" a="1"/>
  <c r="D108" i="4" s="1"/>
  <c r="D107" i="4" a="1"/>
  <c r="D107" i="4" s="1"/>
  <c r="D106" i="4" a="1"/>
  <c r="D106" i="4" s="1"/>
  <c r="D105" i="4" a="1"/>
  <c r="D105" i="4" s="1"/>
  <c r="D104" i="4" a="1"/>
  <c r="D104" i="4" s="1"/>
  <c r="D103" i="4" a="1"/>
  <c r="D103" i="4" s="1"/>
  <c r="D102" i="4" a="1"/>
  <c r="D102" i="4" s="1"/>
  <c r="D101" i="4" a="1"/>
  <c r="D101" i="4" s="1"/>
  <c r="D100" i="4" a="1"/>
  <c r="D100" i="4" s="1"/>
  <c r="D99" i="4" a="1"/>
  <c r="D99" i="4" s="1"/>
  <c r="D98" i="4" a="1"/>
  <c r="D98" i="4" s="1"/>
  <c r="D97" i="4" a="1"/>
  <c r="D97" i="4" s="1"/>
  <c r="D96" i="4" a="1"/>
  <c r="D96" i="4" s="1"/>
  <c r="D95" i="4" a="1"/>
  <c r="D95" i="4" s="1"/>
  <c r="D94" i="4" a="1"/>
  <c r="D94" i="4" s="1"/>
  <c r="D93" i="4" a="1"/>
  <c r="D93" i="4" s="1"/>
  <c r="D92" i="4" a="1"/>
  <c r="D92" i="4" s="1"/>
  <c r="D91" i="4" a="1"/>
  <c r="D91" i="4" s="1"/>
  <c r="D90" i="4" a="1"/>
  <c r="D90" i="4" s="1"/>
  <c r="D89" i="4" a="1"/>
  <c r="D89" i="4" s="1"/>
  <c r="D88" i="4" a="1"/>
  <c r="D88" i="4" s="1"/>
  <c r="D87" i="4" a="1"/>
  <c r="D87" i="4" s="1"/>
  <c r="D86" i="4" a="1"/>
  <c r="D86" i="4" s="1"/>
  <c r="D85" i="4" a="1"/>
  <c r="D85" i="4" s="1"/>
  <c r="D84" i="4" a="1"/>
  <c r="D84" i="4" s="1"/>
  <c r="D83" i="4" a="1"/>
  <c r="D83" i="4" s="1"/>
  <c r="D82" i="4" a="1"/>
  <c r="D82" i="4" s="1"/>
  <c r="D81" i="4" a="1"/>
  <c r="D81" i="4" s="1"/>
  <c r="D80" i="4" a="1"/>
  <c r="D80" i="4" s="1"/>
  <c r="D79" i="4" a="1"/>
  <c r="D79" i="4" s="1"/>
  <c r="D78" i="4" a="1"/>
  <c r="D78" i="4" s="1"/>
  <c r="D77" i="4" a="1"/>
  <c r="D77" i="4" s="1"/>
  <c r="D76" i="4" a="1"/>
  <c r="D76" i="4" s="1"/>
  <c r="D75" i="4" a="1"/>
  <c r="D75" i="4" s="1"/>
  <c r="D74" i="4" a="1"/>
  <c r="D74" i="4" s="1"/>
  <c r="D73" i="4" a="1"/>
  <c r="D73" i="4" s="1"/>
  <c r="D72" i="4" a="1"/>
  <c r="D72" i="4" s="1"/>
  <c r="D71" i="4" a="1"/>
  <c r="D71" i="4" s="1"/>
  <c r="D70" i="4" a="1"/>
  <c r="D70" i="4" s="1"/>
  <c r="D69" i="4" a="1"/>
  <c r="D69" i="4" s="1"/>
  <c r="D68" i="4" a="1"/>
  <c r="D68" i="4" s="1"/>
  <c r="D67" i="4" a="1"/>
  <c r="D67" i="4" s="1"/>
  <c r="D66" i="4" a="1"/>
  <c r="D66" i="4" s="1"/>
  <c r="D65" i="4" a="1"/>
  <c r="D65" i="4" s="1"/>
  <c r="D53" i="4" a="1"/>
  <c r="D53" i="4" s="1"/>
  <c r="D52" i="4" a="1"/>
  <c r="D52" i="4" s="1"/>
  <c r="D51" i="4" a="1"/>
  <c r="D51" i="4" s="1"/>
  <c r="D50" i="4" a="1"/>
  <c r="D50" i="4" s="1"/>
  <c r="D49" i="4" a="1"/>
  <c r="D49" i="4" s="1"/>
  <c r="D48" i="4" a="1"/>
  <c r="D48" i="4" s="1"/>
  <c r="D47" i="4" a="1"/>
  <c r="D47" i="4" s="1"/>
  <c r="D46" i="4" a="1"/>
  <c r="D46" i="4" s="1"/>
  <c r="D45" i="4" a="1"/>
  <c r="D45" i="4" s="1"/>
  <c r="D44" i="4" a="1"/>
  <c r="D44" i="4" s="1"/>
  <c r="D43" i="4" a="1"/>
  <c r="D43" i="4" s="1"/>
  <c r="D42" i="4" a="1"/>
  <c r="D42" i="4" s="1"/>
  <c r="D41" i="4" a="1"/>
  <c r="D41" i="4" s="1"/>
  <c r="D40" i="4" a="1"/>
  <c r="D40" i="4" s="1"/>
  <c r="D39" i="4" a="1"/>
  <c r="D39" i="4" s="1"/>
  <c r="D38" i="4" a="1"/>
  <c r="D38" i="4" s="1"/>
  <c r="D37" i="4" a="1"/>
  <c r="D37" i="4" s="1"/>
  <c r="D36" i="4" a="1"/>
  <c r="D36" i="4" s="1"/>
  <c r="D35" i="4" a="1"/>
  <c r="D35" i="4" s="1"/>
  <c r="D34" i="4" a="1"/>
  <c r="D34" i="4" s="1"/>
  <c r="D33" i="4" a="1"/>
  <c r="D33" i="4" s="1"/>
  <c r="D32" i="4" a="1"/>
  <c r="D32" i="4" s="1"/>
  <c r="D31" i="4" a="1"/>
  <c r="D31" i="4" s="1"/>
  <c r="D30" i="4" a="1"/>
  <c r="D30" i="4" s="1"/>
  <c r="D29" i="4" a="1"/>
  <c r="D29" i="4" s="1"/>
  <c r="D28" i="4" a="1"/>
  <c r="D28" i="4" s="1"/>
  <c r="D27" i="4" a="1"/>
  <c r="D27" i="4" s="1"/>
  <c r="D26" i="4" a="1"/>
  <c r="D26" i="4" s="1"/>
  <c r="D25" i="4" a="1"/>
  <c r="D25" i="4" s="1"/>
  <c r="D24" i="4" a="1"/>
  <c r="D24" i="4" s="1"/>
  <c r="D23" i="4" a="1"/>
  <c r="D23" i="4" s="1"/>
  <c r="D22" i="4" a="1"/>
  <c r="D22" i="4" s="1"/>
  <c r="D21" i="4" a="1"/>
  <c r="D21" i="4" s="1"/>
  <c r="D20" i="4" a="1"/>
  <c r="D20" i="4" s="1"/>
  <c r="D19" i="4" a="1"/>
  <c r="D19" i="4" s="1"/>
  <c r="D18" i="4" a="1"/>
  <c r="D18" i="4" s="1"/>
  <c r="D17" i="4" a="1"/>
  <c r="D17" i="4" s="1"/>
  <c r="D16" i="4" a="1"/>
  <c r="D16" i="4" s="1"/>
  <c r="D15" i="4" a="1"/>
  <c r="D15" i="4" s="1"/>
  <c r="D14" i="4" a="1"/>
  <c r="D14" i="4" s="1"/>
  <c r="D110" i="1" a="1"/>
  <c r="D110" i="1" s="1"/>
  <c r="D109" i="1" a="1"/>
  <c r="D109" i="1" s="1"/>
  <c r="D108" i="1" a="1"/>
  <c r="D108" i="1" s="1"/>
  <c r="D107" i="1" a="1"/>
  <c r="D107" i="1" s="1"/>
  <c r="D106" i="1" a="1"/>
  <c r="D106" i="1" s="1"/>
  <c r="D105" i="1" a="1"/>
  <c r="D105" i="1" s="1"/>
  <c r="D104" i="1" a="1"/>
  <c r="D104" i="1" s="1"/>
  <c r="D103" i="1" a="1"/>
  <c r="D103" i="1" s="1"/>
  <c r="D102" i="1" a="1"/>
  <c r="D102" i="1" s="1"/>
  <c r="D101" i="1" a="1"/>
  <c r="D101" i="1" s="1"/>
  <c r="D100" i="1" a="1"/>
  <c r="D100" i="1" s="1"/>
  <c r="D99" i="1" a="1"/>
  <c r="D99" i="1" s="1"/>
  <c r="D98" i="1" a="1"/>
  <c r="D98" i="1" s="1"/>
  <c r="D97" i="1" a="1"/>
  <c r="D97" i="1" s="1"/>
  <c r="D96" i="1" a="1"/>
  <c r="D96" i="1" s="1"/>
  <c r="D95" i="1" a="1"/>
  <c r="D95" i="1" s="1"/>
  <c r="D94" i="1" a="1"/>
  <c r="D94" i="1" s="1"/>
  <c r="D93" i="1" a="1"/>
  <c r="D93" i="1" s="1"/>
  <c r="D92" i="1" a="1"/>
  <c r="D92" i="1" s="1"/>
  <c r="D91" i="1" a="1"/>
  <c r="D91" i="1" s="1"/>
  <c r="D90" i="1" a="1"/>
  <c r="D90" i="1" s="1"/>
  <c r="D89" i="1" a="1"/>
  <c r="D89" i="1" s="1"/>
  <c r="D88" i="1" a="1"/>
  <c r="D88" i="1" s="1"/>
  <c r="D87" i="1" a="1"/>
  <c r="D87" i="1" s="1"/>
  <c r="D86" i="1" a="1"/>
  <c r="D86" i="1" s="1"/>
  <c r="D85" i="1" a="1"/>
  <c r="D85" i="1" s="1"/>
  <c r="D84" i="1" a="1"/>
  <c r="D84" i="1" s="1"/>
  <c r="D83" i="1" a="1"/>
  <c r="D83" i="1" s="1"/>
  <c r="D82" i="1" a="1"/>
  <c r="D82" i="1" s="1"/>
  <c r="D81" i="1" a="1"/>
  <c r="D81" i="1" s="1"/>
  <c r="D80" i="1" a="1"/>
  <c r="D80" i="1" s="1"/>
  <c r="D79" i="1" a="1"/>
  <c r="D79" i="1" s="1"/>
  <c r="D78" i="1" a="1"/>
  <c r="D78" i="1" s="1"/>
  <c r="D77" i="1" a="1"/>
  <c r="D77" i="1" s="1"/>
  <c r="D76" i="1" a="1"/>
  <c r="D76" i="1" s="1"/>
  <c r="D75" i="1" a="1"/>
  <c r="D75" i="1" s="1"/>
  <c r="D74" i="1" a="1"/>
  <c r="D74" i="1" s="1"/>
  <c r="D73" i="1" a="1"/>
  <c r="D73" i="1" s="1"/>
  <c r="D72" i="1" a="1"/>
  <c r="D72" i="1" s="1"/>
  <c r="D71" i="1" a="1"/>
  <c r="D71" i="1" s="1"/>
  <c r="D70" i="1" a="1"/>
  <c r="D70" i="1" s="1"/>
  <c r="D69" i="1" a="1"/>
  <c r="D69" i="1" s="1"/>
  <c r="D68" i="1" a="1"/>
  <c r="D68" i="1" s="1"/>
  <c r="D67" i="1" a="1"/>
  <c r="D67" i="1" s="1"/>
  <c r="D66" i="1" a="1"/>
  <c r="D66" i="1" s="1"/>
  <c r="D65" i="1" a="1"/>
  <c r="D65" i="1" s="1"/>
  <c r="D64" i="1" a="1"/>
  <c r="D64" i="1" s="1"/>
  <c r="D63" i="1" a="1"/>
  <c r="D63" i="1" s="1"/>
  <c r="D62" i="1" a="1"/>
  <c r="D62" i="1" s="1"/>
  <c r="D61" i="1" a="1"/>
  <c r="D61" i="1" s="1"/>
  <c r="D60" i="1" a="1"/>
  <c r="D60" i="1" s="1"/>
  <c r="D59" i="1" a="1"/>
  <c r="D59" i="1" s="1"/>
  <c r="D58" i="1" a="1"/>
  <c r="D58" i="1" s="1"/>
  <c r="D57" i="1" a="1"/>
  <c r="D57" i="1" s="1"/>
  <c r="D56" i="1" a="1"/>
  <c r="D56" i="1" s="1"/>
  <c r="D55" i="1" a="1"/>
  <c r="D55" i="1" s="1"/>
  <c r="D54" i="1" a="1"/>
  <c r="D54" i="1" s="1"/>
  <c r="D53" i="1" a="1"/>
  <c r="D53" i="1" s="1"/>
  <c r="D52" i="1" a="1"/>
  <c r="D52" i="1" s="1"/>
  <c r="D51" i="1" a="1"/>
  <c r="D51" i="1" s="1"/>
  <c r="D50" i="1" a="1"/>
  <c r="D50" i="1" s="1"/>
  <c r="D49" i="1" a="1"/>
  <c r="D49" i="1" s="1"/>
  <c r="D48" i="1" a="1"/>
  <c r="D48" i="1" s="1"/>
  <c r="D47" i="1" a="1"/>
  <c r="D47" i="1" s="1"/>
  <c r="D46" i="1" a="1"/>
  <c r="D46" i="1" s="1"/>
  <c r="D45" i="1" a="1"/>
  <c r="D45" i="1" s="1"/>
  <c r="D44" i="1" a="1"/>
  <c r="D44" i="1" s="1"/>
  <c r="D43" i="1" a="1"/>
  <c r="D43" i="1" s="1"/>
  <c r="D42" i="1" a="1"/>
  <c r="D42" i="1" s="1"/>
  <c r="D41" i="1" a="1"/>
  <c r="D41" i="1" s="1"/>
  <c r="D40" i="1" a="1"/>
  <c r="D40" i="1" s="1"/>
  <c r="D39" i="1" a="1"/>
  <c r="D39" i="1" s="1"/>
  <c r="D38" i="1" a="1"/>
  <c r="D38" i="1" s="1"/>
  <c r="D37" i="1" a="1"/>
  <c r="D37" i="1" s="1"/>
  <c r="D36" i="1" a="1"/>
  <c r="D36" i="1" s="1"/>
  <c r="D35" i="1" a="1"/>
  <c r="D35" i="1" s="1"/>
  <c r="D34" i="1" a="1"/>
  <c r="D34" i="1" s="1"/>
  <c r="D33" i="1" a="1"/>
  <c r="D33" i="1" s="1"/>
  <c r="D32" i="1" a="1"/>
  <c r="D32" i="1" s="1"/>
  <c r="D31" i="1" a="1"/>
  <c r="D31" i="1" s="1"/>
  <c r="D30" i="1" a="1"/>
  <c r="D30" i="1" s="1"/>
  <c r="D29" i="1" a="1"/>
  <c r="D29" i="1" s="1"/>
  <c r="D28" i="1" a="1"/>
  <c r="D28" i="1" s="1"/>
  <c r="D27" i="1" a="1"/>
  <c r="D27" i="1" s="1"/>
  <c r="D26" i="1" a="1"/>
  <c r="D26" i="1" s="1"/>
  <c r="D25" i="1" a="1"/>
  <c r="D25" i="1" s="1"/>
  <c r="D24" i="1" a="1"/>
  <c r="D24" i="1" s="1"/>
  <c r="D23" i="1" a="1"/>
  <c r="D23" i="1" s="1"/>
  <c r="D22" i="1" a="1"/>
  <c r="D22" i="1" s="1"/>
  <c r="D21" i="1" a="1"/>
  <c r="D21" i="1" s="1"/>
  <c r="D20" i="1" a="1"/>
  <c r="D20" i="1" s="1"/>
  <c r="D19" i="1" a="1"/>
  <c r="D19" i="1" s="1"/>
  <c r="D18" i="1" a="1"/>
  <c r="D18" i="1" s="1"/>
  <c r="D17" i="1" a="1"/>
  <c r="D17" i="1" s="1"/>
  <c r="D16" i="1" a="1"/>
  <c r="D16" i="1" s="1"/>
  <c r="D15" i="1" a="1"/>
  <c r="D15" i="1" s="1"/>
  <c r="D14" i="1" a="1"/>
  <c r="D14" i="1" s="1"/>
  <c r="D13" i="1" a="1"/>
  <c r="D13" i="1" s="1"/>
  <c r="D12" i="1" a="1"/>
  <c r="D12" i="1" s="1"/>
  <c r="D11" i="1" a="1"/>
  <c r="D11" i="1" s="1"/>
  <c r="D110" i="3" a="1"/>
  <c r="D110" i="3" s="1"/>
  <c r="D109" i="3" a="1"/>
  <c r="D109" i="3" s="1"/>
  <c r="D108" i="3" a="1"/>
  <c r="D108" i="3" s="1"/>
  <c r="D107" i="3" a="1"/>
  <c r="D107" i="3" s="1"/>
  <c r="D106" i="3" a="1"/>
  <c r="D106" i="3" s="1"/>
  <c r="D105" i="3" a="1"/>
  <c r="D105" i="3" s="1"/>
  <c r="D104" i="3" a="1"/>
  <c r="D104" i="3" s="1"/>
  <c r="D103" i="3" a="1"/>
  <c r="D103" i="3" s="1"/>
  <c r="D102" i="3" a="1"/>
  <c r="D102" i="3" s="1"/>
  <c r="D101" i="3" a="1"/>
  <c r="D101" i="3" s="1"/>
  <c r="D100" i="3" a="1"/>
  <c r="D100" i="3" s="1"/>
  <c r="D99" i="3" a="1"/>
  <c r="D99" i="3" s="1"/>
  <c r="D98" i="3" a="1"/>
  <c r="D98" i="3" s="1"/>
  <c r="D97" i="3" a="1"/>
  <c r="D97" i="3" s="1"/>
  <c r="D96" i="3" a="1"/>
  <c r="D96" i="3" s="1"/>
  <c r="D95" i="3" a="1"/>
  <c r="D95" i="3" s="1"/>
  <c r="D94" i="3" a="1"/>
  <c r="D94" i="3" s="1"/>
  <c r="D93" i="3" a="1"/>
  <c r="D93" i="3" s="1"/>
  <c r="D92" i="3" a="1"/>
  <c r="D92" i="3" s="1"/>
  <c r="D91" i="3" a="1"/>
  <c r="D91" i="3" s="1"/>
  <c r="D90" i="3" a="1"/>
  <c r="D90" i="3" s="1"/>
  <c r="D89" i="3" a="1"/>
  <c r="D89" i="3" s="1"/>
  <c r="D88" i="3" a="1"/>
  <c r="D88" i="3" s="1"/>
  <c r="D87" i="3" a="1"/>
  <c r="D87" i="3" s="1"/>
  <c r="D86" i="3" a="1"/>
  <c r="D86" i="3" s="1"/>
  <c r="D85" i="3" a="1"/>
  <c r="D85" i="3" s="1"/>
  <c r="D84" i="3" a="1"/>
  <c r="D84" i="3" s="1"/>
  <c r="D83" i="3" a="1"/>
  <c r="D83" i="3" s="1"/>
  <c r="D82" i="3" a="1"/>
  <c r="D82" i="3" s="1"/>
  <c r="D81" i="3" a="1"/>
  <c r="D81" i="3" s="1"/>
  <c r="D80" i="3" a="1"/>
  <c r="D80" i="3" s="1"/>
  <c r="D79" i="3" a="1"/>
  <c r="D79" i="3" s="1"/>
  <c r="D78" i="3" a="1"/>
  <c r="D78" i="3" s="1"/>
  <c r="D77" i="3" a="1"/>
  <c r="D77" i="3" s="1"/>
  <c r="D76" i="3" a="1"/>
  <c r="D76" i="3" s="1"/>
  <c r="D75" i="3" a="1"/>
  <c r="D75" i="3" s="1"/>
  <c r="D74" i="3" a="1"/>
  <c r="D74" i="3" s="1"/>
  <c r="D73" i="3" a="1"/>
  <c r="D73" i="3" s="1"/>
  <c r="D72" i="3" a="1"/>
  <c r="D72" i="3" s="1"/>
  <c r="D71" i="3" a="1"/>
  <c r="D71" i="3" s="1"/>
  <c r="D70" i="3" a="1"/>
  <c r="D70" i="3" s="1"/>
  <c r="D69" i="3" a="1"/>
  <c r="D69" i="3" s="1"/>
  <c r="D68" i="3" a="1"/>
  <c r="D68" i="3" s="1"/>
  <c r="D67" i="3" a="1"/>
  <c r="D67" i="3" s="1"/>
  <c r="D66" i="3" a="1"/>
  <c r="D66" i="3" s="1"/>
  <c r="D65" i="3" a="1"/>
  <c r="D65" i="3" s="1"/>
  <c r="D64" i="3" a="1"/>
  <c r="D64" i="3" s="1"/>
  <c r="D63" i="3" a="1"/>
  <c r="D63" i="3" s="1"/>
  <c r="D62" i="3" a="1"/>
  <c r="D62" i="3" s="1"/>
  <c r="D61" i="3" a="1"/>
  <c r="D61" i="3" s="1"/>
  <c r="D60" i="3" a="1"/>
  <c r="D60" i="3" s="1"/>
  <c r="D59" i="3" a="1"/>
  <c r="D59" i="3" s="1"/>
  <c r="D58" i="3" a="1"/>
  <c r="D58" i="3" s="1"/>
  <c r="D57" i="3" a="1"/>
  <c r="D57" i="3" s="1"/>
  <c r="D56" i="3" a="1"/>
  <c r="D56" i="3" s="1"/>
  <c r="D55" i="3" a="1"/>
  <c r="D55" i="3" s="1"/>
  <c r="D54" i="3" a="1"/>
  <c r="D54" i="3" s="1"/>
  <c r="D53" i="3" a="1"/>
  <c r="D53" i="3" s="1"/>
  <c r="D52" i="3" a="1"/>
  <c r="D52" i="3" s="1"/>
  <c r="D51" i="3" a="1"/>
  <c r="D51" i="3" s="1"/>
  <c r="D50" i="3" a="1"/>
  <c r="D50" i="3" s="1"/>
  <c r="D49" i="3" a="1"/>
  <c r="D49" i="3" s="1"/>
  <c r="D48" i="3" a="1"/>
  <c r="D48" i="3" s="1"/>
  <c r="D47" i="3" a="1"/>
  <c r="D47" i="3" s="1"/>
  <c r="D46" i="3" a="1"/>
  <c r="D46" i="3" s="1"/>
  <c r="D45" i="3" a="1"/>
  <c r="D45" i="3" s="1"/>
  <c r="D44" i="3" a="1"/>
  <c r="D44" i="3" s="1"/>
  <c r="D43" i="3" a="1"/>
  <c r="D43" i="3" s="1"/>
  <c r="D42" i="3" a="1"/>
  <c r="D42" i="3" s="1"/>
  <c r="D41" i="3" a="1"/>
  <c r="D41" i="3" s="1"/>
  <c r="D40" i="3" a="1"/>
  <c r="D40" i="3" s="1"/>
  <c r="D39" i="3" a="1"/>
  <c r="D39" i="3" s="1"/>
  <c r="D38" i="3" a="1"/>
  <c r="D38" i="3" s="1"/>
  <c r="D37" i="3" a="1"/>
  <c r="D37" i="3" s="1"/>
  <c r="D36" i="3" a="1"/>
  <c r="D36" i="3" s="1"/>
  <c r="D35" i="3" a="1"/>
  <c r="D35" i="3" s="1"/>
  <c r="D34" i="3" a="1"/>
  <c r="D34" i="3" s="1"/>
  <c r="D33" i="3" a="1"/>
  <c r="D33" i="3" s="1"/>
  <c r="D32" i="3" a="1"/>
  <c r="D32" i="3" s="1"/>
  <c r="D31" i="3" a="1"/>
  <c r="D31" i="3" s="1"/>
  <c r="D30" i="3" a="1"/>
  <c r="D30" i="3" s="1"/>
  <c r="D29" i="3" a="1"/>
  <c r="D29" i="3" s="1"/>
  <c r="D28" i="3" a="1"/>
  <c r="D28" i="3" s="1"/>
  <c r="D27" i="3" a="1"/>
  <c r="D27" i="3" s="1"/>
  <c r="D26" i="3" a="1"/>
  <c r="D26" i="3" s="1"/>
  <c r="D25" i="3" a="1"/>
  <c r="D25" i="3" s="1"/>
  <c r="D24" i="3" a="1"/>
  <c r="D24" i="3" s="1"/>
  <c r="D23" i="3" a="1"/>
  <c r="D23" i="3" s="1"/>
  <c r="D22" i="3" a="1"/>
  <c r="D22" i="3" s="1"/>
  <c r="D21" i="3" a="1"/>
  <c r="D21" i="3" s="1"/>
  <c r="D20" i="3" a="1"/>
  <c r="D20" i="3" s="1"/>
  <c r="D19" i="3" a="1"/>
  <c r="D19" i="3" s="1"/>
  <c r="D18" i="3" a="1"/>
  <c r="D18" i="3" s="1"/>
  <c r="D17" i="3" a="1"/>
  <c r="D17" i="3" s="1"/>
  <c r="D16" i="3" a="1"/>
  <c r="D16" i="3" s="1"/>
  <c r="D15" i="3" a="1"/>
  <c r="D15" i="3" s="1"/>
  <c r="D14" i="3" a="1"/>
  <c r="D14" i="3" s="1"/>
  <c r="D13" i="3" a="1"/>
  <c r="D13" i="3" s="1"/>
  <c r="D12" i="3" a="1"/>
  <c r="D12" i="3" s="1"/>
  <c r="D11" i="3" a="1"/>
  <c r="D11" i="3" s="1"/>
  <c r="C6" i="3" a="1"/>
  <c r="C6" i="3" s="1"/>
  <c r="C7" i="4" a="1"/>
  <c r="C7" i="4" s="1"/>
  <c r="B7" i="4"/>
  <c r="C6" i="1" a="1"/>
  <c r="C6" i="1" s="1"/>
  <c r="B6" i="1"/>
  <c r="B6" i="3"/>
  <c r="V23" i="13" a="1"/>
  <c r="V26" i="13" a="1"/>
  <c r="T23" i="13" a="1"/>
  <c r="P56" i="13" a="1"/>
  <c r="P23" i="13" a="1"/>
  <c r="P60" i="13" a="1"/>
  <c r="P66" i="13" a="1"/>
  <c r="P40" i="13" a="1"/>
  <c r="P70" i="13" a="1"/>
  <c r="P50" i="13" a="1"/>
  <c r="P35" i="13" a="1"/>
  <c r="P46" i="13" a="1"/>
  <c r="N46" i="13" a="1"/>
  <c r="N23" i="13" a="1"/>
  <c r="N40" i="13" a="1"/>
  <c r="N66" i="13" a="1"/>
  <c r="N60" i="13" a="1"/>
  <c r="N56" i="13" a="1"/>
  <c r="N50" i="13" a="1"/>
  <c r="N70" i="13" a="1"/>
  <c r="J40" i="13" a="1"/>
  <c r="J31" i="13" a="1"/>
  <c r="J25" i="13" a="1"/>
  <c r="J60" i="13" a="1"/>
  <c r="H50" i="13" a="1"/>
  <c r="H31" i="13" a="1"/>
  <c r="H23" i="13" a="1"/>
  <c r="H40" i="13" a="1"/>
  <c r="H60" i="13" a="1"/>
  <c r="G7" i="13" a="1"/>
  <c r="V26" i="13" l="1"/>
  <c r="V23" i="13"/>
  <c r="T23" i="13"/>
  <c r="P46" i="13"/>
  <c r="P35" i="13"/>
  <c r="P50" i="13"/>
  <c r="P70" i="13"/>
  <c r="P40" i="13"/>
  <c r="P66" i="13"/>
  <c r="P60" i="13"/>
  <c r="P23" i="13"/>
  <c r="P56" i="13"/>
  <c r="N70" i="13"/>
  <c r="N50" i="13"/>
  <c r="N56" i="13"/>
  <c r="N60" i="13"/>
  <c r="N66" i="13"/>
  <c r="N40" i="13"/>
  <c r="N23" i="13"/>
  <c r="N46" i="13"/>
  <c r="J60" i="13"/>
  <c r="J25" i="13"/>
  <c r="J31" i="13"/>
  <c r="J40" i="13"/>
  <c r="H60" i="13"/>
  <c r="H40" i="13"/>
  <c r="H23" i="13"/>
  <c r="H31" i="13"/>
  <c r="H50" i="13"/>
  <c r="G7" i="13"/>
  <c r="G31" i="2"/>
  <c r="H31" i="2"/>
  <c r="A1" i="4"/>
  <c r="A1" i="1"/>
  <c r="A1" i="3"/>
  <c r="T10" i="4"/>
  <c r="N10" i="4"/>
  <c r="H10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14" i="4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11" i="3"/>
  <c r="A12" i="3" s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" i="1"/>
  <c r="A12" i="1" s="1"/>
  <c r="A13" i="1" s="1"/>
  <c r="A14" i="1" s="1"/>
  <c r="V27" i="13" a="1"/>
  <c r="T24" i="13" a="1"/>
  <c r="P47" i="13" a="1"/>
  <c r="P51" i="13" a="1"/>
  <c r="P71" i="13" a="1"/>
  <c r="P67" i="13" a="1"/>
  <c r="P24" i="13" a="1"/>
  <c r="P36" i="13" a="1"/>
  <c r="P41" i="13" a="1"/>
  <c r="P61" i="13" a="1"/>
  <c r="P57" i="13" a="1"/>
  <c r="N57" i="13" a="1"/>
  <c r="N61" i="13" a="1"/>
  <c r="N67" i="13" a="1"/>
  <c r="N47" i="13" a="1"/>
  <c r="N51" i="13" a="1"/>
  <c r="N41" i="13" a="1"/>
  <c r="N24" i="13" a="1"/>
  <c r="J61" i="13" a="1"/>
  <c r="J26" i="13" a="1"/>
  <c r="J32" i="13" a="1"/>
  <c r="J41" i="13" a="1"/>
  <c r="H61" i="13" a="1"/>
  <c r="H24" i="13" a="1"/>
  <c r="H32" i="13" a="1"/>
  <c r="H41" i="13" a="1"/>
  <c r="H51" i="13" a="1"/>
  <c r="V27" i="13" l="1"/>
  <c r="T24" i="13"/>
  <c r="P57" i="13"/>
  <c r="P61" i="13"/>
  <c r="P41" i="13"/>
  <c r="P36" i="13"/>
  <c r="P24" i="13"/>
  <c r="P67" i="13"/>
  <c r="P71" i="13"/>
  <c r="P51" i="13"/>
  <c r="P47" i="13"/>
  <c r="N24" i="13"/>
  <c r="N41" i="13"/>
  <c r="N51" i="13"/>
  <c r="N47" i="13"/>
  <c r="N67" i="13"/>
  <c r="N61" i="13"/>
  <c r="N57" i="13"/>
  <c r="J41" i="13"/>
  <c r="J32" i="13"/>
  <c r="J26" i="13"/>
  <c r="J61" i="13"/>
  <c r="H51" i="13"/>
  <c r="H41" i="13"/>
  <c r="H32" i="13"/>
  <c r="H24" i="13"/>
  <c r="H61" i="13"/>
  <c r="F31" i="2"/>
  <c r="E31" i="2"/>
  <c r="D31" i="2"/>
  <c r="C31" i="2"/>
  <c r="B31" i="2"/>
  <c r="N62" i="4"/>
  <c r="N63" i="4" s="1"/>
  <c r="N64" i="4" s="1"/>
  <c r="N119" i="4" s="1" a="1"/>
  <c r="N119" i="4" s="1"/>
  <c r="P14" i="4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N56" i="4"/>
  <c r="N57" i="4" s="1"/>
  <c r="N58" i="4" s="1"/>
  <c r="N59" i="4" s="1"/>
  <c r="N60" i="4" s="1"/>
  <c r="N61" i="4" s="1"/>
  <c r="N14" i="4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R56" i="4"/>
  <c r="R57" i="4" s="1"/>
  <c r="R58" i="4" s="1"/>
  <c r="R59" i="4" s="1"/>
  <c r="R60" i="4" s="1"/>
  <c r="R61" i="4" s="1"/>
  <c r="R62" i="4" s="1"/>
  <c r="R63" i="4" s="1"/>
  <c r="R64" i="4" s="1"/>
  <c r="R119" i="4" s="1" a="1"/>
  <c r="R119" i="4" s="1"/>
  <c r="R14" i="4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P56" i="4"/>
  <c r="P57" i="4" s="1"/>
  <c r="P58" i="4" s="1"/>
  <c r="P59" i="4" s="1"/>
  <c r="P60" i="4" s="1"/>
  <c r="P61" i="4" s="1"/>
  <c r="P62" i="4" s="1"/>
  <c r="P63" i="4" s="1"/>
  <c r="P64" i="4" s="1"/>
  <c r="P119" i="4" s="1" a="1"/>
  <c r="P119" i="4" s="1"/>
  <c r="V20" i="4"/>
  <c r="V21" i="4" s="1"/>
  <c r="V22" i="4" s="1"/>
  <c r="T44" i="4"/>
  <c r="T60" i="4"/>
  <c r="T29" i="4"/>
  <c r="T45" i="4"/>
  <c r="T61" i="4"/>
  <c r="T59" i="4"/>
  <c r="V14" i="4"/>
  <c r="V15" i="4" s="1"/>
  <c r="V16" i="4" s="1"/>
  <c r="V17" i="4" s="1"/>
  <c r="V18" i="4" s="1"/>
  <c r="V19" i="4" s="1"/>
  <c r="T30" i="4"/>
  <c r="T46" i="4"/>
  <c r="T62" i="4"/>
  <c r="T15" i="4"/>
  <c r="T31" i="4"/>
  <c r="T47" i="4"/>
  <c r="T63" i="4"/>
  <c r="T16" i="4"/>
  <c r="T32" i="4"/>
  <c r="T33" i="4" s="1"/>
  <c r="T48" i="4"/>
  <c r="T64" i="4"/>
  <c r="T119" i="4" s="1" a="1"/>
  <c r="T119" i="4" s="1"/>
  <c r="T17" i="4"/>
  <c r="T49" i="4"/>
  <c r="T27" i="4"/>
  <c r="T28" i="4" s="1"/>
  <c r="T18" i="4"/>
  <c r="T34" i="4"/>
  <c r="T50" i="4"/>
  <c r="T14" i="4"/>
  <c r="T19" i="4"/>
  <c r="T20" i="4" s="1"/>
  <c r="T35" i="4"/>
  <c r="T51" i="4"/>
  <c r="V23" i="4"/>
  <c r="V24" i="4" s="1"/>
  <c r="V25" i="4" s="1"/>
  <c r="V26" i="4" s="1"/>
  <c r="V27" i="4" s="1"/>
  <c r="X23" i="4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119" i="4" s="1" a="1"/>
  <c r="X119" i="4" s="1"/>
  <c r="T36" i="4"/>
  <c r="T37" i="4" s="1"/>
  <c r="T52" i="4"/>
  <c r="T53" i="4" s="1"/>
  <c r="T21" i="4"/>
  <c r="X14" i="4"/>
  <c r="X15" i="4" s="1"/>
  <c r="X16" i="4" s="1"/>
  <c r="X17" i="4" s="1"/>
  <c r="X18" i="4" s="1"/>
  <c r="X19" i="4" s="1"/>
  <c r="X20" i="4" s="1"/>
  <c r="X21" i="4" s="1"/>
  <c r="X22" i="4" s="1"/>
  <c r="T22" i="4"/>
  <c r="T23" i="4" s="1"/>
  <c r="T38" i="4"/>
  <c r="T54" i="4"/>
  <c r="T39" i="4"/>
  <c r="T55" i="4"/>
  <c r="T24" i="4"/>
  <c r="T40" i="4"/>
  <c r="T56" i="4"/>
  <c r="V33" i="4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119" i="4" s="1" a="1"/>
  <c r="V119" i="4" s="1"/>
  <c r="T25" i="4"/>
  <c r="T41" i="4"/>
  <c r="T42" i="4" s="1"/>
  <c r="T43" i="4" s="1"/>
  <c r="T57" i="4"/>
  <c r="V28" i="4"/>
  <c r="V29" i="4" s="1"/>
  <c r="V30" i="4" s="1"/>
  <c r="V31" i="4" s="1"/>
  <c r="V32" i="4" s="1"/>
  <c r="T26" i="4"/>
  <c r="T58" i="4"/>
  <c r="J14" i="4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H55" i="4"/>
  <c r="H56" i="4" s="1"/>
  <c r="H57" i="4" s="1"/>
  <c r="H58" i="4" s="1"/>
  <c r="H59" i="4" s="1"/>
  <c r="H60" i="4" s="1"/>
  <c r="H61" i="4" s="1"/>
  <c r="H62" i="4" s="1"/>
  <c r="H63" i="4" s="1"/>
  <c r="H64" i="4" s="1"/>
  <c r="H119" i="4" s="1" a="1"/>
  <c r="H119" i="4" s="1"/>
  <c r="L55" i="4"/>
  <c r="L56" i="4" s="1"/>
  <c r="L57" i="4" s="1"/>
  <c r="L58" i="4" s="1"/>
  <c r="L59" i="4" s="1"/>
  <c r="L60" i="4" s="1"/>
  <c r="L61" i="4" s="1"/>
  <c r="L62" i="4" s="1"/>
  <c r="L63" i="4" s="1"/>
  <c r="L64" i="4" s="1"/>
  <c r="L119" i="4" s="1" a="1"/>
  <c r="L119" i="4" s="1"/>
  <c r="L14" i="4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H14" i="4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J55" i="4"/>
  <c r="J56" i="4" s="1"/>
  <c r="J57" i="4" s="1"/>
  <c r="J58" i="4" s="1"/>
  <c r="J59" i="4" s="1"/>
  <c r="J60" i="4" s="1"/>
  <c r="J61" i="4" s="1"/>
  <c r="J62" i="4" s="1"/>
  <c r="J63" i="4" s="1"/>
  <c r="J64" i="4" s="1"/>
  <c r="J119" i="4" s="1" a="1"/>
  <c r="J119" i="4" s="1"/>
  <c r="A15" i="4"/>
  <c r="A16" i="4" s="1"/>
  <c r="A17" i="4" s="1"/>
  <c r="A13" i="3"/>
  <c r="A15" i="1"/>
  <c r="V28" i="13" a="1"/>
  <c r="T25" i="13" a="1"/>
  <c r="P62" i="13" a="1"/>
  <c r="P42" i="13" a="1"/>
  <c r="P37" i="13" a="1"/>
  <c r="P25" i="13" a="1"/>
  <c r="P72" i="13" a="1"/>
  <c r="P52" i="13" a="1"/>
  <c r="N25" i="13" a="1"/>
  <c r="N42" i="13" a="1"/>
  <c r="N52" i="13" a="1"/>
  <c r="N62" i="13" a="1"/>
  <c r="J42" i="13" a="1"/>
  <c r="J33" i="13" a="1"/>
  <c r="J27" i="13" a="1"/>
  <c r="J62" i="13" a="1"/>
  <c r="H52" i="13" a="1"/>
  <c r="H33" i="13" a="1"/>
  <c r="H25" i="13" a="1"/>
  <c r="H42" i="13" a="1"/>
  <c r="H62" i="13" a="1"/>
  <c r="P19" i="13" a="1"/>
  <c r="N19" i="13" a="1"/>
  <c r="X19" i="13" a="1"/>
  <c r="R19" i="13" a="1"/>
  <c r="J19" i="13" a="1"/>
  <c r="V19" i="13" a="1"/>
  <c r="T19" i="13" a="1"/>
  <c r="H19" i="13" a="1"/>
  <c r="L19" i="13" a="1"/>
  <c r="V28" i="13" l="1"/>
  <c r="T25" i="13"/>
  <c r="P52" i="13"/>
  <c r="P72" i="13"/>
  <c r="P25" i="13"/>
  <c r="P37" i="13"/>
  <c r="P42" i="13"/>
  <c r="P62" i="13"/>
  <c r="N62" i="13"/>
  <c r="N52" i="13"/>
  <c r="N42" i="13"/>
  <c r="N25" i="13"/>
  <c r="J62" i="13"/>
  <c r="J27" i="13"/>
  <c r="J33" i="13"/>
  <c r="J42" i="13"/>
  <c r="H62" i="13"/>
  <c r="H42" i="13"/>
  <c r="H25" i="13"/>
  <c r="H33" i="13"/>
  <c r="H52" i="13"/>
  <c r="X19" i="13"/>
  <c r="V19" i="13"/>
  <c r="T19" i="13"/>
  <c r="R19" i="13"/>
  <c r="P19" i="13"/>
  <c r="N19" i="13"/>
  <c r="L19" i="13"/>
  <c r="J19" i="13"/>
  <c r="H19" i="13"/>
  <c r="A18" i="4"/>
  <c r="A14" i="3"/>
  <c r="A16" i="1"/>
  <c r="X20" i="13" a="1"/>
  <c r="V29" i="13" a="1"/>
  <c r="V20" i="13" a="1"/>
  <c r="T26" i="13" a="1"/>
  <c r="T20" i="13" a="1"/>
  <c r="R20" i="13" a="1"/>
  <c r="P53" i="13" a="1"/>
  <c r="P26" i="13" a="1"/>
  <c r="P43" i="13" a="1"/>
  <c r="P63" i="13" a="1"/>
  <c r="P20" i="13" a="1"/>
  <c r="N63" i="13" a="1"/>
  <c r="N43" i="13" a="1"/>
  <c r="N26" i="13" a="1"/>
  <c r="N53" i="13" a="1"/>
  <c r="N20" i="13" a="1"/>
  <c r="L20" i="13" a="1"/>
  <c r="J63" i="13" a="1"/>
  <c r="J28" i="13" a="1"/>
  <c r="J34" i="13" a="1"/>
  <c r="J43" i="13" a="1"/>
  <c r="J20" i="13" a="1"/>
  <c r="H63" i="13" a="1"/>
  <c r="H26" i="13" a="1"/>
  <c r="H34" i="13" a="1"/>
  <c r="H53" i="13" a="1"/>
  <c r="H43" i="13" a="1"/>
  <c r="X20" i="13" l="1"/>
  <c r="V20" i="13"/>
  <c r="V29" i="13"/>
  <c r="T20" i="13"/>
  <c r="T26" i="13"/>
  <c r="R20" i="13"/>
  <c r="P20" i="13"/>
  <c r="P63" i="13"/>
  <c r="P43" i="13"/>
  <c r="P26" i="13"/>
  <c r="P53" i="13"/>
  <c r="N20" i="13"/>
  <c r="N53" i="13"/>
  <c r="N26" i="13"/>
  <c r="N43" i="13"/>
  <c r="N63" i="13"/>
  <c r="L20" i="13"/>
  <c r="J20" i="13"/>
  <c r="J43" i="13"/>
  <c r="J34" i="13"/>
  <c r="J28" i="13"/>
  <c r="J63" i="13"/>
  <c r="H43" i="13"/>
  <c r="H53" i="13"/>
  <c r="H34" i="13"/>
  <c r="H26" i="13"/>
  <c r="H63" i="13"/>
  <c r="A17" i="1"/>
  <c r="A19" i="4"/>
  <c r="A15" i="3"/>
  <c r="X21" i="13" a="1"/>
  <c r="V30" i="13" a="1"/>
  <c r="T27" i="13" a="1"/>
  <c r="R21" i="13" a="1"/>
  <c r="P27" i="13" a="1"/>
  <c r="N27" i="13" a="1"/>
  <c r="L21" i="13" a="1"/>
  <c r="J44" i="13" a="1"/>
  <c r="J35" i="13" a="1"/>
  <c r="J64" i="13" a="1"/>
  <c r="H44" i="13" a="1"/>
  <c r="H54" i="13" a="1"/>
  <c r="H35" i="13" a="1"/>
  <c r="H27" i="13" a="1"/>
  <c r="H64" i="13" a="1"/>
  <c r="X21" i="13" l="1"/>
  <c r="V30" i="13"/>
  <c r="T27" i="13"/>
  <c r="R21" i="13"/>
  <c r="P27" i="13"/>
  <c r="N27" i="13"/>
  <c r="L21" i="13"/>
  <c r="J64" i="13"/>
  <c r="J35" i="13"/>
  <c r="J44" i="13"/>
  <c r="H64" i="13"/>
  <c r="H27" i="13"/>
  <c r="H35" i="13"/>
  <c r="H54" i="13"/>
  <c r="H44" i="13"/>
  <c r="A18" i="1"/>
  <c r="A20" i="4"/>
  <c r="A16" i="3"/>
  <c r="X22" i="13" a="1"/>
  <c r="V31" i="13" a="1"/>
  <c r="T28" i="13" a="1"/>
  <c r="R22" i="13" a="1"/>
  <c r="P28" i="13" a="1"/>
  <c r="N28" i="13" a="1"/>
  <c r="L22" i="13" a="1"/>
  <c r="J65" i="13" a="1"/>
  <c r="J36" i="13" a="1"/>
  <c r="J45" i="13" a="1"/>
  <c r="H36" i="13" a="1"/>
  <c r="H55" i="13" a="1"/>
  <c r="H45" i="13" a="1"/>
  <c r="H65" i="13" a="1"/>
  <c r="H28" i="13" a="1"/>
  <c r="X22" i="13" l="1"/>
  <c r="V31" i="13"/>
  <c r="T28" i="13"/>
  <c r="R22" i="13"/>
  <c r="P28" i="13"/>
  <c r="N28" i="13"/>
  <c r="L22" i="13"/>
  <c r="J45" i="13"/>
  <c r="J36" i="13"/>
  <c r="J65" i="13"/>
  <c r="H28" i="13"/>
  <c r="H65" i="13"/>
  <c r="H45" i="13"/>
  <c r="H55" i="13"/>
  <c r="H36" i="13"/>
  <c r="A19" i="1"/>
  <c r="A21" i="4"/>
  <c r="A17" i="3"/>
  <c r="X23" i="13" a="1"/>
  <c r="V32" i="13" a="1"/>
  <c r="T29" i="13" a="1"/>
  <c r="R23" i="13" a="1"/>
  <c r="P29" i="13" a="1"/>
  <c r="N29" i="13" a="1"/>
  <c r="L23" i="13" a="1"/>
  <c r="J46" i="13" a="1"/>
  <c r="J37" i="13" a="1"/>
  <c r="J66" i="13" a="1"/>
  <c r="H66" i="13" a="1"/>
  <c r="H46" i="13" a="1"/>
  <c r="H56" i="13" a="1"/>
  <c r="H37" i="13" a="1"/>
  <c r="X23" i="13" l="1"/>
  <c r="V32" i="13"/>
  <c r="T29" i="13"/>
  <c r="R23" i="13"/>
  <c r="P29" i="13"/>
  <c r="N29" i="13"/>
  <c r="L23" i="13"/>
  <c r="J66" i="13"/>
  <c r="J37" i="13"/>
  <c r="J46" i="13"/>
  <c r="H37" i="13"/>
  <c r="H56" i="13"/>
  <c r="H46" i="13"/>
  <c r="H66" i="13"/>
  <c r="A20" i="1"/>
  <c r="A22" i="4"/>
  <c r="A18" i="3"/>
  <c r="X24" i="13" a="1"/>
  <c r="V33" i="13" a="1"/>
  <c r="T30" i="13" a="1"/>
  <c r="R24" i="13" a="1"/>
  <c r="P30" i="13" a="1"/>
  <c r="N30" i="13" a="1"/>
  <c r="L24" i="13" a="1"/>
  <c r="J67" i="13" a="1"/>
  <c r="J47" i="13" a="1"/>
  <c r="H57" i="13" a="1"/>
  <c r="H47" i="13" a="1"/>
  <c r="H67" i="13" a="1"/>
  <c r="X24" i="13" l="1"/>
  <c r="V33" i="13"/>
  <c r="T30" i="13"/>
  <c r="R24" i="13"/>
  <c r="P30" i="13"/>
  <c r="N30" i="13"/>
  <c r="L24" i="13"/>
  <c r="J47" i="13"/>
  <c r="J67" i="13"/>
  <c r="H67" i="13"/>
  <c r="H47" i="13"/>
  <c r="H57" i="13"/>
  <c r="A21" i="1"/>
  <c r="A23" i="4"/>
  <c r="A19" i="3"/>
  <c r="X25" i="13" a="1"/>
  <c r="V34" i="13" a="1"/>
  <c r="T31" i="13" a="1"/>
  <c r="R25" i="13" a="1"/>
  <c r="P31" i="13" a="1"/>
  <c r="N31" i="13" a="1"/>
  <c r="L25" i="13" a="1"/>
  <c r="J48" i="13" a="1"/>
  <c r="J68" i="13" a="1"/>
  <c r="H68" i="13" a="1"/>
  <c r="X25" i="13" l="1"/>
  <c r="V34" i="13"/>
  <c r="T31" i="13"/>
  <c r="R25" i="13"/>
  <c r="P31" i="13"/>
  <c r="N31" i="13"/>
  <c r="L25" i="13"/>
  <c r="J68" i="13"/>
  <c r="J48" i="13"/>
  <c r="H68" i="13"/>
  <c r="A22" i="1"/>
  <c r="A24" i="4"/>
  <c r="A20" i="3"/>
  <c r="X26" i="13" a="1"/>
  <c r="V35" i="13" a="1"/>
  <c r="T32" i="13" a="1"/>
  <c r="R26" i="13" a="1"/>
  <c r="P32" i="13" a="1"/>
  <c r="N32" i="13" a="1"/>
  <c r="L26" i="13" a="1"/>
  <c r="J69" i="13" a="1"/>
  <c r="J49" i="13" a="1"/>
  <c r="H69" i="13" a="1"/>
  <c r="X26" i="13" l="1"/>
  <c r="V35" i="13"/>
  <c r="T32" i="13"/>
  <c r="R26" i="13"/>
  <c r="P32" i="13"/>
  <c r="N32" i="13"/>
  <c r="L26" i="13"/>
  <c r="J49" i="13"/>
  <c r="J69" i="13"/>
  <c r="H69" i="13"/>
  <c r="A23" i="1"/>
  <c r="A25" i="4"/>
  <c r="A21" i="3"/>
  <c r="X27" i="13" a="1"/>
  <c r="V36" i="13" a="1"/>
  <c r="T33" i="13" a="1"/>
  <c r="R27" i="13" a="1"/>
  <c r="N33" i="13" a="1"/>
  <c r="L27" i="13" a="1"/>
  <c r="J50" i="13" a="1"/>
  <c r="J70" i="13" a="1"/>
  <c r="H70" i="13" a="1"/>
  <c r="X27" i="13" l="1"/>
  <c r="V36" i="13"/>
  <c r="T33" i="13"/>
  <c r="R27" i="13"/>
  <c r="N33" i="13"/>
  <c r="L27" i="13"/>
  <c r="J70" i="13"/>
  <c r="J50" i="13"/>
  <c r="H70" i="13"/>
  <c r="A24" i="1"/>
  <c r="A26" i="4"/>
  <c r="A22" i="3"/>
  <c r="X28" i="13" a="1"/>
  <c r="V37" i="13" a="1"/>
  <c r="T34" i="13" a="1"/>
  <c r="R28" i="13" a="1"/>
  <c r="N34" i="13" a="1"/>
  <c r="L28" i="13" a="1"/>
  <c r="J71" i="13" a="1"/>
  <c r="J51" i="13" a="1"/>
  <c r="H71" i="13" a="1"/>
  <c r="X28" i="13" l="1"/>
  <c r="V37" i="13"/>
  <c r="T34" i="13"/>
  <c r="R28" i="13"/>
  <c r="N34" i="13"/>
  <c r="L28" i="13"/>
  <c r="J51" i="13"/>
  <c r="J71" i="13"/>
  <c r="H71" i="13"/>
  <c r="A25" i="1"/>
  <c r="A27" i="4"/>
  <c r="A23" i="3"/>
  <c r="X29" i="13" a="1"/>
  <c r="V38" i="13" a="1"/>
  <c r="T35" i="13" a="1"/>
  <c r="R29" i="13" a="1"/>
  <c r="N35" i="13" a="1"/>
  <c r="L29" i="13" a="1"/>
  <c r="J52" i="13" a="1"/>
  <c r="J72" i="13" a="1"/>
  <c r="H72" i="13" a="1"/>
  <c r="X29" i="13" l="1"/>
  <c r="V38" i="13"/>
  <c r="T35" i="13"/>
  <c r="R29" i="13"/>
  <c r="N35" i="13"/>
  <c r="L29" i="13"/>
  <c r="J72" i="13"/>
  <c r="J52" i="13"/>
  <c r="H72" i="13"/>
  <c r="A26" i="1"/>
  <c r="A28" i="4"/>
  <c r="A24" i="3"/>
  <c r="X30" i="13" a="1"/>
  <c r="V39" i="13" a="1"/>
  <c r="T36" i="13" a="1"/>
  <c r="R30" i="13" a="1"/>
  <c r="N36" i="13" a="1"/>
  <c r="L30" i="13" a="1"/>
  <c r="J53" i="13" a="1"/>
  <c r="X30" i="13" l="1"/>
  <c r="V39" i="13"/>
  <c r="T36" i="13"/>
  <c r="R30" i="13"/>
  <c r="N36" i="13"/>
  <c r="L30" i="13"/>
  <c r="J53" i="13"/>
  <c r="A27" i="1"/>
  <c r="A29" i="4"/>
  <c r="A25" i="3"/>
  <c r="X31" i="13" a="1"/>
  <c r="V40" i="13" a="1"/>
  <c r="T37" i="13" a="1"/>
  <c r="R31" i="13" a="1"/>
  <c r="N37" i="13" a="1"/>
  <c r="L31" i="13" a="1"/>
  <c r="J54" i="13" a="1"/>
  <c r="X31" i="13" l="1"/>
  <c r="V40" i="13"/>
  <c r="T37" i="13"/>
  <c r="R31" i="13"/>
  <c r="N37" i="13"/>
  <c r="L31" i="13"/>
  <c r="J54" i="13"/>
  <c r="A28" i="1"/>
  <c r="A30" i="4"/>
  <c r="A26" i="3"/>
  <c r="X32" i="13" a="1"/>
  <c r="V41" i="13" a="1"/>
  <c r="T38" i="13" a="1"/>
  <c r="R32" i="13" a="1"/>
  <c r="L32" i="13" a="1"/>
  <c r="J55" i="13" a="1"/>
  <c r="X32" i="13" l="1"/>
  <c r="V41" i="13"/>
  <c r="T38" i="13"/>
  <c r="R32" i="13"/>
  <c r="L32" i="13"/>
  <c r="J55" i="13"/>
  <c r="A29" i="1"/>
  <c r="A31" i="4"/>
  <c r="A27" i="3"/>
  <c r="X33" i="13" a="1"/>
  <c r="V42" i="13" a="1"/>
  <c r="T39" i="13" a="1"/>
  <c r="R33" i="13" a="1"/>
  <c r="L33" i="13" a="1"/>
  <c r="J56" i="13" a="1"/>
  <c r="X33" i="13" l="1"/>
  <c r="V42" i="13"/>
  <c r="T39" i="13"/>
  <c r="R33" i="13"/>
  <c r="L33" i="13"/>
  <c r="J56" i="13"/>
  <c r="A30" i="1"/>
  <c r="A32" i="4"/>
  <c r="A28" i="3"/>
  <c r="X34" i="13" a="1"/>
  <c r="V43" i="13" a="1"/>
  <c r="T40" i="13" a="1"/>
  <c r="R34" i="13" a="1"/>
  <c r="L34" i="13" a="1"/>
  <c r="J57" i="13" a="1"/>
  <c r="X34" i="13" l="1"/>
  <c r="V43" i="13"/>
  <c r="T40" i="13"/>
  <c r="R34" i="13"/>
  <c r="L34" i="13"/>
  <c r="J57" i="13"/>
  <c r="A31" i="1"/>
  <c r="A33" i="4"/>
  <c r="A29" i="3"/>
  <c r="X35" i="13" a="1"/>
  <c r="V44" i="13" a="1"/>
  <c r="T41" i="13" a="1"/>
  <c r="R35" i="13" a="1"/>
  <c r="L35" i="13" a="1"/>
  <c r="X35" i="13" l="1"/>
  <c r="V44" i="13"/>
  <c r="T41" i="13"/>
  <c r="R35" i="13"/>
  <c r="L35" i="13"/>
  <c r="A32" i="1"/>
  <c r="A34" i="4"/>
  <c r="A30" i="3"/>
  <c r="X36" i="13" a="1"/>
  <c r="V45" i="13" a="1"/>
  <c r="T42" i="13" a="1"/>
  <c r="R36" i="13" a="1"/>
  <c r="L36" i="13" a="1"/>
  <c r="X36" i="13" l="1"/>
  <c r="V45" i="13"/>
  <c r="T42" i="13"/>
  <c r="R36" i="13"/>
  <c r="L36" i="13"/>
  <c r="A33" i="1"/>
  <c r="A35" i="4"/>
  <c r="A31" i="3"/>
  <c r="X37" i="13" a="1"/>
  <c r="V46" i="13" a="1"/>
  <c r="T43" i="13" a="1"/>
  <c r="R37" i="13" a="1"/>
  <c r="L37" i="13" a="1"/>
  <c r="X37" i="13" l="1"/>
  <c r="V46" i="13"/>
  <c r="T43" i="13"/>
  <c r="R37" i="13"/>
  <c r="L37" i="13"/>
  <c r="A34" i="1"/>
  <c r="A36" i="4"/>
  <c r="A32" i="3"/>
  <c r="X38" i="13" a="1"/>
  <c r="V47" i="13" a="1"/>
  <c r="T44" i="13" a="1"/>
  <c r="R38" i="13" a="1"/>
  <c r="L38" i="13" a="1"/>
  <c r="X38" i="13" l="1"/>
  <c r="V47" i="13"/>
  <c r="T44" i="13"/>
  <c r="R38" i="13"/>
  <c r="L38" i="13"/>
  <c r="A35" i="1"/>
  <c r="A37" i="4"/>
  <c r="A33" i="3"/>
  <c r="X39" i="13" a="1"/>
  <c r="V48" i="13" a="1"/>
  <c r="T45" i="13" a="1"/>
  <c r="R39" i="13" a="1"/>
  <c r="L39" i="13" a="1"/>
  <c r="X39" i="13" l="1"/>
  <c r="V48" i="13"/>
  <c r="T45" i="13"/>
  <c r="R39" i="13"/>
  <c r="L39" i="13"/>
  <c r="A36" i="1"/>
  <c r="A38" i="4"/>
  <c r="A34" i="3"/>
  <c r="X40" i="13" a="1"/>
  <c r="V49" i="13" a="1"/>
  <c r="T46" i="13" a="1"/>
  <c r="R40" i="13" a="1"/>
  <c r="L40" i="13" a="1"/>
  <c r="X40" i="13" l="1"/>
  <c r="V49" i="13"/>
  <c r="T46" i="13"/>
  <c r="R40" i="13"/>
  <c r="L40" i="13"/>
  <c r="A37" i="1"/>
  <c r="A39" i="4"/>
  <c r="A35" i="3"/>
  <c r="X41" i="13" a="1"/>
  <c r="V50" i="13" a="1"/>
  <c r="T47" i="13" a="1"/>
  <c r="R41" i="13" a="1"/>
  <c r="L41" i="13" a="1"/>
  <c r="X41" i="13" l="1"/>
  <c r="V50" i="13"/>
  <c r="T47" i="13"/>
  <c r="R41" i="13"/>
  <c r="L41" i="13"/>
  <c r="A38" i="1"/>
  <c r="A40" i="4"/>
  <c r="A36" i="3"/>
  <c r="X42" i="13" a="1"/>
  <c r="V51" i="13" a="1"/>
  <c r="T48" i="13" a="1"/>
  <c r="R42" i="13" a="1"/>
  <c r="L42" i="13" a="1"/>
  <c r="X42" i="13" l="1"/>
  <c r="V51" i="13"/>
  <c r="T48" i="13"/>
  <c r="R42" i="13"/>
  <c r="L42" i="13"/>
  <c r="A39" i="1"/>
  <c r="A41" i="4"/>
  <c r="A37" i="3"/>
  <c r="X43" i="13" a="1"/>
  <c r="V52" i="13" a="1"/>
  <c r="T49" i="13" a="1"/>
  <c r="R43" i="13" a="1"/>
  <c r="L43" i="13" a="1"/>
  <c r="P15" i="13" a="1"/>
  <c r="N15" i="13" a="1"/>
  <c r="X43" i="13" l="1"/>
  <c r="V52" i="13"/>
  <c r="T49" i="13"/>
  <c r="R43" i="13"/>
  <c r="L43" i="13"/>
  <c r="N15" i="13"/>
  <c r="P15" i="13"/>
  <c r="A40" i="1"/>
  <c r="A42" i="4"/>
  <c r="A38" i="3"/>
  <c r="X44" i="13" a="1"/>
  <c r="V53" i="13" a="1"/>
  <c r="T50" i="13" a="1"/>
  <c r="R44" i="13" a="1"/>
  <c r="L44" i="13" a="1"/>
  <c r="X44" i="13" l="1"/>
  <c r="V53" i="13"/>
  <c r="T50" i="13"/>
  <c r="R44" i="13"/>
  <c r="L44" i="13"/>
  <c r="A41" i="1"/>
  <c r="A43" i="4"/>
  <c r="A39" i="3"/>
  <c r="X45" i="13" a="1"/>
  <c r="V54" i="13" a="1"/>
  <c r="T51" i="13" a="1"/>
  <c r="R45" i="13" a="1"/>
  <c r="L45" i="13" a="1"/>
  <c r="X45" i="13" l="1"/>
  <c r="V54" i="13"/>
  <c r="T51" i="13"/>
  <c r="R45" i="13"/>
  <c r="L45" i="13"/>
  <c r="A42" i="1"/>
  <c r="A44" i="4"/>
  <c r="A40" i="3"/>
  <c r="X46" i="13" a="1"/>
  <c r="V55" i="13" a="1"/>
  <c r="T52" i="13" a="1"/>
  <c r="R46" i="13" a="1"/>
  <c r="L46" i="13" a="1"/>
  <c r="X46" i="13" l="1"/>
  <c r="V55" i="13"/>
  <c r="T52" i="13"/>
  <c r="R46" i="13"/>
  <c r="L46" i="13"/>
  <c r="A43" i="1"/>
  <c r="A45" i="4"/>
  <c r="A41" i="3"/>
  <c r="X47" i="13" a="1"/>
  <c r="V56" i="13" a="1"/>
  <c r="T53" i="13" a="1"/>
  <c r="R47" i="13" a="1"/>
  <c r="L47" i="13" a="1"/>
  <c r="X47" i="13" l="1"/>
  <c r="V56" i="13"/>
  <c r="T53" i="13"/>
  <c r="R47" i="13"/>
  <c r="L47" i="13"/>
  <c r="A44" i="1"/>
  <c r="A46" i="4"/>
  <c r="A42" i="3"/>
  <c r="X48" i="13" a="1"/>
  <c r="V57" i="13" a="1"/>
  <c r="T54" i="13" a="1"/>
  <c r="R48" i="13" a="1"/>
  <c r="L48" i="13" a="1"/>
  <c r="X48" i="13" l="1"/>
  <c r="V57" i="13"/>
  <c r="T54" i="13"/>
  <c r="R48" i="13"/>
  <c r="L48" i="13"/>
  <c r="A45" i="1"/>
  <c r="A47" i="4"/>
  <c r="A43" i="3"/>
  <c r="X49" i="13" a="1"/>
  <c r="V58" i="13" a="1"/>
  <c r="T55" i="13" a="1"/>
  <c r="R49" i="13" a="1"/>
  <c r="L49" i="13" a="1"/>
  <c r="H15" i="13" a="1"/>
  <c r="J15" i="13" a="1"/>
  <c r="X49" i="13" l="1"/>
  <c r="V58" i="13"/>
  <c r="T55" i="13"/>
  <c r="R49" i="13"/>
  <c r="L49" i="13"/>
  <c r="J15" i="13"/>
  <c r="H15" i="13"/>
  <c r="A46" i="1"/>
  <c r="A48" i="4"/>
  <c r="A44" i="3"/>
  <c r="X50" i="13" a="1"/>
  <c r="V59" i="13" a="1"/>
  <c r="T56" i="13" a="1"/>
  <c r="R50" i="13" a="1"/>
  <c r="L50" i="13" a="1"/>
  <c r="X50" i="13" l="1"/>
  <c r="V59" i="13"/>
  <c r="T56" i="13"/>
  <c r="R50" i="13"/>
  <c r="L50" i="13"/>
  <c r="A47" i="1"/>
  <c r="A49" i="4"/>
  <c r="A45" i="3"/>
  <c r="X51" i="13" a="1"/>
  <c r="V60" i="13" a="1"/>
  <c r="T57" i="13" a="1"/>
  <c r="R51" i="13" a="1"/>
  <c r="L51" i="13" a="1"/>
  <c r="X51" i="13" l="1"/>
  <c r="V60" i="13"/>
  <c r="T57" i="13"/>
  <c r="R51" i="13"/>
  <c r="L51" i="13"/>
  <c r="A48" i="1"/>
  <c r="A50" i="4"/>
  <c r="A46" i="3"/>
  <c r="X52" i="13" a="1"/>
  <c r="V61" i="13" a="1"/>
  <c r="T58" i="13" a="1"/>
  <c r="R52" i="13" a="1"/>
  <c r="L52" i="13" a="1"/>
  <c r="X52" i="13" l="1"/>
  <c r="V61" i="13"/>
  <c r="T58" i="13"/>
  <c r="R52" i="13"/>
  <c r="L52" i="13"/>
  <c r="A49" i="1"/>
  <c r="A51" i="4"/>
  <c r="A47" i="3"/>
  <c r="X53" i="13" a="1"/>
  <c r="V62" i="13" a="1"/>
  <c r="T59" i="13" a="1"/>
  <c r="R53" i="13" a="1"/>
  <c r="L53" i="13" a="1"/>
  <c r="X53" i="13" l="1"/>
  <c r="V62" i="13"/>
  <c r="T59" i="13"/>
  <c r="R53" i="13"/>
  <c r="L53" i="13"/>
  <c r="A50" i="1"/>
  <c r="A52" i="4"/>
  <c r="A48" i="3"/>
  <c r="X54" i="13" a="1"/>
  <c r="V63" i="13" a="1"/>
  <c r="T60" i="13" a="1"/>
  <c r="R54" i="13" a="1"/>
  <c r="L54" i="13" a="1"/>
  <c r="X54" i="13" l="1"/>
  <c r="V63" i="13"/>
  <c r="T60" i="13"/>
  <c r="R54" i="13"/>
  <c r="L54" i="13"/>
  <c r="A51" i="1"/>
  <c r="A53" i="4"/>
  <c r="A49" i="3"/>
  <c r="X55" i="13" a="1"/>
  <c r="V64" i="13" a="1"/>
  <c r="T61" i="13" a="1"/>
  <c r="R55" i="13" a="1"/>
  <c r="L55" i="13" a="1"/>
  <c r="X55" i="13" l="1"/>
  <c r="V64" i="13"/>
  <c r="T61" i="13"/>
  <c r="R55" i="13"/>
  <c r="L55" i="13"/>
  <c r="A52" i="1"/>
  <c r="A54" i="4"/>
  <c r="D54" i="4" s="1" a="1"/>
  <c r="D54" i="4" s="1"/>
  <c r="A50" i="3"/>
  <c r="X56" i="13" a="1"/>
  <c r="V65" i="13" a="1"/>
  <c r="T62" i="13" a="1"/>
  <c r="R56" i="13" a="1"/>
  <c r="L56" i="13" a="1"/>
  <c r="X56" i="13" l="1"/>
  <c r="V65" i="13"/>
  <c r="T62" i="13"/>
  <c r="R56" i="13"/>
  <c r="L56" i="13"/>
  <c r="A53" i="1"/>
  <c r="A55" i="4"/>
  <c r="D55" i="4" s="1" a="1"/>
  <c r="D55" i="4" s="1"/>
  <c r="A51" i="3"/>
  <c r="X57" i="13" a="1"/>
  <c r="V66" i="13" a="1"/>
  <c r="T63" i="13" a="1"/>
  <c r="R57" i="13" a="1"/>
  <c r="L57" i="13" a="1"/>
  <c r="X57" i="13" l="1"/>
  <c r="V66" i="13"/>
  <c r="T63" i="13"/>
  <c r="R57" i="13"/>
  <c r="L57" i="13"/>
  <c r="A54" i="1"/>
  <c r="A56" i="4"/>
  <c r="A52" i="3"/>
  <c r="X58" i="13" a="1"/>
  <c r="V67" i="13" a="1"/>
  <c r="T64" i="13" a="1"/>
  <c r="R58" i="13" a="1"/>
  <c r="L58" i="13" a="1"/>
  <c r="X58" i="13" l="1"/>
  <c r="V67" i="13"/>
  <c r="T64" i="13"/>
  <c r="R58" i="13"/>
  <c r="L58" i="13"/>
  <c r="D56" i="4" a="1"/>
  <c r="D56" i="4" s="1"/>
  <c r="A57" i="4"/>
  <c r="A55" i="1"/>
  <c r="A53" i="3"/>
  <c r="X59" i="13" a="1"/>
  <c r="V68" i="13" a="1"/>
  <c r="T65" i="13" a="1"/>
  <c r="R59" i="13" a="1"/>
  <c r="L59" i="13" a="1"/>
  <c r="X59" i="13" l="1"/>
  <c r="V68" i="13"/>
  <c r="T65" i="13"/>
  <c r="R59" i="13"/>
  <c r="L59" i="13"/>
  <c r="D57" i="4" a="1"/>
  <c r="D57" i="4" s="1"/>
  <c r="A58" i="4"/>
  <c r="A56" i="1"/>
  <c r="A54" i="3"/>
  <c r="X60" i="13" a="1"/>
  <c r="V69" i="13" a="1"/>
  <c r="T66" i="13" a="1"/>
  <c r="R60" i="13" a="1"/>
  <c r="L60" i="13" a="1"/>
  <c r="X60" i="13" l="1"/>
  <c r="V69" i="13"/>
  <c r="T66" i="13"/>
  <c r="R60" i="13"/>
  <c r="L60" i="13"/>
  <c r="D58" i="4" a="1"/>
  <c r="D58" i="4" s="1"/>
  <c r="A59" i="4"/>
  <c r="A57" i="1"/>
  <c r="A55" i="3"/>
  <c r="X61" i="13" a="1"/>
  <c r="V70" i="13" a="1"/>
  <c r="T67" i="13" a="1"/>
  <c r="R61" i="13" a="1"/>
  <c r="L61" i="13" a="1"/>
  <c r="X61" i="13" l="1"/>
  <c r="V70" i="13"/>
  <c r="T67" i="13"/>
  <c r="R61" i="13"/>
  <c r="L61" i="13"/>
  <c r="D59" i="4" a="1"/>
  <c r="D59" i="4" s="1"/>
  <c r="A60" i="4"/>
  <c r="A56" i="3"/>
  <c r="X62" i="13" a="1"/>
  <c r="V71" i="13" a="1"/>
  <c r="T68" i="13" a="1"/>
  <c r="R62" i="13" a="1"/>
  <c r="L62" i="13" a="1"/>
  <c r="X62" i="13" l="1"/>
  <c r="V71" i="13"/>
  <c r="T68" i="13"/>
  <c r="R62" i="13"/>
  <c r="L62" i="13"/>
  <c r="D60" i="4" a="1"/>
  <c r="D60" i="4" s="1"/>
  <c r="A61" i="4"/>
  <c r="A57" i="3"/>
  <c r="X63" i="13" a="1"/>
  <c r="V72" i="13" a="1"/>
  <c r="T69" i="13" a="1"/>
  <c r="R63" i="13" a="1"/>
  <c r="L63" i="13" a="1"/>
  <c r="X63" i="13" l="1"/>
  <c r="V72" i="13"/>
  <c r="T69" i="13"/>
  <c r="R63" i="13"/>
  <c r="L63" i="13"/>
  <c r="D61" i="4" a="1"/>
  <c r="D61" i="4" s="1"/>
  <c r="A62" i="4"/>
  <c r="A58" i="3"/>
  <c r="X64" i="13" a="1"/>
  <c r="T70" i="13" a="1"/>
  <c r="R64" i="13" a="1"/>
  <c r="L64" i="13" a="1"/>
  <c r="X64" i="13" l="1"/>
  <c r="T70" i="13"/>
  <c r="R64" i="13"/>
  <c r="L64" i="13"/>
  <c r="D62" i="4" a="1"/>
  <c r="D62" i="4" s="1"/>
  <c r="A63" i="4"/>
  <c r="A59" i="3"/>
  <c r="X65" i="13" a="1"/>
  <c r="T71" i="13" a="1"/>
  <c r="R65" i="13" a="1"/>
  <c r="L65" i="13" a="1"/>
  <c r="X65" i="13" l="1"/>
  <c r="T71" i="13"/>
  <c r="R65" i="13"/>
  <c r="L65" i="13"/>
  <c r="D63" i="4" a="1"/>
  <c r="D63" i="4" s="1"/>
  <c r="A64" i="4"/>
  <c r="D64" i="4" s="1" a="1"/>
  <c r="D64" i="4" s="1"/>
  <c r="A60" i="3"/>
  <c r="X66" i="13" a="1"/>
  <c r="T72" i="13" a="1"/>
  <c r="R66" i="13" a="1"/>
  <c r="L66" i="13" a="1"/>
  <c r="V15" i="13" a="1"/>
  <c r="X66" i="13" l="1"/>
  <c r="T72" i="13"/>
  <c r="R66" i="13"/>
  <c r="L66" i="13"/>
  <c r="V15" i="13"/>
  <c r="X67" i="13" a="1"/>
  <c r="R67" i="13" a="1"/>
  <c r="L67" i="13" a="1"/>
  <c r="X67" i="13" l="1"/>
  <c r="R67" i="13"/>
  <c r="L67" i="13"/>
  <c r="X68" i="13" a="1"/>
  <c r="R68" i="13" a="1"/>
  <c r="L68" i="13" a="1"/>
  <c r="X68" i="13" l="1"/>
  <c r="R68" i="13"/>
  <c r="L68" i="13"/>
  <c r="X69" i="13" a="1"/>
  <c r="R69" i="13" a="1"/>
  <c r="L69" i="13" a="1"/>
  <c r="T15" i="13" a="1"/>
  <c r="X69" i="13" l="1"/>
  <c r="R69" i="13"/>
  <c r="L69" i="13"/>
  <c r="T15" i="13"/>
  <c r="X70" i="13" a="1"/>
  <c r="R70" i="13" a="1"/>
  <c r="L70" i="13" a="1"/>
  <c r="X70" i="13" l="1"/>
  <c r="R70" i="13"/>
  <c r="L70" i="13"/>
  <c r="X71" i="13" a="1"/>
  <c r="R71" i="13" a="1"/>
  <c r="L71" i="13" a="1"/>
  <c r="X71" i="13" l="1"/>
  <c r="R71" i="13"/>
  <c r="L71" i="13"/>
  <c r="X72" i="13" a="1"/>
  <c r="R72" i="13" a="1"/>
  <c r="L72" i="13" a="1"/>
  <c r="X72" i="13" l="1"/>
  <c r="R72" i="13"/>
  <c r="L72" i="13"/>
  <c r="L15" i="13" a="1"/>
  <c r="R15" i="13" a="1"/>
  <c r="X15" i="13" a="1"/>
  <c r="X15" i="13" l="1"/>
  <c r="R15" i="13"/>
  <c r="L15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<sst xmlns="http://schemas.openxmlformats.org/spreadsheetml/2006/main" count="556" uniqueCount="111">
  <si>
    <t>Day</t>
  </si>
  <si>
    <t>Date</t>
  </si>
  <si>
    <t>Location</t>
  </si>
  <si>
    <t>Wax</t>
  </si>
  <si>
    <t>List of Resorts</t>
  </si>
  <si>
    <t>Wolf Creek Ski Area</t>
  </si>
  <si>
    <t>Steamboat</t>
  </si>
  <si>
    <t>Purgatory Resort</t>
  </si>
  <si>
    <t>Deer Valley</t>
  </si>
  <si>
    <t>Copper Mountain</t>
  </si>
  <si>
    <t>Solitude Mountain Resort</t>
  </si>
  <si>
    <t>Snowbasin Resort</t>
  </si>
  <si>
    <t>Taos</t>
  </si>
  <si>
    <t>Big Sky</t>
  </si>
  <si>
    <t>Schweitzer Mountain Resort</t>
  </si>
  <si>
    <t>Notes</t>
  </si>
  <si>
    <t>Sun  Valley</t>
  </si>
  <si>
    <t>Alta</t>
  </si>
  <si>
    <t>Resort Count</t>
  </si>
  <si>
    <t>Winter Park</t>
  </si>
  <si>
    <t>Done</t>
  </si>
  <si>
    <t>Days</t>
  </si>
  <si>
    <t>Counts</t>
  </si>
  <si>
    <t>Days Skied</t>
  </si>
  <si>
    <t>Different Resorts Skied</t>
  </si>
  <si>
    <t>Name</t>
  </si>
  <si>
    <t>Edges</t>
  </si>
  <si>
    <t>Full Tune</t>
  </si>
  <si>
    <t>Snowmass</t>
  </si>
  <si>
    <t>Aspen Highlands</t>
  </si>
  <si>
    <t>Aspen Mountain (Ajax)</t>
  </si>
  <si>
    <t>Buttermilk</t>
  </si>
  <si>
    <t>Red Mountain Resort</t>
  </si>
  <si>
    <t>Revelstoke Ski Resort</t>
  </si>
  <si>
    <t>Wax/Debur</t>
  </si>
  <si>
    <t>Sharpen Edges</t>
  </si>
  <si>
    <t>Resort Days</t>
  </si>
  <si>
    <t>I skied 8 more days but these entries were lost</t>
  </si>
  <si>
    <t>Brighton Resort</t>
  </si>
  <si>
    <t>Ski</t>
  </si>
  <si>
    <t>Rossignal Sin 7</t>
  </si>
  <si>
    <t>Stöckli Stormrider 102</t>
  </si>
  <si>
    <t>Stöckli Montero AS</t>
  </si>
  <si>
    <t>Ski Maintenance</t>
  </si>
  <si>
    <t>Vertical Feet</t>
  </si>
  <si>
    <t>Calories</t>
  </si>
  <si>
    <t>Resorts</t>
  </si>
  <si>
    <t>Total</t>
  </si>
  <si>
    <t>Avg/Day</t>
  </si>
  <si>
    <t>Ski Used</t>
  </si>
  <si>
    <t>Arapahoe Basin</t>
  </si>
  <si>
    <t>Lake Louise</t>
  </si>
  <si>
    <t>Banff Sunshine</t>
  </si>
  <si>
    <t>Jackson Hole Mountain Resort</t>
  </si>
  <si>
    <t>Snowbird</t>
  </si>
  <si>
    <t>short day due to GI upset</t>
  </si>
  <si>
    <t>List of Skis</t>
  </si>
  <si>
    <t>Count of Days Skied by Season</t>
  </si>
  <si>
    <t>2022-2023</t>
  </si>
  <si>
    <t>2023-2024</t>
  </si>
  <si>
    <t>2024-2025</t>
  </si>
  <si>
    <t>2025-2026</t>
  </si>
  <si>
    <t>2026-2027</t>
  </si>
  <si>
    <t>2027-2028</t>
  </si>
  <si>
    <t>2028-2029</t>
  </si>
  <si>
    <t>Stöckli Stormrider 102 is New</t>
  </si>
  <si>
    <t>Stöckli Montero AS is New</t>
  </si>
  <si>
    <t>Resort Name</t>
  </si>
  <si>
    <t>Days Skied at Resort</t>
  </si>
  <si>
    <t>AW-Days</t>
  </si>
  <si>
    <t>AE-Days</t>
  </si>
  <si>
    <t>AFT-Days</t>
  </si>
  <si>
    <t>BW-Days</t>
  </si>
  <si>
    <t>BE-Days</t>
  </si>
  <si>
    <t>BFT-Days</t>
  </si>
  <si>
    <t>CW-Days</t>
  </si>
  <si>
    <t>CE-Days</t>
  </si>
  <si>
    <t>CFT-Days</t>
  </si>
  <si>
    <t>AW-Done</t>
  </si>
  <si>
    <t>AE-Done</t>
  </si>
  <si>
    <t>AFT-Done</t>
  </si>
  <si>
    <t>BW-Done</t>
  </si>
  <si>
    <t>BE-Done</t>
  </si>
  <si>
    <t>BFT-Done</t>
  </si>
  <si>
    <t>CW-Done</t>
  </si>
  <si>
    <t>CE-Done</t>
  </si>
  <si>
    <t>CFT-Done</t>
  </si>
  <si>
    <t>End of This Year</t>
  </si>
  <si>
    <t>B</t>
  </si>
  <si>
    <t>End of This Season</t>
  </si>
  <si>
    <t>Summary</t>
  </si>
  <si>
    <t>Abbrev</t>
  </si>
  <si>
    <t>A</t>
  </si>
  <si>
    <t>C</t>
  </si>
  <si>
    <t>Ski Maintenance Procedures</t>
  </si>
  <si>
    <t>Ski Name</t>
  </si>
  <si>
    <t>Ski Alphabetic Indicator</t>
  </si>
  <si>
    <t>Maintenance Procedure Name</t>
  </si>
  <si>
    <t>Maintenance Procedure Abbrev</t>
  </si>
  <si>
    <t>Mount Norquay Ski Resort</t>
  </si>
  <si>
    <t>Utility Values</t>
  </si>
  <si>
    <t>Bob's Ski Days</t>
  </si>
  <si>
    <t>Value</t>
  </si>
  <si>
    <t>WorkbookTitle</t>
  </si>
  <si>
    <t>Description</t>
  </si>
  <si>
    <t>The title of this workbook</t>
  </si>
  <si>
    <t>Individual Days This Season</t>
  </si>
  <si>
    <t>Days Used</t>
  </si>
  <si>
    <t>2029-2030</t>
  </si>
  <si>
    <t>Calories estimated</t>
  </si>
  <si>
    <t>fell hard, injured left knee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</si>
</sst>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/dd/yyyy"/>
    <numFmt numFmtId="165" formatCode="ddd\,\ mm/dd/yyyy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scadia Code"/>
      <family val="3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00">
    <xf numFmtId="0" fontId="0" fillId="0" borderId="0" xfId="0"/>
    <xf numFmtId="164" fontId="0" fillId="0" borderId="0" xfId="0" applyNumberFormat="1" applyAlignment="1">
      <alignment horizontal="center"/>
    </xf>
    <xf numFmtId="0" fontId="3" fillId="0" borderId="0" xfId="0" applyFont="1"/>
    <xf numFmtId="0" fontId="0" fillId="0" borderId="1" xfId="0" applyBorder="1"/>
    <xf numFmtId="0" fontId="0" fillId="0" borderId="5" xfId="0" applyBorder="1"/>
    <xf numFmtId="165" fontId="2" fillId="0" borderId="6" xfId="0" applyNumberFormat="1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" fillId="0" borderId="0" xfId="0" applyFont="1"/>
    <xf numFmtId="0" fontId="4" fillId="0" borderId="0" xfId="0" applyFont="1"/>
    <xf numFmtId="0" fontId="0" fillId="0" borderId="9" xfId="0" applyBorder="1"/>
    <xf numFmtId="165" fontId="2" fillId="2" borderId="6" xfId="0" applyNumberFormat="1" applyFont="1" applyFill="1" applyBorder="1" applyAlignment="1" applyProtection="1">
      <alignment horizontal="center"/>
      <protection locked="0"/>
    </xf>
    <xf numFmtId="0" fontId="0" fillId="2" borderId="6" xfId="0" applyFill="1" applyBorder="1" applyProtection="1">
      <protection locked="0"/>
    </xf>
    <xf numFmtId="165" fontId="2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165" fontId="2" fillId="2" borderId="3" xfId="0" applyNumberFormat="1" applyFont="1" applyFill="1" applyBorder="1" applyAlignment="1" applyProtection="1">
      <alignment horizontal="center"/>
      <protection locked="0"/>
    </xf>
    <xf numFmtId="0" fontId="0" fillId="2" borderId="3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3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1" fillId="0" borderId="13" xfId="0" applyFont="1" applyBorder="1" applyAlignment="1">
      <alignment horizontal="center"/>
    </xf>
    <xf numFmtId="0" fontId="0" fillId="0" borderId="6" xfId="0" applyBorder="1" applyProtection="1">
      <protection locked="0"/>
    </xf>
    <xf numFmtId="165" fontId="2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1" fillId="0" borderId="21" xfId="0" applyFont="1" applyBorder="1" applyAlignment="1">
      <alignment horizontal="center"/>
    </xf>
    <xf numFmtId="0" fontId="0" fillId="0" borderId="8" xfId="0" applyBorder="1"/>
    <xf numFmtId="0" fontId="0" fillId="0" borderId="16" xfId="0" applyBorder="1"/>
    <xf numFmtId="0" fontId="0" fillId="0" borderId="13" xfId="0" applyBorder="1"/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29" xfId="0" applyFont="1" applyBorder="1" applyAlignment="1">
      <alignment horizontal="center"/>
    </xf>
    <xf numFmtId="166" fontId="5" fillId="0" borderId="14" xfId="1" applyNumberFormat="1" applyFont="1" applyBorder="1" applyAlignment="1">
      <alignment horizontal="center"/>
    </xf>
    <xf numFmtId="166" fontId="5" fillId="0" borderId="15" xfId="1" applyNumberFormat="1" applyFont="1" applyBorder="1" applyAlignment="1">
      <alignment horizontal="center"/>
    </xf>
    <xf numFmtId="166" fontId="0" fillId="0" borderId="20" xfId="1" applyNumberFormat="1" applyFont="1" applyBorder="1" applyProtection="1">
      <protection locked="0"/>
    </xf>
    <xf numFmtId="0" fontId="0" fillId="0" borderId="28" xfId="0" applyBorder="1"/>
    <xf numFmtId="0" fontId="3" fillId="0" borderId="33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35" xfId="0" applyBorder="1"/>
    <xf numFmtId="0" fontId="0" fillId="0" borderId="38" xfId="0" applyBorder="1"/>
    <xf numFmtId="0" fontId="0" fillId="0" borderId="39" xfId="0" applyBorder="1"/>
    <xf numFmtId="0" fontId="0" fillId="0" borderId="26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9" xfId="0" applyBorder="1" applyAlignment="1">
      <alignment horizontal="left"/>
    </xf>
    <xf numFmtId="0" fontId="0" fillId="2" borderId="6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8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10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7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0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1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2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6" fontId="0" fillId="0" borderId="0" xfId="1" applyNumberFormat="1" applyFont="1" applyBorder="1" applyProtection="1">
      <protection locked="0"/>
    </xf>
    <xf numFmtId="0" fontId="5" fillId="0" borderId="34" xfId="0" applyFont="1" applyBorder="1" applyAlignment="1">
      <alignment horizontal="center" wrapText="1"/>
    </xf>
    <xf numFmtId="0" fontId="5" fillId="0" borderId="25" xfId="0" applyFont="1" applyBorder="1" applyAlignment="1">
      <alignment horizontal="center" wrapText="1"/>
    </xf>
    <xf numFmtId="0" fontId="3" fillId="0" borderId="33" xfId="0" applyFont="1" applyBorder="1" applyAlignment="1">
      <alignment horizontal="centerContinuous"/>
    </xf>
    <xf numFmtId="0" fontId="3" fillId="0" borderId="31" xfId="0" applyFont="1" applyBorder="1" applyAlignment="1">
      <alignment horizontal="centerContinuous"/>
    </xf>
    <xf numFmtId="0" fontId="3" fillId="0" borderId="32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 wrapText="1"/>
    </xf>
    <xf numFmtId="0" fontId="5" fillId="0" borderId="12" xfId="0" applyFont="1" applyBorder="1" applyAlignment="1">
      <alignment horizontal="centerContinuous" wrapText="1"/>
    </xf>
    <xf numFmtId="166" fontId="5" fillId="0" borderId="14" xfId="1" applyNumberFormat="1" applyFont="1" applyBorder="1" applyAlignment="1" applyProtection="1">
      <alignment horizontal="center"/>
    </xf>
    <xf numFmtId="166" fontId="5" fillId="0" borderId="15" xfId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64" fontId="1" fillId="0" borderId="0" xfId="0" applyNumberFormat="1" applyFont="1" applyAlignment="1">
      <alignment horizontal="center" wrapText="1"/>
    </xf>
    <xf numFmtId="0" fontId="0" fillId="0" borderId="0" xfId="0" applyAlignment="1">
      <alignment wrapText="1"/>
    </xf>
    <xf numFmtId="0" fontId="0" fillId="0" borderId="27" xfId="0" applyBorder="1" applyProtection="1">
      <protection locked="0"/>
    </xf>
    <xf numFmtId="0" fontId="0" fillId="0" borderId="29" xfId="0" applyBorder="1" applyProtection="1">
      <protection locked="0"/>
    </xf>
    <xf numFmtId="0" fontId="1" fillId="0" borderId="0" xfId="0" applyFont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17" xfId="0" applyFont="1" applyBorder="1" applyAlignment="1">
      <alignment horizontal="centerContinuous"/>
    </xf>
    <xf numFmtId="0" fontId="1" fillId="0" borderId="12" xfId="0" applyFont="1" applyBorder="1" applyAlignment="1">
      <alignment horizontal="centerContinuous"/>
    </xf>
    <xf numFmtId="0" fontId="1" fillId="0" borderId="13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40" xfId="0" applyFont="1" applyBorder="1" applyAlignment="1">
      <alignment horizontal="centerContinuous"/>
    </xf>
    <xf numFmtId="0" fontId="1" fillId="0" borderId="41" xfId="0" applyFont="1" applyBorder="1" applyAlignment="1">
      <alignment horizontal="centerContinuous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Continuous" wrapText="1"/>
    </xf>
    <xf numFmtId="166" fontId="5" fillId="0" borderId="0" xfId="1" applyNumberFormat="1" applyFont="1" applyBorder="1" applyAlignment="1" applyProtection="1">
      <alignment horizontal="center"/>
    </xf>
    <xf numFmtId="0" fontId="1" fillId="0" borderId="1" xfId="0" applyFont="1" applyBorder="1" applyAlignment="1">
      <alignment horizontal="centerContinuous"/>
    </xf>
    <xf numFmtId="0" fontId="1" fillId="0" borderId="16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23" xfId="0" applyFont="1" applyBorder="1" applyAlignment="1">
      <alignment horizontal="centerContinuous"/>
    </xf>
    <xf numFmtId="0" fontId="1" fillId="0" borderId="20" xfId="0" applyFont="1" applyBorder="1" applyAlignment="1">
      <alignment horizontal="centerContinuous"/>
    </xf>
    <xf numFmtId="0" fontId="1" fillId="0" borderId="42" xfId="0" applyFont="1" applyBorder="1"/>
    <xf numFmtId="0" fontId="1" fillId="0" borderId="30" xfId="0" applyFont="1" applyBorder="1" applyAlignment="1">
      <alignment horizontal="center" wrapText="1"/>
    </xf>
    <xf numFmtId="0" fontId="1" fillId="0" borderId="43" xfId="0" applyFont="1" applyBorder="1" applyAlignment="1">
      <alignment horizontal="center" wrapText="1"/>
    </xf>
    <xf numFmtId="0" fontId="1" fillId="0" borderId="44" xfId="0" applyFont="1" applyBorder="1" applyAlignment="1">
      <alignment horizontal="center" wrapText="1"/>
    </xf>
    <xf numFmtId="0" fontId="1" fillId="0" borderId="45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0" fillId="0" borderId="47" xfId="0" applyBorder="1"/>
    <xf numFmtId="0" fontId="0" fillId="0" borderId="1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9" xfId="0" applyBorder="1"/>
    <xf numFmtId="0" fontId="0" fillId="0" borderId="22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8" xfId="0" applyBorder="1"/>
    <xf numFmtId="0" fontId="0" fillId="0" borderId="0" xfId="0" applyAlignment="1" applyProtection="1">
      <alignment wrapText="1"/>
      <protection locked="0"/>
    </xf>
    <xf numFmtId="0" fontId="1" fillId="0" borderId="16" xfId="0" applyFont="1" applyBorder="1" applyAlignment="1">
      <alignment horizontal="centerContinuous" wrapText="1"/>
    </xf>
    <xf numFmtId="0" fontId="1" fillId="0" borderId="13" xfId="0" applyFont="1" applyBorder="1" applyAlignment="1">
      <alignment horizontal="centerContinuous" wrapText="1"/>
    </xf>
    <xf numFmtId="0" fontId="1" fillId="0" borderId="48" xfId="0" applyFont="1" applyBorder="1" applyAlignment="1">
      <alignment horizontal="centerContinuous"/>
    </xf>
    <xf numFmtId="0" fontId="0" fillId="0" borderId="19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66" fontId="0" fillId="0" borderId="0" xfId="1" applyNumberFormat="1" applyFont="1" applyProtection="1"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0" fillId="0" borderId="14" xfId="0" quotePrefix="1" applyBorder="1"/>
    <xf numFmtId="0" fontId="0" fillId="0" borderId="9" xfId="0" quotePrefix="1" applyBorder="1"/>
    <xf numFmtId="0" fontId="0" fillId="0" borderId="15" xfId="0" applyBorder="1"/>
    <xf numFmtId="0" fontId="1" fillId="0" borderId="49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42" xfId="0" applyFont="1" applyBorder="1" applyAlignment="1">
      <alignment horizontal="centerContinuous"/>
    </xf>
    <xf numFmtId="0" fontId="0" fillId="0" borderId="52" xfId="0" applyBorder="1" applyAlignment="1">
      <alignment horizontal="centerContinuous"/>
    </xf>
    <xf numFmtId="0" fontId="0" fillId="0" borderId="53" xfId="0" applyBorder="1"/>
    <xf numFmtId="0" fontId="0" fillId="0" borderId="2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1" fillId="0" borderId="18" xfId="0" applyFont="1" applyBorder="1" applyAlignment="1">
      <alignment horizontal="centerContinuous"/>
    </xf>
    <xf numFmtId="0" fontId="1" fillId="0" borderId="54" xfId="0" applyFont="1" applyBorder="1" applyAlignment="1">
      <alignment horizontal="centerContinuous" wrapText="1"/>
    </xf>
    <xf numFmtId="0" fontId="1" fillId="0" borderId="11" xfId="0" applyFont="1" applyBorder="1" applyAlignment="1">
      <alignment horizontal="centerContinuous" wrapText="1"/>
    </xf>
    <xf numFmtId="0" fontId="0" fillId="0" borderId="12" xfId="0" applyBorder="1" applyAlignment="1">
      <alignment horizontal="centerContinuous"/>
    </xf>
    <xf numFmtId="0" fontId="0" fillId="0" borderId="47" xfId="0" applyBorder="1" applyAlignment="1">
      <alignment horizontal="centerContinuous"/>
    </xf>
    <xf numFmtId="0" fontId="1" fillId="0" borderId="19" xfId="0" applyFont="1" applyBorder="1" applyAlignment="1">
      <alignment horizontal="centerContinuous"/>
    </xf>
    <xf numFmtId="0" fontId="1" fillId="0" borderId="54" xfId="0" applyFont="1" applyBorder="1" applyAlignment="1">
      <alignment horizontal="centerContinuous"/>
    </xf>
    <xf numFmtId="0" fontId="0" fillId="0" borderId="49" xfId="0" applyBorder="1"/>
    <xf numFmtId="0" fontId="0" fillId="0" borderId="5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0" xfId="0" applyBorder="1"/>
    <xf numFmtId="0" fontId="0" fillId="0" borderId="5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4" fontId="1" fillId="0" borderId="1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9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0" xfId="0" applyFont="1" applyBorder="1" applyAlignment="1">
      <alignment horizontal="center" wrapText="1"/>
    </xf>
    <xf numFmtId="0" fontId="1" fillId="0" borderId="2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30" xfId="0" applyFont="1" applyBorder="1" applyAlignment="1">
      <alignment horizontal="center" wrapText="1"/>
    </xf>
    <xf numFmtId="0" fontId="5" fillId="0" borderId="34" xfId="0" applyFont="1" applyBorder="1" applyAlignment="1">
      <alignment horizontal="center" wrapText="1"/>
    </xf>
    <xf numFmtId="0" fontId="5" fillId="0" borderId="25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93">
    <dxf>
      <fill>
        <patternFill>
          <bgColor theme="5" tint="0.79998168889431442"/>
        </patternFill>
      </fill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</dxf>
    <dxf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/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/>
        <right style="thin">
          <color indexed="64"/>
        </right>
        <top style="medium">
          <color indexed="64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/>
        <right style="thin">
          <color indexed="64"/>
        </right>
        <top style="medium">
          <color indexed="64"/>
        </top>
        <bottom/>
        <vertical/>
        <horizontal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protection locked="0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0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  <protection locked="0" hidden="0"/>
    </dxf>
    <dxf>
      <numFmt numFmtId="0" formatCode="General"/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  <numFmt numFmtId="165" formatCode="ddd\,\ mm/dd/yyyy"/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0</xdr:row>
          <xdr:rowOff>146050</xdr:rowOff>
        </xdr:from>
        <xdr:to>
          <xdr:col>6</xdr:col>
          <xdr:colOff>82550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Unprotect All Sheets and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107950</xdr:rowOff>
        </xdr:from>
        <xdr:to>
          <xdr:col>6</xdr:col>
          <xdr:colOff>88900</xdr:colOff>
          <xdr:row>3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Protect All Sheets Charts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30A4B7-4FE1-438E-8E0E-EE4EF6709873}" name="table2024_2025_EOS" displayName="table2024_2025_EOS" ref="H118:Y119" totalsRowShown="0" headerRowDxfId="44" tableBorderDxfId="43">
  <autoFilter ref="H118:Y119" xr:uid="{3030A4B7-4FE1-438E-8E0E-EE4EF6709873}"/>
  <tableColumns count="18">
    <tableColumn id="1" xr3:uid="{F72B599C-3C6A-4E03-A38A-935DD2F9092E}" name="AW-Days" dataDxfId="42">
      <calculatedColumnFormula array="1">IFERROR(IF(table2024_2025_EOS[AW-Done],0,_xlfn.XLOOKUP(TRUE,$B$14:$B$113&lt;&gt;"",$H$14:$H$113,,,-1)),"")</calculatedColumnFormula>
    </tableColumn>
    <tableColumn id="2" xr3:uid="{597DA37A-6044-47FD-BEA2-DB332092AF3C}" name="AW-Done" dataDxfId="41">
      <calculatedColumnFormula array="1">OFFSET($I$14,_xlfn.XMATCH(TRUE, $B$14:$B$113&lt;&gt;"", 0, -1)-1,0)</calculatedColumnFormula>
    </tableColumn>
    <tableColumn id="3" xr3:uid="{B40952BF-6D2A-4F31-902C-415BC5685F25}" name="AE-Days" dataDxfId="40">
      <calculatedColumnFormula array="1">IFERROR(IF(table2024_2025_EOS[AE-Done],0,_xlfn.XLOOKUP(TRUE,$B$14:$B$113&lt;&gt;"",$J$14:$J$113,,,-1)),"")</calculatedColumnFormula>
    </tableColumn>
    <tableColumn id="4" xr3:uid="{694138EE-45CD-4B63-84E0-E286BA1102CD}" name="AE-Done" dataDxfId="39">
      <calculatedColumnFormula array="1">OFFSET($K$14,_xlfn.XMATCH(TRUE, $B$14:$B$113&lt;&gt;"", 0, -1)-1,0)</calculatedColumnFormula>
    </tableColumn>
    <tableColumn id="5" xr3:uid="{41969544-117D-47A5-99C5-D876805BA1B0}" name="AFT-Days" dataDxfId="38">
      <calculatedColumnFormula array="1">IFERROR(IF(table2024_2025_EOS[AFT-Done],0,_xlfn.XLOOKUP(TRUE,$B$14:$B$113&lt;&gt;"",$L$14:$L$113,,,-1)),"")</calculatedColumnFormula>
    </tableColumn>
    <tableColumn id="6" xr3:uid="{9C802539-DB13-4A47-9491-9171B0A41847}" name="AFT-Done" dataDxfId="37">
      <calculatedColumnFormula array="1">OFFSET($M$14,_xlfn.XMATCH(TRUE, $B$14:$B$113&lt;&gt;"", 0, -1)-1,0)</calculatedColumnFormula>
    </tableColumn>
    <tableColumn id="7" xr3:uid="{33739CEF-042E-41DF-BBC1-0BB2C98081E5}" name="BW-Days" dataDxfId="36">
      <calculatedColumnFormula array="1">IFERROR(IF(table2024_2025_EOS[BW-Done],0,_xlfn.XLOOKUP(TRUE,$B$14:$B$113&lt;&gt;"",$N$14:$N$113,,,-1)),"")</calculatedColumnFormula>
    </tableColumn>
    <tableColumn id="8" xr3:uid="{38E6F73E-C3AF-47DC-BED8-71CCC854462D}" name="BW-Done" dataDxfId="35">
      <calculatedColumnFormula array="1">OFFSET($O$14,_xlfn.XMATCH(TRUE, $B$14:$B$113&lt;&gt;"", 0, -1)-1,0)</calculatedColumnFormula>
    </tableColumn>
    <tableColumn id="9" xr3:uid="{E438EB91-B5A6-41E1-836F-8DBE43F82CC6}" name="BE-Days" dataDxfId="34">
      <calculatedColumnFormula array="1">IFERROR(IF(table2024_2025_EOS[BE-Done], 0, _xlfn.XLOOKUP(TRUE,$B$14:$B$113&lt;&gt;"",$P$14:$P$113,,,-1)),"")</calculatedColumnFormula>
    </tableColumn>
    <tableColumn id="10" xr3:uid="{E4F608B3-BBB5-4107-B336-A40DC6BAB135}" name="BE-Done" dataDxfId="33">
      <calculatedColumnFormula array="1">OFFSET($Q$14,_xlfn.XMATCH(TRUE, $B$14:$B$113&lt;&gt;"", 0, -1)-1,0)</calculatedColumnFormula>
    </tableColumn>
    <tableColumn id="11" xr3:uid="{E9A3C9E8-4ED0-4031-A568-2F1989AD532D}" name="BFT-Days" dataDxfId="32">
      <calculatedColumnFormula array="1">IFERROR(IF(table2024_2025_EOS[BFT-Done], 0, _xlfn.XLOOKUP(TRUE,$B$14:$B$113&lt;&gt;"",$R$14:$R$113,,,-1)),"")</calculatedColumnFormula>
    </tableColumn>
    <tableColumn id="12" xr3:uid="{DD08DCDA-E57D-47C9-AF5D-29C345BCE665}" name="BFT-Done" dataDxfId="31">
      <calculatedColumnFormula array="1">OFFSET($S$14,_xlfn.XMATCH(TRUE, $B$14:$B$113&lt;&gt;"", 0, -1)-1,0)</calculatedColumnFormula>
    </tableColumn>
    <tableColumn id="13" xr3:uid="{B175859C-9E7D-46A1-9413-B8BBCEEF63C2}" name="CW-Days" dataDxfId="30">
      <calculatedColumnFormula array="1">IFERROR(IF(table2024_2025_EOS[CW-Done], 0, _xlfn.XLOOKUP(TRUE,$B$14:$B$113&lt;&gt;"",$T$14:$T$113,,,-1)),"")</calculatedColumnFormula>
    </tableColumn>
    <tableColumn id="14" xr3:uid="{F523C201-40E0-4C34-9C4D-CC487AF70CE0}" name="CW-Done" dataDxfId="29">
      <calculatedColumnFormula array="1">OFFSET($U$14,_xlfn.XMATCH(TRUE, $B$14:$B$113&lt;&gt;"", 0, -1)-1,0)</calculatedColumnFormula>
    </tableColumn>
    <tableColumn id="15" xr3:uid="{F739C26A-3A7B-47DB-A307-B706E2AE7D48}" name="CE-Days" dataDxfId="28">
      <calculatedColumnFormula array="1">IFERROR(IF(table2024_2025_EOS[CE-Done], 0, _xlfn.XLOOKUP(TRUE,$B$14:$B$113&lt;&gt;"",$V$14:$V$113,,,-1)),"")</calculatedColumnFormula>
    </tableColumn>
    <tableColumn id="16" xr3:uid="{6E30714C-6E3F-4B36-BFAD-B32AAE63B229}" name="CE-Done" dataDxfId="27">
      <calculatedColumnFormula array="1">OFFSET($W$14,_xlfn.XMATCH(TRUE, $B$14:$B$113&lt;&gt;"", 0, -1)-1,0)</calculatedColumnFormula>
    </tableColumn>
    <tableColumn id="17" xr3:uid="{55287193-57DD-4AC4-A7D2-886719F1930B}" name="CFT-Days" dataDxfId="26">
      <calculatedColumnFormula array="1">IFERROR(IF(table2024_2025_EOS[CFT-Done], 0, _xlfn.XLOOKUP(TRUE,$B$14:$B$113&lt;&gt;"",$X$14:$X$113,,,-1)),"")</calculatedColumnFormula>
    </tableColumn>
    <tableColumn id="18" xr3:uid="{3D4F349F-4CB0-4497-85AC-2D08A7A0041B}" name="CFT-Done" dataDxfId="25">
      <calculatedColumnFormula array="1">OFFSET($Y$14,_xlfn.XMATCH(TRUE, $B$14:$B$113&lt;&gt;"", 0, -1)-1,0)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ABD95A-7D4A-4EE5-832C-E0AB42A1FAAA}" name="table2025_2026" displayName="table2025_2026" ref="A18:Z72" totalsRowShown="0" headerRowDxfId="92" dataDxfId="91">
  <autoFilter ref="A18:Z72" xr:uid="{3CABD95A-7D4A-4EE5-832C-E0AB42A1FA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E4A8E119-235A-4284-A22D-5011B4AEF5E8}" name="Day" dataDxfId="1">
      <calculatedColumnFormula array="1">IF(IsCellInTableFirstRow($A19,table2025_2026[]),1,$A18+1)</calculatedColumnFormula>
    </tableColumn>
    <tableColumn id="2" xr3:uid="{E829A7BF-DBFD-419D-B22D-187A63AD13CC}" name="Date" dataDxfId="90"/>
    <tableColumn id="3" xr3:uid="{CBDAE092-BA7C-4506-9990-C142B6B783E7}" name="Resort Name" dataDxfId="89"/>
    <tableColumn id="4" xr3:uid="{2350A050-30FE-45A9-9923-A8D8E8FB14E8}" name="Days Skied at Resort" dataDxfId="88">
      <calculatedColumnFormula array="1">GetDaysSkiedAtResortRunningCount(table2025_2026[Resort Name], table2025_2026[[#This Row],[Resort Name]], table2025_2026[Date], table2025_2026[[#This Row],[Date]])</calculatedColumnFormula>
    </tableColumn>
    <tableColumn id="5" xr3:uid="{444D553A-262C-4089-BFE7-5CD4A7F2E26C}" name="Vertical Feet" dataDxfId="87" dataCellStyle="Comma"/>
    <tableColumn id="6" xr3:uid="{C65600D8-1CEC-495B-99D0-1CAED71A7F8F}" name="Calories" dataDxfId="86" dataCellStyle="Comma"/>
    <tableColumn id="7" xr3:uid="{95CC3DE9-0D40-4A90-B65C-5ADC479C3917}" name="Ski" dataDxfId="85"/>
    <tableColumn id="8" xr3:uid="{E0D98DE4-9481-4C11-AA83-BF275161F116}" name="AW-Days" dataDxfId="84">
      <calculatedColumnFormula array="1">GetDaysSinceSkiMaintProc()</calculatedColumnFormula>
    </tableColumn>
    <tableColumn id="9" xr3:uid="{2C97E3C4-49B0-4E3A-AF89-8420FAC23DBF}" name="AW-Done" dataDxfId="83"/>
    <tableColumn id="10" xr3:uid="{43DBC1FE-BF0D-48F0-B3F9-007B14A0682A}" name="AE-Days" dataDxfId="82">
      <calculatedColumnFormula array="1">GetDaysSinceSkiMaintProc()</calculatedColumnFormula>
    </tableColumn>
    <tableColumn id="11" xr3:uid="{D880A9C4-846D-4E9A-8728-7D0047032E38}" name="AE-Done" dataDxfId="81"/>
    <tableColumn id="12" xr3:uid="{E4A9C03B-ABF2-4B35-B901-DDA957E5F512}" name="AFT-Days" dataDxfId="80">
      <calculatedColumnFormula array="1">GetDaysSinceSkiMaintProc()</calculatedColumnFormula>
    </tableColumn>
    <tableColumn id="13" xr3:uid="{9DB7BE94-43CB-46BC-84F9-8F83F10A39A9}" name="AFT-Done" dataDxfId="79"/>
    <tableColumn id="14" xr3:uid="{04175123-4538-4293-98BD-9E4C8CD2BBAD}" name="BW-Days" dataDxfId="78">
      <calculatedColumnFormula array="1">GetDaysSinceSkiMaintProc()</calculatedColumnFormula>
    </tableColumn>
    <tableColumn id="15" xr3:uid="{829A1737-0C77-4A91-80DB-52B71BA6B5C8}" name="BW-Done" dataDxfId="77"/>
    <tableColumn id="16" xr3:uid="{FE456131-C2BE-4A55-9A3D-23B85214F408}" name="BE-Days" dataDxfId="76">
      <calculatedColumnFormula array="1">GetDaysSinceSkiMaintProc()</calculatedColumnFormula>
    </tableColumn>
    <tableColumn id="17" xr3:uid="{5D0C8EDA-E073-4BD6-8D7D-62EC1A6F50D4}" name="BE-Done" dataDxfId="75"/>
    <tableColumn id="18" xr3:uid="{58F879D6-4166-458D-95D9-5191768399CE}" name="BFT-Days" dataDxfId="74">
      <calculatedColumnFormula array="1">GetDaysSinceSkiMaintProc()</calculatedColumnFormula>
    </tableColumn>
    <tableColumn id="19" xr3:uid="{3ED3D3C3-F7D1-4F96-A725-6892B71A38EE}" name="BFT-Done" dataDxfId="73"/>
    <tableColumn id="20" xr3:uid="{6F3E040F-DF2F-494D-A81F-CAF8C46EC75D}" name="CW-Days" dataDxfId="72">
      <calculatedColumnFormula array="1">GetDaysSinceSkiMaintProc()</calculatedColumnFormula>
    </tableColumn>
    <tableColumn id="21" xr3:uid="{11EDD34C-D914-4049-837D-93941552C82C}" name="CW-Done" dataDxfId="71"/>
    <tableColumn id="22" xr3:uid="{4ABC6F65-F8A2-4B6A-B85E-4B8D491D7EE6}" name="CE-Days" dataDxfId="70">
      <calculatedColumnFormula array="1">GetDaysSinceSkiMaintProc()</calculatedColumnFormula>
    </tableColumn>
    <tableColumn id="23" xr3:uid="{DF4257EF-7846-4C6A-A969-C75472CACD28}" name="CE-Done" dataDxfId="69"/>
    <tableColumn id="24" xr3:uid="{63F4208C-C1D4-4CE6-B49D-540C50F73FEE}" name="CFT-Days" dataDxfId="68">
      <calculatedColumnFormula array="1">GetDaysSinceSkiMaintProc()</calculatedColumnFormula>
    </tableColumn>
    <tableColumn id="25" xr3:uid="{1DE26E7F-0C70-472E-81CA-B81A84668619}" name="CFT-Done" dataDxfId="67"/>
    <tableColumn id="26" xr3:uid="{07AAD861-C5A8-4192-B882-BDE6AB67AF97}" name="Notes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408360-7F09-403B-A0B7-8176D6D7C66E}" name="table2025_2026_EOS" displayName="table2025_2026_EOS" ref="H14:Y15" totalsRowShown="0" headerRowDxfId="65" dataDxfId="64" tableBorderDxfId="63">
  <autoFilter ref="H14:Y15" xr:uid="{BC408360-7F09-403B-A0B7-8176D6D7C6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A194664C-E961-4CB2-B80F-06A47DDDC1F4}" name="AW-Days" dataDxfId="62">
      <calculatedColumnFormula array="1">IF(OR(GetTableColLastValue("table2025_2026", I$14),I$15),0,GetTableColLastValue("table2025_2026", H$14))</calculatedColumnFormula>
    </tableColumn>
    <tableColumn id="2" xr3:uid="{1455189A-204A-419A-AC92-4D12CACCC246}" name="AW-Done" dataDxfId="61"/>
    <tableColumn id="3" xr3:uid="{475924D9-1E77-4A08-AD54-555F77B042BF}" name="AE-Days" dataDxfId="60">
      <calculatedColumnFormula array="1">IF(OR(GetTableColLastValue("table2025_2026", K$14),K$15),0,GetTableColLastValue("table2025_2026", J$14))</calculatedColumnFormula>
    </tableColumn>
    <tableColumn id="4" xr3:uid="{8217DC97-A662-4F9D-9ECB-250C66549E27}" name="AE-Done" dataDxfId="59"/>
    <tableColumn id="5" xr3:uid="{DC753F3D-D53B-4BCA-A927-D401A475050F}" name="AFT-Days" dataDxfId="58">
      <calculatedColumnFormula array="1">IF(OR(GetTableColLastValue("table2025_2026", M$14),M$15),0,GetTableColLastValue("table2025_2026", L$14))</calculatedColumnFormula>
    </tableColumn>
    <tableColumn id="6" xr3:uid="{182B6491-3381-40E7-A7E7-668F89BD7C80}" name="AFT-Done" dataDxfId="57"/>
    <tableColumn id="7" xr3:uid="{F79C05E4-ED4D-4643-B366-D0B807ECAC77}" name="BW-Days" dataDxfId="56">
      <calculatedColumnFormula array="1">IF(OR(GetTableColLastValue("table2025_2026", O$14),O$15),0,GetTableColLastValue("table2025_2026", N$14))</calculatedColumnFormula>
    </tableColumn>
    <tableColumn id="8" xr3:uid="{DED8EBF2-0DA8-4A48-BAAB-13E14EAD30E2}" name="BW-Done" dataDxfId="55"/>
    <tableColumn id="9" xr3:uid="{B22B96D7-4FB1-4D16-B0E3-BE24CA3C9CA5}" name="BE-Days" dataDxfId="54">
      <calculatedColumnFormula array="1">IF(OR(GetTableColLastValue("table2025_2026", Q$14),Q$15),0,GetTableColLastValue("table2025_2026", P$14))</calculatedColumnFormula>
    </tableColumn>
    <tableColumn id="10" xr3:uid="{2A9B5BBD-A435-4E3D-B2B2-C9C452097AD3}" name="BE-Done" dataDxfId="53"/>
    <tableColumn id="11" xr3:uid="{CCEE2AA6-9943-4302-83B4-EDCDC1C189D5}" name="BFT-Days" dataDxfId="52">
      <calculatedColumnFormula array="1">IF(OR(GetTableColLastValue("table2025_2026", S$14),S$15),0,GetTableColLastValue("table2025_2026", R$14))</calculatedColumnFormula>
    </tableColumn>
    <tableColumn id="12" xr3:uid="{594267C8-FAF3-46E2-8A07-4F4D3BE4B659}" name="BFT-Done" dataDxfId="51"/>
    <tableColumn id="13" xr3:uid="{BA29EFCE-E816-4EE3-9EF5-8752E8A7EBFC}" name="CW-Days" dataDxfId="50">
      <calculatedColumnFormula array="1">IF(OR(GetTableColLastValue("table2025_2026", U$14),U$15),0,GetTableColLastValue("table2025_2026", T$14))</calculatedColumnFormula>
    </tableColumn>
    <tableColumn id="14" xr3:uid="{17E7AFF0-2686-42AC-84E3-BE746F722C45}" name="CW-Done" dataDxfId="49"/>
    <tableColumn id="15" xr3:uid="{AC2DE534-42B8-46EC-953B-5ED98C192EF9}" name="CE-Days" dataDxfId="48">
      <calculatedColumnFormula array="1">IF(OR(GetTableColLastValue("table2025_2026", W$14),W$15),0,GetTableColLastValue("table2025_2026", V$14))</calculatedColumnFormula>
    </tableColumn>
    <tableColumn id="16" xr3:uid="{4FCD503A-C488-49CE-AEC6-ED8C66428328}" name="CE-Done" dataDxfId="47"/>
    <tableColumn id="17" xr3:uid="{63FCD9A5-4D72-43CE-8758-652A426657AB}" name="CFT-Days" dataDxfId="46">
      <calculatedColumnFormula array="1">IF(OR(GetTableColLastValue("table2025_2026", Y$14),Y$15),0,GetTableColLastValue("table2025_2026", X$14))</calculatedColumnFormula>
    </tableColumn>
    <tableColumn id="18" xr3:uid="{E075A052-C156-4E39-9861-E8C04E6F4B1D}" name="CFT-Done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C93814-551A-4BF2-963C-804669938A8E}" name="tableResorts" displayName="tableResorts" ref="A4:H31" totalsRowCount="1" headerRowDxfId="24">
  <autoFilter ref="A4:H30" xr:uid="{D3C93814-551A-4BF2-963C-804669938A8E}"/>
  <sortState xmlns:xlrd2="http://schemas.microsoft.com/office/spreadsheetml/2017/richdata2" ref="A5:H30">
    <sortCondition ref="A4:A30"/>
  </sortState>
  <tableColumns count="8">
    <tableColumn id="1" xr3:uid="{507DA267-C318-4A38-983F-56B32E4DDF5E}" name="Name" totalsRowLabel="Total" dataDxfId="23" totalsRowDxfId="22"/>
    <tableColumn id="2" xr3:uid="{470963CB-B685-4F1E-91B0-F215C9E51784}" name="2022-2023" totalsRowFunction="sum" dataDxfId="21" totalsRowDxfId="20">
      <calculatedColumnFormula>IFERROR(IF(tableResorts[[#This Row],[Name]]="","",COUNTIF('2022-2023'!$C$11:$C$110,tableResorts[[#This Row],[Name]])),"")</calculatedColumnFormula>
    </tableColumn>
    <tableColumn id="3" xr3:uid="{B1092289-85A2-4C95-BA06-49247991B86E}" name="2023-2024" totalsRowFunction="sum" dataDxfId="19">
      <calculatedColumnFormula>IFERROR(IF(tableResorts[[#This Row],[Name]]="","",COUNTIF('2023-2024'!$C$11:$C$110,tableResorts[[#This Row],[Name]])),"")</calculatedColumnFormula>
    </tableColumn>
    <tableColumn id="4" xr3:uid="{470EE811-E7B5-4F37-9C34-BE2AF5AFA6FC}" name="2024-2025" totalsRowFunction="sum" dataDxfId="18">
      <calculatedColumnFormula>IFERROR(IF(tableResorts[[#This Row],[Name]]="","",COUNTIF('2024-2025'!$C$14:$C$113,tableResorts[[#This Row],[Name]])),"")</calculatedColumnFormula>
    </tableColumn>
    <tableColumn id="5" xr3:uid="{E7F999E2-D927-4F16-A9E0-E78DFD1C8594}" name="2025-2026" totalsRowFunction="sum" dataDxfId="17">
      <calculatedColumnFormula array="1">IFERROR(GetResortCountBySeason(), "Undefined")</calculatedColumnFormula>
    </tableColumn>
    <tableColumn id="6" xr3:uid="{2E375F05-68DC-4F4D-93F2-932B8661D647}" name="2026-2027" totalsRowFunction="sum" dataDxfId="16">
      <calculatedColumnFormula array="1">IFERROR(GetResortCountBySeason(), "Undefined")</calculatedColumnFormula>
    </tableColumn>
    <tableColumn id="7" xr3:uid="{4FECFE44-E857-4431-8892-03E03BA04297}" name="2027-2028" totalsRowFunction="sum" dataDxfId="15">
      <calculatedColumnFormula array="1">IFERROR(GetResortCountBySeason(), "Undefined")</calculatedColumnFormula>
    </tableColumn>
    <tableColumn id="8" xr3:uid="{A5A491DA-E6FB-47C8-BB72-72260B564D73}" name="2028-2029" totalsRowFunction="sum" dataDxfId="14" totalsRowDxfId="13">
      <calculatedColumnFormula array="1">IFERROR(GetResortCountBySeason(), "Undefined")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0425B2-6112-4B5D-93A9-6C4DF00F9AC4}" name="tableSkis" displayName="tableSkis" ref="A3:I6" totalsRowShown="0" headerRowDxfId="12" dataDxfId="11">
  <autoFilter ref="A3:I6" xr:uid="{210425B2-6112-4B5D-93A9-6C4DF00F9AC4}"/>
  <sortState xmlns:xlrd2="http://schemas.microsoft.com/office/spreadsheetml/2017/richdata2" ref="A4:B6">
    <sortCondition ref="B3:B6"/>
  </sortState>
  <tableColumns count="9">
    <tableColumn id="1" xr3:uid="{7F9DBD2E-4189-4282-9C6E-1268212E175A}" name="Name" dataDxfId="10"/>
    <tableColumn id="2" xr3:uid="{4A5CF93D-4830-4901-8039-0FA1AE1C9DC5}" name="Abbrev" dataDxfId="9"/>
    <tableColumn id="3" xr3:uid="{29B7FDA9-0334-40F9-9BCA-A8CF1484E514}" name="2024-2025" dataDxfId="8">
      <calculatedColumnFormula array="1">_xlfn.LAMBDA(_xlop.pSkiName,_xlop.pSeasonName,
_xlfn.LET(
  _xlpm._comment,
  N(
    "function name: GetDaySkisUsedCountBySeason"
  ),
  _xlpm._tableName,
  _xlfn.LET(
    _xlpm.__seasonName,
    IF(
      _xlfn.ISOMITTED(
        _xlpm.pSeasonName
      ),
      GetColumnName(
        "tableSkis"
      ),
      _xlpm.pSeasonName
    ),
    _xlpm.__result,
    "table" &amp; SUBSTITUTE(
      _xlpm.__seasonName,
      "-",
      "_"
    ),
    _xlpm.__result
  ),
  _xlpm._countRange,
  INDIRECT(
    _xlpm._tableName &amp; "[Ski]"
  ),
  _xlpm._countCriteria,
  _xlfn.LET(
    _xlpm.__result,
    IF(
      _xlfn.ISOMITTED(
        _xlpm.pSkiName
      ),
      tableSkis[[#This Row],[Name]],
      _xlpm.pSkiName
    ),
    _xlpm.__result
  ),
  _xlpm._result,
  COUNTIF(
    _xlpm._countRange,
    _xlpm._countCriteria
  ),
  _xlpm._tableName  &amp; "[Ski]"
)
)( , )</calculatedColumnFormula>
    </tableColumn>
    <tableColumn id="4" xr3:uid="{68EE2FDB-2D7E-4BFD-997E-AD187A2583AA}" name="2025-2026" dataDxfId="7">
      <calculatedColumnFormula array="1">IFERROR(GetDaySkisUsedCountBySeason(),"Undefined")</calculatedColumnFormula>
    </tableColumn>
    <tableColumn id="5" xr3:uid="{54E23A07-ADDE-437D-A8C0-ED6A3740F67A}" name="2026-2027" dataDxfId="6">
      <calculatedColumnFormula array="1">IFERROR(GetDaySkisUsedCountBySeason(),"Undefined")</calculatedColumnFormula>
    </tableColumn>
    <tableColumn id="6" xr3:uid="{318B0B62-E4C0-459D-B30B-788D21944EF6}" name="2027-2028" dataDxfId="5">
      <calculatedColumnFormula array="1">IFERROR(GetDaySkisUsedCountBySeason(),"Undefined")</calculatedColumnFormula>
    </tableColumn>
    <tableColumn id="7" xr3:uid="{C6C7C0E2-5276-4755-90C1-FB04BE80360C}" name="2028-2029" dataDxfId="4">
      <calculatedColumnFormula array="1">IFERROR(GetDaySkisUsedCountBySeason(),"Undefined")</calculatedColumnFormula>
    </tableColumn>
    <tableColumn id="8" xr3:uid="{5442CC51-0E73-451C-87F9-94BED7FF653F}" name="2029-2030" dataDxfId="3">
      <calculatedColumnFormula array="1">IFERROR(GetDaySkisUsedCountBySeason(),"Undefined")</calculatedColumnFormula>
    </tableColumn>
    <tableColumn id="9" xr3:uid="{CC0EF6FF-168D-4528-B159-563B33B65371}" name="Total" dataDxfId="2">
      <calculatedColumnFormula>SUM($C4:H4)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60B658-6C9E-4BE7-A686-B6B9135A6F6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3857734-C871-4C18-952B-7D2A5E43EC6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5985-9C9D-44B9-A232-362A19785229}">
  <sheetPr codeName="Sheet1"/>
  <dimension ref="A1:K110"/>
  <sheetViews>
    <sheetView workbookViewId="0">
      <pane ySplit="9" topLeftCell="A10" activePane="bottomLeft" state="frozen"/>
      <selection pane="bottomLeft" sqref="A1:C1"/>
    </sheetView>
  </sheetViews>
  <sheetFormatPr defaultRowHeight="14.5" x14ac:dyDescent="0.35"/>
  <cols>
    <col min="2" max="2" width="25.54296875" style="1" customWidth="1"/>
    <col min="3" max="3" width="25.54296875" customWidth="1"/>
    <col min="4" max="4" width="12" customWidth="1"/>
    <col min="11" max="11" width="50.54296875" customWidth="1"/>
  </cols>
  <sheetData>
    <row r="1" spans="1:11" ht="18.5" x14ac:dyDescent="0.45">
      <c r="A1" s="155" t="str">
        <f>WorkbookTitle</f>
        <v>Bob's Ski Days</v>
      </c>
      <c r="B1" s="155"/>
      <c r="C1" s="155"/>
    </row>
    <row r="2" spans="1:11" ht="18.5" x14ac:dyDescent="0.45">
      <c r="A2" s="155" t="str" cm="1">
        <f t="array" aca="1" ref="A2" ca="1">GetWorksheetName()</f>
        <v>2022-2023</v>
      </c>
      <c r="B2" s="155"/>
      <c r="C2" s="155"/>
    </row>
    <row r="3" spans="1:11" ht="16" thickBot="1" x14ac:dyDescent="0.4">
      <c r="A3" s="2"/>
    </row>
    <row r="4" spans="1:11" ht="15.5" x14ac:dyDescent="0.35">
      <c r="B4" s="161" t="s">
        <v>22</v>
      </c>
      <c r="C4" s="162"/>
      <c r="D4" s="20"/>
    </row>
    <row r="5" spans="1:11" s="8" customFormat="1" ht="16" thickBot="1" x14ac:dyDescent="0.4">
      <c r="B5" s="21" t="s">
        <v>23</v>
      </c>
      <c r="C5" s="22" t="s">
        <v>24</v>
      </c>
      <c r="D5" s="20"/>
    </row>
    <row r="6" spans="1:11" s="8" customFormat="1" ht="16" thickBot="1" x14ac:dyDescent="0.4">
      <c r="A6" s="20"/>
      <c r="B6" s="23">
        <f ca="1">COUNT(OFFSET($B$11, 0, 0, COUNTA($B$11:$B$110),1))</f>
        <v>50</v>
      </c>
      <c r="C6" s="24" cm="1">
        <f t="array" aca="1" ref="C6" ca="1">IFERROR(SUMPRODUCT(1/COUNTIF(OFFSET($C$11, 0, 0, COUNTA($C$11:$C$110),1),OFFSET($C$11, 0, 0, COUNTA($C$11:$C$110),1))),"")</f>
        <v>11.999999999999995</v>
      </c>
    </row>
    <row r="7" spans="1:11" ht="15" thickBot="1" x14ac:dyDescent="0.4"/>
    <row r="8" spans="1:11" x14ac:dyDescent="0.35">
      <c r="A8" s="163" t="s">
        <v>0</v>
      </c>
      <c r="B8" s="165" t="s">
        <v>1</v>
      </c>
      <c r="C8" s="167" t="s">
        <v>2</v>
      </c>
      <c r="D8" s="169" t="s">
        <v>18</v>
      </c>
      <c r="E8" s="160" t="s">
        <v>3</v>
      </c>
      <c r="F8" s="160"/>
      <c r="G8" s="160" t="s">
        <v>26</v>
      </c>
      <c r="H8" s="160"/>
      <c r="I8" s="160" t="s">
        <v>27</v>
      </c>
      <c r="J8" s="160"/>
      <c r="K8" s="27"/>
    </row>
    <row r="9" spans="1:11" ht="15" thickBot="1" x14ac:dyDescent="0.4">
      <c r="A9" s="164"/>
      <c r="B9" s="166"/>
      <c r="C9" s="168"/>
      <c r="D9" s="170"/>
      <c r="E9" s="25" t="s">
        <v>21</v>
      </c>
      <c r="F9" s="25" t="s">
        <v>20</v>
      </c>
      <c r="G9" s="25" t="s">
        <v>21</v>
      </c>
      <c r="H9" s="25" t="s">
        <v>20</v>
      </c>
      <c r="I9" s="25" t="s">
        <v>21</v>
      </c>
      <c r="J9" s="25" t="s">
        <v>20</v>
      </c>
      <c r="K9" s="26" t="s">
        <v>15</v>
      </c>
    </row>
    <row r="10" spans="1:11" ht="15" x14ac:dyDescent="0.4">
      <c r="A10" s="4"/>
      <c r="B10" s="5"/>
      <c r="C10" s="6"/>
      <c r="D10" s="6"/>
      <c r="E10" s="12">
        <v>0</v>
      </c>
      <c r="F10" s="62" t="b">
        <f>TRUE</f>
        <v>1</v>
      </c>
      <c r="G10" s="12"/>
      <c r="H10" s="64" t="b">
        <f>TRUE</f>
        <v>1</v>
      </c>
      <c r="I10" s="12">
        <v>0</v>
      </c>
      <c r="J10" s="64" t="b">
        <v>0</v>
      </c>
      <c r="K10" s="7"/>
    </row>
    <row r="11" spans="1:11" ht="15" x14ac:dyDescent="0.4">
      <c r="A11" s="4">
        <f>IF($B11="","",A10+1)</f>
        <v>1</v>
      </c>
      <c r="B11" s="11">
        <v>44869</v>
      </c>
      <c r="C11" s="12" t="s">
        <v>5</v>
      </c>
      <c r="D11" s="6" cm="1">
        <f t="array" aca="1" ref="D11" ca="1">IF($C11="","",COUNTIF(_xlfn.TAKE(OFFSET($C$11, 0, 0, COUNTA($C$11:$C$110),1),$A11),$C11))</f>
        <v>1</v>
      </c>
      <c r="E11" s="6">
        <f>IF($B11="","",IF($F10, 1, $E10+1))</f>
        <v>1</v>
      </c>
      <c r="F11" s="62" t="b">
        <v>0</v>
      </c>
      <c r="G11" s="6">
        <f>IF($B11="","",IF($H10, $G10+1))</f>
        <v>1</v>
      </c>
      <c r="H11" s="64" t="b">
        <v>0</v>
      </c>
      <c r="I11" s="6">
        <f>IF($B11="","",IF($J10, 1, $I10+1))</f>
        <v>1</v>
      </c>
      <c r="J11" s="64" t="b">
        <v>0</v>
      </c>
      <c r="K11" s="17"/>
    </row>
    <row r="12" spans="1:11" ht="15" x14ac:dyDescent="0.4">
      <c r="A12" s="4">
        <f t="shared" ref="A12:A75" si="0">IF($B12="","",A11+1)</f>
        <v>2</v>
      </c>
      <c r="B12" s="13">
        <v>44880</v>
      </c>
      <c r="C12" s="14" t="s">
        <v>5</v>
      </c>
      <c r="D12" s="6" cm="1">
        <f t="array" aca="1" ref="D12" ca="1">IF($C12="","",COUNTIF(_xlfn.TAKE(OFFSET($C$11, 0, 0, COUNTA($C$11:$C$110),1),$A12),$C12))</f>
        <v>2</v>
      </c>
      <c r="E12" s="6">
        <f t="shared" ref="E12:E75" si="1">IF($B12="","",IF($F11, 1, $E11+1))</f>
        <v>2</v>
      </c>
      <c r="F12" s="62" t="b">
        <v>0</v>
      </c>
      <c r="G12" s="6" t="b">
        <f t="shared" ref="G12:G75" si="2">IF($B12="","",IF($H11, $G11+1))</f>
        <v>0</v>
      </c>
      <c r="H12" s="64" t="b">
        <v>0</v>
      </c>
      <c r="I12" s="6">
        <f t="shared" ref="I12:I75" si="3">IF($B12="","",IF($J11, 1, $I11+1))</f>
        <v>2</v>
      </c>
      <c r="J12" s="64" t="b">
        <v>0</v>
      </c>
      <c r="K12" s="18"/>
    </row>
    <row r="13" spans="1:11" ht="15" x14ac:dyDescent="0.4">
      <c r="A13" s="4">
        <f t="shared" si="0"/>
        <v>3</v>
      </c>
      <c r="B13" s="13">
        <v>44881</v>
      </c>
      <c r="C13" s="14" t="s">
        <v>5</v>
      </c>
      <c r="D13" s="6" cm="1">
        <f t="array" aca="1" ref="D13" ca="1">IF($C13="","",COUNTIF(_xlfn.TAKE(OFFSET($C$11, 0, 0, COUNTA($C$11:$C$110),1),$A13),$C13))</f>
        <v>3</v>
      </c>
      <c r="E13" s="6">
        <f t="shared" si="1"/>
        <v>3</v>
      </c>
      <c r="F13" s="62" t="b">
        <v>0</v>
      </c>
      <c r="G13" s="6" t="b">
        <f t="shared" si="2"/>
        <v>0</v>
      </c>
      <c r="H13" s="64" t="b">
        <v>0</v>
      </c>
      <c r="I13" s="6">
        <f t="shared" si="3"/>
        <v>3</v>
      </c>
      <c r="J13" s="64" t="b">
        <v>0</v>
      </c>
      <c r="K13" s="18"/>
    </row>
    <row r="14" spans="1:11" ht="15" x14ac:dyDescent="0.4">
      <c r="A14" s="4">
        <f t="shared" si="0"/>
        <v>4</v>
      </c>
      <c r="B14" s="13">
        <v>44897</v>
      </c>
      <c r="C14" s="14" t="s">
        <v>6</v>
      </c>
      <c r="D14" s="6" cm="1">
        <f t="array" aca="1" ref="D14" ca="1">IF($C14="","",COUNTIF(_xlfn.TAKE(OFFSET($C$11, 0, 0, COUNTA($C$11:$C$110),1),$A14),$C14))</f>
        <v>1</v>
      </c>
      <c r="E14" s="6">
        <f t="shared" si="1"/>
        <v>4</v>
      </c>
      <c r="F14" s="62" t="b">
        <f>TRUE</f>
        <v>1</v>
      </c>
      <c r="G14" s="6" t="b">
        <f t="shared" si="2"/>
        <v>0</v>
      </c>
      <c r="H14" s="64" t="b">
        <f>TRUE</f>
        <v>1</v>
      </c>
      <c r="I14" s="6">
        <f t="shared" si="3"/>
        <v>4</v>
      </c>
      <c r="J14" s="64" t="b">
        <f>TRUE</f>
        <v>1</v>
      </c>
      <c r="K14" s="18"/>
    </row>
    <row r="15" spans="1:11" ht="15" x14ac:dyDescent="0.4">
      <c r="A15" s="4">
        <f t="shared" si="0"/>
        <v>5</v>
      </c>
      <c r="B15" s="13">
        <v>44898</v>
      </c>
      <c r="C15" s="14" t="s">
        <v>6</v>
      </c>
      <c r="D15" s="6" cm="1">
        <f t="array" aca="1" ref="D15" ca="1">IF($C15="","",COUNTIF(_xlfn.TAKE(OFFSET($C$11, 0, 0, COUNTA($C$11:$C$110),1),$A15),$C15))</f>
        <v>2</v>
      </c>
      <c r="E15" s="6">
        <f t="shared" si="1"/>
        <v>1</v>
      </c>
      <c r="F15" s="62" t="b">
        <v>0</v>
      </c>
      <c r="G15" s="6">
        <f t="shared" si="2"/>
        <v>1</v>
      </c>
      <c r="H15" s="64" t="b">
        <v>0</v>
      </c>
      <c r="I15" s="6">
        <f t="shared" si="3"/>
        <v>1</v>
      </c>
      <c r="J15" s="64" t="b">
        <v>0</v>
      </c>
      <c r="K15" s="18"/>
    </row>
    <row r="16" spans="1:11" ht="15" x14ac:dyDescent="0.4">
      <c r="A16" s="4">
        <f t="shared" si="0"/>
        <v>6</v>
      </c>
      <c r="B16" s="13">
        <v>44899</v>
      </c>
      <c r="C16" s="14" t="s">
        <v>6</v>
      </c>
      <c r="D16" s="6" cm="1">
        <f t="array" aca="1" ref="D16" ca="1">IF($C16="","",COUNTIF(_xlfn.TAKE(OFFSET($C$11, 0, 0, COUNTA($C$11:$C$110),1),$A16),$C16))</f>
        <v>3</v>
      </c>
      <c r="E16" s="6">
        <f t="shared" si="1"/>
        <v>2</v>
      </c>
      <c r="F16" s="62" t="b">
        <v>0</v>
      </c>
      <c r="G16" s="6" t="b">
        <f t="shared" si="2"/>
        <v>0</v>
      </c>
      <c r="H16" s="64" t="b">
        <v>0</v>
      </c>
      <c r="I16" s="6">
        <f t="shared" si="3"/>
        <v>2</v>
      </c>
      <c r="J16" s="64" t="b">
        <v>0</v>
      </c>
      <c r="K16" s="18"/>
    </row>
    <row r="17" spans="1:11" ht="15" x14ac:dyDescent="0.4">
      <c r="A17" s="4">
        <f t="shared" si="0"/>
        <v>7</v>
      </c>
      <c r="B17" s="13">
        <v>44900</v>
      </c>
      <c r="C17" s="14" t="s">
        <v>6</v>
      </c>
      <c r="D17" s="6" cm="1">
        <f t="array" aca="1" ref="D17" ca="1">IF($C17="","",COUNTIF(_xlfn.TAKE(OFFSET($C$11, 0, 0, COUNTA($C$11:$C$110),1),$A17),$C17))</f>
        <v>4</v>
      </c>
      <c r="E17" s="6">
        <f t="shared" si="1"/>
        <v>3</v>
      </c>
      <c r="F17" s="62" t="b">
        <v>0</v>
      </c>
      <c r="G17" s="6" t="b">
        <f t="shared" si="2"/>
        <v>0</v>
      </c>
      <c r="H17" s="64" t="b">
        <v>0</v>
      </c>
      <c r="I17" s="6">
        <f t="shared" si="3"/>
        <v>3</v>
      </c>
      <c r="J17" s="64" t="b">
        <v>0</v>
      </c>
      <c r="K17" s="18"/>
    </row>
    <row r="18" spans="1:11" ht="15" x14ac:dyDescent="0.4">
      <c r="A18" s="4">
        <f t="shared" si="0"/>
        <v>8</v>
      </c>
      <c r="B18" s="13">
        <v>44901</v>
      </c>
      <c r="C18" s="14" t="s">
        <v>6</v>
      </c>
      <c r="D18" s="6" cm="1">
        <f t="array" aca="1" ref="D18" ca="1">IF($C18="","",COUNTIF(_xlfn.TAKE(OFFSET($C$11, 0, 0, COUNTA($C$11:$C$110),1),$A18),$C18))</f>
        <v>5</v>
      </c>
      <c r="E18" s="6">
        <f t="shared" si="1"/>
        <v>4</v>
      </c>
      <c r="F18" s="62" t="b">
        <v>0</v>
      </c>
      <c r="G18" s="6" t="b">
        <f t="shared" si="2"/>
        <v>0</v>
      </c>
      <c r="H18" s="64" t="b">
        <v>0</v>
      </c>
      <c r="I18" s="6">
        <f t="shared" si="3"/>
        <v>4</v>
      </c>
      <c r="J18" s="64" t="b">
        <v>0</v>
      </c>
      <c r="K18" s="18"/>
    </row>
    <row r="19" spans="1:11" ht="15" x14ac:dyDescent="0.4">
      <c r="A19" s="4">
        <f t="shared" si="0"/>
        <v>9</v>
      </c>
      <c r="B19" s="13">
        <v>44902</v>
      </c>
      <c r="C19" s="14" t="s">
        <v>6</v>
      </c>
      <c r="D19" s="6" cm="1">
        <f t="array" aca="1" ref="D19" ca="1">IF($C19="","",COUNTIF(_xlfn.TAKE(OFFSET($C$11, 0, 0, COUNTA($C$11:$C$110),1),$A19),$C19))</f>
        <v>6</v>
      </c>
      <c r="E19" s="6">
        <f t="shared" si="1"/>
        <v>5</v>
      </c>
      <c r="F19" s="62" t="b">
        <v>0</v>
      </c>
      <c r="G19" s="6" t="b">
        <f t="shared" si="2"/>
        <v>0</v>
      </c>
      <c r="H19" s="64" t="b">
        <v>0</v>
      </c>
      <c r="I19" s="6">
        <f t="shared" si="3"/>
        <v>5</v>
      </c>
      <c r="J19" s="64" t="b">
        <v>0</v>
      </c>
      <c r="K19" s="18"/>
    </row>
    <row r="20" spans="1:11" ht="15" x14ac:dyDescent="0.4">
      <c r="A20" s="4">
        <f t="shared" si="0"/>
        <v>10</v>
      </c>
      <c r="B20" s="13">
        <v>44903</v>
      </c>
      <c r="C20" s="14" t="s">
        <v>6</v>
      </c>
      <c r="D20" s="6" cm="1">
        <f t="array" aca="1" ref="D20" ca="1">IF($C20="","",COUNTIF(_xlfn.TAKE(OFFSET($C$11, 0, 0, COUNTA($C$11:$C$110),1),$A20),$C20))</f>
        <v>7</v>
      </c>
      <c r="E20" s="6">
        <f t="shared" si="1"/>
        <v>6</v>
      </c>
      <c r="F20" s="62" t="b">
        <v>0</v>
      </c>
      <c r="G20" s="6" t="b">
        <f t="shared" si="2"/>
        <v>0</v>
      </c>
      <c r="H20" s="64" t="b">
        <v>0</v>
      </c>
      <c r="I20" s="6">
        <f t="shared" si="3"/>
        <v>6</v>
      </c>
      <c r="J20" s="64" t="b">
        <v>0</v>
      </c>
      <c r="K20" s="18"/>
    </row>
    <row r="21" spans="1:11" ht="15" x14ac:dyDescent="0.4">
      <c r="A21" s="4">
        <f t="shared" si="0"/>
        <v>11</v>
      </c>
      <c r="B21" s="13">
        <v>44913</v>
      </c>
      <c r="C21" s="14" t="s">
        <v>9</v>
      </c>
      <c r="D21" s="6" cm="1">
        <f t="array" aca="1" ref="D21" ca="1">IF($C21="","",COUNTIF(_xlfn.TAKE(OFFSET($C$11, 0, 0, COUNTA($C$11:$C$110),1),$A21),$C21))</f>
        <v>1</v>
      </c>
      <c r="E21" s="6">
        <f t="shared" si="1"/>
        <v>7</v>
      </c>
      <c r="F21" s="62" t="b">
        <v>0</v>
      </c>
      <c r="G21" s="6" t="b">
        <f t="shared" si="2"/>
        <v>0</v>
      </c>
      <c r="H21" s="64" t="b">
        <v>0</v>
      </c>
      <c r="I21" s="6">
        <f t="shared" si="3"/>
        <v>7</v>
      </c>
      <c r="J21" s="64" t="b">
        <v>0</v>
      </c>
      <c r="K21" s="18"/>
    </row>
    <row r="22" spans="1:11" ht="15" x14ac:dyDescent="0.4">
      <c r="A22" s="4">
        <f t="shared" si="0"/>
        <v>12</v>
      </c>
      <c r="B22" s="13">
        <v>44914</v>
      </c>
      <c r="C22" s="14" t="s">
        <v>9</v>
      </c>
      <c r="D22" s="6" cm="1">
        <f t="array" aca="1" ref="D22" ca="1">IF($C22="","",COUNTIF(_xlfn.TAKE(OFFSET($C$11, 0, 0, COUNTA($C$11:$C$110),1),$A22),$C22))</f>
        <v>2</v>
      </c>
      <c r="E22" s="6">
        <f t="shared" si="1"/>
        <v>8</v>
      </c>
      <c r="F22" s="62" t="b">
        <v>0</v>
      </c>
      <c r="G22" s="6" t="b">
        <f t="shared" si="2"/>
        <v>0</v>
      </c>
      <c r="H22" s="64" t="b">
        <v>0</v>
      </c>
      <c r="I22" s="6">
        <f t="shared" si="3"/>
        <v>8</v>
      </c>
      <c r="J22" s="64" t="b">
        <v>0</v>
      </c>
      <c r="K22" s="18"/>
    </row>
    <row r="23" spans="1:11" ht="15" x14ac:dyDescent="0.4">
      <c r="A23" s="4">
        <f t="shared" si="0"/>
        <v>13</v>
      </c>
      <c r="B23" s="13">
        <v>44915</v>
      </c>
      <c r="C23" s="14" t="s">
        <v>8</v>
      </c>
      <c r="D23" s="6" cm="1">
        <f t="array" aca="1" ref="D23" ca="1">IF($C23="","",COUNTIF(_xlfn.TAKE(OFFSET($C$11, 0, 0, COUNTA($C$11:$C$110),1),$A23),$C23))</f>
        <v>1</v>
      </c>
      <c r="E23" s="6">
        <f t="shared" si="1"/>
        <v>9</v>
      </c>
      <c r="F23" s="62" t="b">
        <v>0</v>
      </c>
      <c r="G23" s="6" t="b">
        <f t="shared" si="2"/>
        <v>0</v>
      </c>
      <c r="H23" s="64" t="b">
        <v>0</v>
      </c>
      <c r="I23" s="6">
        <f t="shared" si="3"/>
        <v>9</v>
      </c>
      <c r="J23" s="64" t="b">
        <v>0</v>
      </c>
      <c r="K23" s="18"/>
    </row>
    <row r="24" spans="1:11" ht="15" x14ac:dyDescent="0.4">
      <c r="A24" s="4">
        <f t="shared" si="0"/>
        <v>14</v>
      </c>
      <c r="B24" s="13">
        <v>44916</v>
      </c>
      <c r="C24" s="14" t="s">
        <v>10</v>
      </c>
      <c r="D24" s="6" cm="1">
        <f t="array" aca="1" ref="D24" ca="1">IF($C24="","",COUNTIF(_xlfn.TAKE(OFFSET($C$11, 0, 0, COUNTA($C$11:$C$110),1),$A24),$C24))</f>
        <v>1</v>
      </c>
      <c r="E24" s="6">
        <f t="shared" si="1"/>
        <v>10</v>
      </c>
      <c r="F24" s="62" t="b">
        <v>0</v>
      </c>
      <c r="G24" s="6" t="b">
        <f t="shared" si="2"/>
        <v>0</v>
      </c>
      <c r="H24" s="64" t="b">
        <v>0</v>
      </c>
      <c r="I24" s="6">
        <f t="shared" si="3"/>
        <v>10</v>
      </c>
      <c r="J24" s="64" t="b">
        <v>0</v>
      </c>
      <c r="K24" s="18"/>
    </row>
    <row r="25" spans="1:11" ht="15" x14ac:dyDescent="0.4">
      <c r="A25" s="4">
        <f t="shared" si="0"/>
        <v>15</v>
      </c>
      <c r="B25" s="13">
        <v>44917</v>
      </c>
      <c r="C25" s="14" t="s">
        <v>11</v>
      </c>
      <c r="D25" s="6" cm="1">
        <f t="array" aca="1" ref="D25" ca="1">IF($C25="","",COUNTIF(_xlfn.TAKE(OFFSET($C$11, 0, 0, COUNTA($C$11:$C$110),1),$A25),$C25))</f>
        <v>1</v>
      </c>
      <c r="E25" s="6">
        <f t="shared" si="1"/>
        <v>11</v>
      </c>
      <c r="F25" s="62" t="b">
        <v>0</v>
      </c>
      <c r="G25" s="6" t="b">
        <f t="shared" si="2"/>
        <v>0</v>
      </c>
      <c r="H25" s="64" t="b">
        <v>0</v>
      </c>
      <c r="I25" s="6">
        <f t="shared" si="3"/>
        <v>11</v>
      </c>
      <c r="J25" s="64" t="b">
        <v>0</v>
      </c>
      <c r="K25" s="18"/>
    </row>
    <row r="26" spans="1:11" ht="15" x14ac:dyDescent="0.4">
      <c r="A26" s="4">
        <f t="shared" si="0"/>
        <v>16</v>
      </c>
      <c r="B26" s="13">
        <v>44928</v>
      </c>
      <c r="C26" s="14" t="s">
        <v>7</v>
      </c>
      <c r="D26" s="6" cm="1">
        <f t="array" aca="1" ref="D26" ca="1">IF($C26="","",COUNTIF(_xlfn.TAKE(OFFSET($C$11, 0, 0, COUNTA($C$11:$C$110),1),$A26),$C26))</f>
        <v>1</v>
      </c>
      <c r="E26" s="6">
        <f t="shared" si="1"/>
        <v>12</v>
      </c>
      <c r="F26" s="62" t="b">
        <v>0</v>
      </c>
      <c r="G26" s="6" t="b">
        <f t="shared" si="2"/>
        <v>0</v>
      </c>
      <c r="H26" s="64" t="b">
        <v>0</v>
      </c>
      <c r="I26" s="6">
        <f t="shared" si="3"/>
        <v>12</v>
      </c>
      <c r="J26" s="64" t="b">
        <v>0</v>
      </c>
      <c r="K26" s="18"/>
    </row>
    <row r="27" spans="1:11" ht="15" x14ac:dyDescent="0.4">
      <c r="A27" s="4">
        <f t="shared" si="0"/>
        <v>17</v>
      </c>
      <c r="B27" s="13">
        <v>44929</v>
      </c>
      <c r="C27" s="14" t="s">
        <v>7</v>
      </c>
      <c r="D27" s="6" cm="1">
        <f t="array" aca="1" ref="D27" ca="1">IF($C27="","",COUNTIF(_xlfn.TAKE(OFFSET($C$11, 0, 0, COUNTA($C$11:$C$110),1),$A27),$C27))</f>
        <v>2</v>
      </c>
      <c r="E27" s="6">
        <f t="shared" si="1"/>
        <v>13</v>
      </c>
      <c r="F27" s="62" t="b">
        <v>0</v>
      </c>
      <c r="G27" s="6" t="b">
        <f t="shared" si="2"/>
        <v>0</v>
      </c>
      <c r="H27" s="64" t="b">
        <v>0</v>
      </c>
      <c r="I27" s="6">
        <f t="shared" si="3"/>
        <v>13</v>
      </c>
      <c r="J27" s="64" t="b">
        <v>0</v>
      </c>
      <c r="K27" s="18"/>
    </row>
    <row r="28" spans="1:11" ht="15" x14ac:dyDescent="0.4">
      <c r="A28" s="4">
        <f t="shared" si="0"/>
        <v>18</v>
      </c>
      <c r="B28" s="13">
        <v>44930</v>
      </c>
      <c r="C28" s="14" t="s">
        <v>7</v>
      </c>
      <c r="D28" s="6" cm="1">
        <f t="array" aca="1" ref="D28" ca="1">IF($C28="","",COUNTIF(_xlfn.TAKE(OFFSET($C$11, 0, 0, COUNTA($C$11:$C$110),1),$A28),$C28))</f>
        <v>3</v>
      </c>
      <c r="E28" s="6">
        <f t="shared" si="1"/>
        <v>14</v>
      </c>
      <c r="F28" s="62" t="b">
        <v>0</v>
      </c>
      <c r="G28" s="6" t="b">
        <f t="shared" si="2"/>
        <v>0</v>
      </c>
      <c r="H28" s="64" t="b">
        <v>0</v>
      </c>
      <c r="I28" s="6">
        <f t="shared" si="3"/>
        <v>14</v>
      </c>
      <c r="J28" s="64" t="b">
        <v>0</v>
      </c>
      <c r="K28" s="18"/>
    </row>
    <row r="29" spans="1:11" ht="15" x14ac:dyDescent="0.4">
      <c r="A29" s="4">
        <f t="shared" si="0"/>
        <v>19</v>
      </c>
      <c r="B29" s="13">
        <v>44931</v>
      </c>
      <c r="C29" s="14" t="s">
        <v>7</v>
      </c>
      <c r="D29" s="6" cm="1">
        <f t="array" aca="1" ref="D29" ca="1">IF($C29="","",COUNTIF(_xlfn.TAKE(OFFSET($C$11, 0, 0, COUNTA($C$11:$C$110),1),$A29),$C29))</f>
        <v>4</v>
      </c>
      <c r="E29" s="6">
        <f t="shared" si="1"/>
        <v>15</v>
      </c>
      <c r="F29" s="62" t="b">
        <v>0</v>
      </c>
      <c r="G29" s="6" t="b">
        <f t="shared" si="2"/>
        <v>0</v>
      </c>
      <c r="H29" s="64" t="b">
        <v>0</v>
      </c>
      <c r="I29" s="6">
        <f t="shared" si="3"/>
        <v>15</v>
      </c>
      <c r="J29" s="64" t="b">
        <v>0</v>
      </c>
      <c r="K29" s="18"/>
    </row>
    <row r="30" spans="1:11" ht="15" x14ac:dyDescent="0.4">
      <c r="A30" s="4">
        <f t="shared" si="0"/>
        <v>20</v>
      </c>
      <c r="B30" s="13">
        <v>44932</v>
      </c>
      <c r="C30" s="14" t="s">
        <v>7</v>
      </c>
      <c r="D30" s="6" cm="1">
        <f t="array" aca="1" ref="D30" ca="1">IF($C30="","",COUNTIF(_xlfn.TAKE(OFFSET($C$11, 0, 0, COUNTA($C$11:$C$110),1),$A30),$C30))</f>
        <v>5</v>
      </c>
      <c r="E30" s="6">
        <f t="shared" si="1"/>
        <v>16</v>
      </c>
      <c r="F30" s="62" t="b">
        <v>0</v>
      </c>
      <c r="G30" s="6" t="b">
        <f t="shared" si="2"/>
        <v>0</v>
      </c>
      <c r="H30" s="64" t="b">
        <v>0</v>
      </c>
      <c r="I30" s="6">
        <f t="shared" si="3"/>
        <v>16</v>
      </c>
      <c r="J30" s="64" t="b">
        <v>0</v>
      </c>
      <c r="K30" s="18"/>
    </row>
    <row r="31" spans="1:11" ht="15" x14ac:dyDescent="0.4">
      <c r="A31" s="4">
        <f t="shared" si="0"/>
        <v>21</v>
      </c>
      <c r="B31" s="13">
        <v>44933</v>
      </c>
      <c r="C31" s="14" t="s">
        <v>7</v>
      </c>
      <c r="D31" s="6" cm="1">
        <f t="array" aca="1" ref="D31" ca="1">IF($C31="","",COUNTIF(_xlfn.TAKE(OFFSET($C$11, 0, 0, COUNTA($C$11:$C$110),1),$A31),$C31))</f>
        <v>6</v>
      </c>
      <c r="E31" s="6">
        <f t="shared" si="1"/>
        <v>17</v>
      </c>
      <c r="F31" s="62" t="b">
        <f>TRUE</f>
        <v>1</v>
      </c>
      <c r="G31" s="6" t="b">
        <f t="shared" si="2"/>
        <v>0</v>
      </c>
      <c r="H31" s="64" t="b">
        <v>0</v>
      </c>
      <c r="I31" s="6">
        <f t="shared" si="3"/>
        <v>17</v>
      </c>
      <c r="J31" s="64" t="b">
        <v>0</v>
      </c>
      <c r="K31" s="18"/>
    </row>
    <row r="32" spans="1:11" ht="15" x14ac:dyDescent="0.4">
      <c r="A32" s="4">
        <f t="shared" si="0"/>
        <v>22</v>
      </c>
      <c r="B32" s="13">
        <v>44941</v>
      </c>
      <c r="C32" s="14" t="s">
        <v>12</v>
      </c>
      <c r="D32" s="6" cm="1">
        <f t="array" aca="1" ref="D32" ca="1">IF($C32="","",COUNTIF(_xlfn.TAKE(OFFSET($C$11, 0, 0, COUNTA($C$11:$C$110),1),$A32),$C32))</f>
        <v>1</v>
      </c>
      <c r="E32" s="6">
        <f t="shared" si="1"/>
        <v>1</v>
      </c>
      <c r="F32" s="62" t="b">
        <v>0</v>
      </c>
      <c r="G32" s="6" t="b">
        <f t="shared" si="2"/>
        <v>0</v>
      </c>
      <c r="H32" s="64" t="b">
        <v>0</v>
      </c>
      <c r="I32" s="6">
        <f t="shared" si="3"/>
        <v>18</v>
      </c>
      <c r="J32" s="64" t="b">
        <v>0</v>
      </c>
      <c r="K32" s="18"/>
    </row>
    <row r="33" spans="1:11" ht="15" x14ac:dyDescent="0.4">
      <c r="A33" s="4">
        <f t="shared" si="0"/>
        <v>23</v>
      </c>
      <c r="B33" s="13">
        <v>44942</v>
      </c>
      <c r="C33" s="14" t="s">
        <v>12</v>
      </c>
      <c r="D33" s="6" cm="1">
        <f t="array" aca="1" ref="D33" ca="1">IF($C33="","",COUNTIF(_xlfn.TAKE(OFFSET($C$11, 0, 0, COUNTA($C$11:$C$110),1),$A33),$C33))</f>
        <v>2</v>
      </c>
      <c r="E33" s="6">
        <f t="shared" si="1"/>
        <v>2</v>
      </c>
      <c r="F33" s="62" t="b">
        <v>0</v>
      </c>
      <c r="G33" s="6" t="b">
        <f t="shared" si="2"/>
        <v>0</v>
      </c>
      <c r="H33" s="64" t="b">
        <v>0</v>
      </c>
      <c r="I33" s="6">
        <f t="shared" si="3"/>
        <v>19</v>
      </c>
      <c r="J33" s="64" t="b">
        <v>0</v>
      </c>
      <c r="K33" s="18"/>
    </row>
    <row r="34" spans="1:11" ht="15" x14ac:dyDescent="0.4">
      <c r="A34" s="4">
        <f t="shared" si="0"/>
        <v>24</v>
      </c>
      <c r="B34" s="13">
        <v>44943</v>
      </c>
      <c r="C34" s="14" t="s">
        <v>12</v>
      </c>
      <c r="D34" s="6" cm="1">
        <f t="array" aca="1" ref="D34" ca="1">IF($C34="","",COUNTIF(_xlfn.TAKE(OFFSET($C$11, 0, 0, COUNTA($C$11:$C$110),1),$A34),$C34))</f>
        <v>3</v>
      </c>
      <c r="E34" s="6">
        <f t="shared" si="1"/>
        <v>3</v>
      </c>
      <c r="F34" s="62" t="b">
        <v>0</v>
      </c>
      <c r="G34" s="6" t="b">
        <f t="shared" si="2"/>
        <v>0</v>
      </c>
      <c r="H34" s="64" t="b">
        <v>0</v>
      </c>
      <c r="I34" s="6">
        <f t="shared" si="3"/>
        <v>20</v>
      </c>
      <c r="J34" s="64" t="b">
        <v>0</v>
      </c>
      <c r="K34" s="18"/>
    </row>
    <row r="35" spans="1:11" ht="15" x14ac:dyDescent="0.4">
      <c r="A35" s="4">
        <f t="shared" si="0"/>
        <v>25</v>
      </c>
      <c r="B35" s="13">
        <v>44944</v>
      </c>
      <c r="C35" s="14" t="s">
        <v>12</v>
      </c>
      <c r="D35" s="6" cm="1">
        <f t="array" aca="1" ref="D35" ca="1">IF($C35="","",COUNTIF(_xlfn.TAKE(OFFSET($C$11, 0, 0, COUNTA($C$11:$C$110),1),$A35),$C35))</f>
        <v>4</v>
      </c>
      <c r="E35" s="6">
        <f t="shared" si="1"/>
        <v>4</v>
      </c>
      <c r="F35" s="62" t="b">
        <v>0</v>
      </c>
      <c r="G35" s="6" t="b">
        <f t="shared" si="2"/>
        <v>0</v>
      </c>
      <c r="H35" s="64" t="b">
        <v>0</v>
      </c>
      <c r="I35" s="6">
        <f t="shared" si="3"/>
        <v>21</v>
      </c>
      <c r="J35" s="64" t="b">
        <v>0</v>
      </c>
      <c r="K35" s="18"/>
    </row>
    <row r="36" spans="1:11" ht="15" x14ac:dyDescent="0.4">
      <c r="A36" s="4">
        <f t="shared" si="0"/>
        <v>26</v>
      </c>
      <c r="B36" s="13">
        <v>44945</v>
      </c>
      <c r="C36" s="14" t="s">
        <v>12</v>
      </c>
      <c r="D36" s="6" cm="1">
        <f t="array" aca="1" ref="D36" ca="1">IF($C36="","",COUNTIF(_xlfn.TAKE(OFFSET($C$11, 0, 0, COUNTA($C$11:$C$110),1),$A36),$C36))</f>
        <v>5</v>
      </c>
      <c r="E36" s="6">
        <f t="shared" si="1"/>
        <v>5</v>
      </c>
      <c r="F36" s="62" t="b">
        <f>TRUE</f>
        <v>1</v>
      </c>
      <c r="G36" s="6" t="b">
        <f t="shared" si="2"/>
        <v>0</v>
      </c>
      <c r="H36" s="64" t="b">
        <f>TRUE</f>
        <v>1</v>
      </c>
      <c r="I36" s="6">
        <f t="shared" si="3"/>
        <v>22</v>
      </c>
      <c r="J36" s="64" t="b">
        <f>TRUE</f>
        <v>1</v>
      </c>
      <c r="K36" s="18"/>
    </row>
    <row r="37" spans="1:11" ht="15" x14ac:dyDescent="0.4">
      <c r="A37" s="4">
        <f t="shared" si="0"/>
        <v>27</v>
      </c>
      <c r="B37" s="13">
        <v>44946</v>
      </c>
      <c r="C37" s="14" t="s">
        <v>12</v>
      </c>
      <c r="D37" s="6" cm="1">
        <f t="array" aca="1" ref="D37" ca="1">IF($C37="","",COUNTIF(_xlfn.TAKE(OFFSET($C$11, 0, 0, COUNTA($C$11:$C$110),1),$A37),$C37))</f>
        <v>6</v>
      </c>
      <c r="E37" s="6">
        <f t="shared" si="1"/>
        <v>1</v>
      </c>
      <c r="F37" s="62" t="b">
        <v>0</v>
      </c>
      <c r="G37" s="6">
        <f t="shared" si="2"/>
        <v>1</v>
      </c>
      <c r="H37" s="64" t="b">
        <v>0</v>
      </c>
      <c r="I37" s="6">
        <f t="shared" si="3"/>
        <v>1</v>
      </c>
      <c r="J37" s="64" t="b">
        <v>0</v>
      </c>
      <c r="K37" s="18"/>
    </row>
    <row r="38" spans="1:11" ht="15" x14ac:dyDescent="0.4">
      <c r="A38" s="4">
        <f t="shared" si="0"/>
        <v>28</v>
      </c>
      <c r="B38" s="13">
        <v>44956</v>
      </c>
      <c r="C38" s="14" t="s">
        <v>7</v>
      </c>
      <c r="D38" s="6" cm="1">
        <f t="array" aca="1" ref="D38" ca="1">IF($C38="","",COUNTIF(_xlfn.TAKE(OFFSET($C$11, 0, 0, COUNTA($C$11:$C$110),1),$A38),$C38))</f>
        <v>7</v>
      </c>
      <c r="E38" s="6">
        <f t="shared" si="1"/>
        <v>2</v>
      </c>
      <c r="F38" s="62" t="b">
        <v>0</v>
      </c>
      <c r="G38" s="6" t="b">
        <f t="shared" si="2"/>
        <v>0</v>
      </c>
      <c r="H38" s="64" t="b">
        <v>0</v>
      </c>
      <c r="I38" s="6">
        <f t="shared" si="3"/>
        <v>2</v>
      </c>
      <c r="J38" s="64" t="b">
        <v>0</v>
      </c>
      <c r="K38" s="18"/>
    </row>
    <row r="39" spans="1:11" ht="15" x14ac:dyDescent="0.4">
      <c r="A39" s="4">
        <f t="shared" si="0"/>
        <v>29</v>
      </c>
      <c r="B39" s="13">
        <v>44957</v>
      </c>
      <c r="C39" s="14" t="s">
        <v>7</v>
      </c>
      <c r="D39" s="6" cm="1">
        <f t="array" aca="1" ref="D39" ca="1">IF($C39="","",COUNTIF(_xlfn.TAKE(OFFSET($C$11, 0, 0, COUNTA($C$11:$C$110),1),$A39),$C39))</f>
        <v>8</v>
      </c>
      <c r="E39" s="6">
        <f t="shared" si="1"/>
        <v>3</v>
      </c>
      <c r="F39" s="62" t="b">
        <v>0</v>
      </c>
      <c r="G39" s="6" t="b">
        <f t="shared" si="2"/>
        <v>0</v>
      </c>
      <c r="H39" s="64" t="b">
        <v>0</v>
      </c>
      <c r="I39" s="6">
        <f t="shared" si="3"/>
        <v>3</v>
      </c>
      <c r="J39" s="64" t="b">
        <v>0</v>
      </c>
      <c r="K39" s="18"/>
    </row>
    <row r="40" spans="1:11" ht="15" x14ac:dyDescent="0.4">
      <c r="A40" s="4">
        <f t="shared" si="0"/>
        <v>30</v>
      </c>
      <c r="B40" s="13">
        <v>44958</v>
      </c>
      <c r="C40" s="14" t="s">
        <v>7</v>
      </c>
      <c r="D40" s="6" cm="1">
        <f t="array" aca="1" ref="D40" ca="1">IF($C40="","",COUNTIF(_xlfn.TAKE(OFFSET($C$11, 0, 0, COUNTA($C$11:$C$110),1),$A40),$C40))</f>
        <v>9</v>
      </c>
      <c r="E40" s="6">
        <f t="shared" si="1"/>
        <v>4</v>
      </c>
      <c r="F40" s="62" t="b">
        <f>TRUE</f>
        <v>1</v>
      </c>
      <c r="G40" s="6" t="b">
        <f t="shared" si="2"/>
        <v>0</v>
      </c>
      <c r="H40" s="64" t="b">
        <v>0</v>
      </c>
      <c r="I40" s="6">
        <f t="shared" si="3"/>
        <v>4</v>
      </c>
      <c r="J40" s="64" t="b">
        <v>0</v>
      </c>
      <c r="K40" s="18"/>
    </row>
    <row r="41" spans="1:11" ht="15" x14ac:dyDescent="0.4">
      <c r="A41" s="4">
        <f t="shared" si="0"/>
        <v>31</v>
      </c>
      <c r="B41" s="13">
        <v>44959</v>
      </c>
      <c r="C41" s="14" t="s">
        <v>7</v>
      </c>
      <c r="D41" s="6" cm="1">
        <f t="array" aca="1" ref="D41" ca="1">IF($C41="","",COUNTIF(_xlfn.TAKE(OFFSET($C$11, 0, 0, COUNTA($C$11:$C$110),1),$A41),$C41))</f>
        <v>10</v>
      </c>
      <c r="E41" s="6">
        <f t="shared" si="1"/>
        <v>1</v>
      </c>
      <c r="F41" s="62" t="b">
        <f>TRUE</f>
        <v>1</v>
      </c>
      <c r="G41" s="6" t="b">
        <f t="shared" si="2"/>
        <v>0</v>
      </c>
      <c r="H41" s="64" t="b">
        <v>0</v>
      </c>
      <c r="I41" s="6">
        <f t="shared" si="3"/>
        <v>5</v>
      </c>
      <c r="J41" s="64" t="b">
        <v>0</v>
      </c>
      <c r="K41" s="18"/>
    </row>
    <row r="42" spans="1:11" ht="15" x14ac:dyDescent="0.4">
      <c r="A42" s="4">
        <f t="shared" si="0"/>
        <v>32</v>
      </c>
      <c r="B42" s="13">
        <v>44960</v>
      </c>
      <c r="C42" s="14" t="s">
        <v>7</v>
      </c>
      <c r="D42" s="6" cm="1">
        <f t="array" aca="1" ref="D42" ca="1">IF($C42="","",COUNTIF(_xlfn.TAKE(OFFSET($C$11, 0, 0, COUNTA($C$11:$C$110),1),$A42),$C42))</f>
        <v>11</v>
      </c>
      <c r="E42" s="6">
        <f t="shared" si="1"/>
        <v>1</v>
      </c>
      <c r="F42" s="62" t="b">
        <v>0</v>
      </c>
      <c r="G42" s="6" t="b">
        <f t="shared" si="2"/>
        <v>0</v>
      </c>
      <c r="H42" s="64" t="b">
        <v>0</v>
      </c>
      <c r="I42" s="6">
        <f t="shared" si="3"/>
        <v>6</v>
      </c>
      <c r="J42" s="64" t="b">
        <v>0</v>
      </c>
      <c r="K42" s="18"/>
    </row>
    <row r="43" spans="1:11" ht="15" x14ac:dyDescent="0.4">
      <c r="A43" s="4">
        <f t="shared" si="0"/>
        <v>33</v>
      </c>
      <c r="B43" s="13">
        <v>44961</v>
      </c>
      <c r="C43" s="14" t="s">
        <v>7</v>
      </c>
      <c r="D43" s="6" cm="1">
        <f t="array" aca="1" ref="D43" ca="1">IF($C43="","",COUNTIF(_xlfn.TAKE(OFFSET($C$11, 0, 0, COUNTA($C$11:$C$110),1),$A43),$C43))</f>
        <v>12</v>
      </c>
      <c r="E43" s="6">
        <f t="shared" si="1"/>
        <v>2</v>
      </c>
      <c r="F43" s="62" t="b">
        <f>TRUE</f>
        <v>1</v>
      </c>
      <c r="G43" s="6" t="b">
        <f t="shared" si="2"/>
        <v>0</v>
      </c>
      <c r="H43" s="64" t="b">
        <v>0</v>
      </c>
      <c r="I43" s="6">
        <f t="shared" si="3"/>
        <v>7</v>
      </c>
      <c r="J43" s="64" t="b">
        <v>0</v>
      </c>
      <c r="K43" s="18"/>
    </row>
    <row r="44" spans="1:11" ht="15" x14ac:dyDescent="0.4">
      <c r="A44" s="4">
        <f t="shared" si="0"/>
        <v>34</v>
      </c>
      <c r="B44" s="13">
        <v>44976</v>
      </c>
      <c r="C44" s="14" t="s">
        <v>13</v>
      </c>
      <c r="D44" s="6" cm="1">
        <f t="array" aca="1" ref="D44" ca="1">IF($C44="","",COUNTIF(_xlfn.TAKE(OFFSET($C$11, 0, 0, COUNTA($C$11:$C$110),1),$A44),$C44))</f>
        <v>1</v>
      </c>
      <c r="E44" s="6">
        <f t="shared" si="1"/>
        <v>1</v>
      </c>
      <c r="F44" s="62" t="b">
        <v>0</v>
      </c>
      <c r="G44" s="6" t="b">
        <f t="shared" si="2"/>
        <v>0</v>
      </c>
      <c r="H44" s="64" t="b">
        <v>0</v>
      </c>
      <c r="I44" s="6">
        <f t="shared" si="3"/>
        <v>8</v>
      </c>
      <c r="J44" s="64" t="b">
        <v>0</v>
      </c>
      <c r="K44" s="18"/>
    </row>
    <row r="45" spans="1:11" ht="15" x14ac:dyDescent="0.4">
      <c r="A45" s="4">
        <f t="shared" si="0"/>
        <v>35</v>
      </c>
      <c r="B45" s="13">
        <v>44977</v>
      </c>
      <c r="C45" s="14" t="s">
        <v>13</v>
      </c>
      <c r="D45" s="6" cm="1">
        <f t="array" aca="1" ref="D45" ca="1">IF($C45="","",COUNTIF(_xlfn.TAKE(OFFSET($C$11, 0, 0, COUNTA($C$11:$C$110),1),$A45),$C45))</f>
        <v>2</v>
      </c>
      <c r="E45" s="6">
        <f t="shared" si="1"/>
        <v>2</v>
      </c>
      <c r="F45" s="62" t="b">
        <v>0</v>
      </c>
      <c r="G45" s="6" t="b">
        <f t="shared" si="2"/>
        <v>0</v>
      </c>
      <c r="H45" s="64" t="b">
        <v>0</v>
      </c>
      <c r="I45" s="6">
        <f t="shared" si="3"/>
        <v>9</v>
      </c>
      <c r="J45" s="64" t="b">
        <v>0</v>
      </c>
      <c r="K45" s="18"/>
    </row>
    <row r="46" spans="1:11" ht="15" x14ac:dyDescent="0.4">
      <c r="A46" s="4">
        <f t="shared" si="0"/>
        <v>36</v>
      </c>
      <c r="B46" s="13">
        <v>44978</v>
      </c>
      <c r="C46" s="14" t="s">
        <v>13</v>
      </c>
      <c r="D46" s="6" cm="1">
        <f t="array" aca="1" ref="D46" ca="1">IF($C46="","",COUNTIF(_xlfn.TAKE(OFFSET($C$11, 0, 0, COUNTA($C$11:$C$110),1),$A46),$C46))</f>
        <v>3</v>
      </c>
      <c r="E46" s="6">
        <f t="shared" si="1"/>
        <v>3</v>
      </c>
      <c r="F46" s="62" t="b">
        <v>0</v>
      </c>
      <c r="G46" s="6" t="b">
        <f t="shared" si="2"/>
        <v>0</v>
      </c>
      <c r="H46" s="64" t="b">
        <v>0</v>
      </c>
      <c r="I46" s="6">
        <f t="shared" si="3"/>
        <v>10</v>
      </c>
      <c r="J46" s="64" t="b">
        <v>0</v>
      </c>
      <c r="K46" s="18"/>
    </row>
    <row r="47" spans="1:11" ht="15" x14ac:dyDescent="0.4">
      <c r="A47" s="4">
        <f t="shared" si="0"/>
        <v>37</v>
      </c>
      <c r="B47" s="13">
        <v>44980</v>
      </c>
      <c r="C47" s="14" t="s">
        <v>14</v>
      </c>
      <c r="D47" s="6" cm="1">
        <f t="array" aca="1" ref="D47" ca="1">IF($C47="","",COUNTIF(_xlfn.TAKE(OFFSET($C$11, 0, 0, COUNTA($C$11:$C$110),1),$A47),$C47))</f>
        <v>1</v>
      </c>
      <c r="E47" s="6">
        <f t="shared" si="1"/>
        <v>4</v>
      </c>
      <c r="F47" s="62" t="b">
        <f>TRUE</f>
        <v>1</v>
      </c>
      <c r="G47" s="6" t="b">
        <f t="shared" si="2"/>
        <v>0</v>
      </c>
      <c r="H47" s="64" t="b">
        <v>0</v>
      </c>
      <c r="I47" s="6">
        <f t="shared" si="3"/>
        <v>11</v>
      </c>
      <c r="J47" s="64" t="b">
        <v>0</v>
      </c>
      <c r="K47" s="18"/>
    </row>
    <row r="48" spans="1:11" ht="15" x14ac:dyDescent="0.4">
      <c r="A48" s="4">
        <f t="shared" si="0"/>
        <v>38</v>
      </c>
      <c r="B48" s="13">
        <v>44981</v>
      </c>
      <c r="C48" s="14" t="s">
        <v>14</v>
      </c>
      <c r="D48" s="6" cm="1">
        <f t="array" aca="1" ref="D48" ca="1">IF($C48="","",COUNTIF(_xlfn.TAKE(OFFSET($C$11, 0, 0, COUNTA($C$11:$C$110),1),$A48),$C48))</f>
        <v>2</v>
      </c>
      <c r="E48" s="6">
        <f t="shared" si="1"/>
        <v>1</v>
      </c>
      <c r="F48" s="62" t="b">
        <v>0</v>
      </c>
      <c r="G48" s="6" t="b">
        <f t="shared" si="2"/>
        <v>0</v>
      </c>
      <c r="H48" s="64" t="b">
        <v>0</v>
      </c>
      <c r="I48" s="6">
        <f t="shared" si="3"/>
        <v>12</v>
      </c>
      <c r="J48" s="64" t="b">
        <v>0</v>
      </c>
      <c r="K48" s="18"/>
    </row>
    <row r="49" spans="1:11" ht="15" x14ac:dyDescent="0.4">
      <c r="A49" s="4">
        <f t="shared" si="0"/>
        <v>39</v>
      </c>
      <c r="B49" s="13">
        <v>44982</v>
      </c>
      <c r="C49" s="14" t="s">
        <v>14</v>
      </c>
      <c r="D49" s="6" cm="1">
        <f t="array" aca="1" ref="D49" ca="1">IF($C49="","",COUNTIF(_xlfn.TAKE(OFFSET($C$11, 0, 0, COUNTA($C$11:$C$110),1),$A49),$C49))</f>
        <v>3</v>
      </c>
      <c r="E49" s="6">
        <f t="shared" si="1"/>
        <v>2</v>
      </c>
      <c r="F49" s="62" t="b">
        <f>TRUE</f>
        <v>1</v>
      </c>
      <c r="G49" s="6" t="b">
        <f t="shared" si="2"/>
        <v>0</v>
      </c>
      <c r="H49" s="64" t="b">
        <v>0</v>
      </c>
      <c r="I49" s="6">
        <f t="shared" si="3"/>
        <v>13</v>
      </c>
      <c r="J49" s="64" t="b">
        <v>0</v>
      </c>
      <c r="K49" s="18"/>
    </row>
    <row r="50" spans="1:11" ht="15" x14ac:dyDescent="0.4">
      <c r="A50" s="4">
        <f t="shared" si="0"/>
        <v>40</v>
      </c>
      <c r="B50" s="13">
        <v>44983</v>
      </c>
      <c r="C50" s="14" t="s">
        <v>14</v>
      </c>
      <c r="D50" s="6" cm="1">
        <f t="array" aca="1" ref="D50" ca="1">IF($C50="","",COUNTIF(_xlfn.TAKE(OFFSET($C$11, 0, 0, COUNTA($C$11:$C$110),1),$A50),$C50))</f>
        <v>4</v>
      </c>
      <c r="E50" s="6">
        <f t="shared" si="1"/>
        <v>1</v>
      </c>
      <c r="F50" s="62" t="b">
        <v>0</v>
      </c>
      <c r="G50" s="6" t="b">
        <f t="shared" si="2"/>
        <v>0</v>
      </c>
      <c r="H50" s="64" t="b">
        <v>0</v>
      </c>
      <c r="I50" s="6">
        <f t="shared" si="3"/>
        <v>14</v>
      </c>
      <c r="J50" s="64" t="b">
        <v>0</v>
      </c>
      <c r="K50" s="18"/>
    </row>
    <row r="51" spans="1:11" ht="15" x14ac:dyDescent="0.4">
      <c r="A51" s="4">
        <f t="shared" si="0"/>
        <v>41</v>
      </c>
      <c r="B51" s="13">
        <v>44984</v>
      </c>
      <c r="C51" s="14" t="s">
        <v>14</v>
      </c>
      <c r="D51" s="6" cm="1">
        <f t="array" aca="1" ref="D51" ca="1">IF($C51="","",COUNTIF(_xlfn.TAKE(OFFSET($C$11, 0, 0, COUNTA($C$11:$C$110),1),$A51),$C51))</f>
        <v>5</v>
      </c>
      <c r="E51" s="6">
        <f t="shared" si="1"/>
        <v>2</v>
      </c>
      <c r="F51" s="62" t="b">
        <v>0</v>
      </c>
      <c r="G51" s="6" t="b">
        <f t="shared" si="2"/>
        <v>0</v>
      </c>
      <c r="H51" s="64" t="b">
        <v>0</v>
      </c>
      <c r="I51" s="6">
        <f t="shared" si="3"/>
        <v>15</v>
      </c>
      <c r="J51" s="64" t="b">
        <v>0</v>
      </c>
      <c r="K51" s="18"/>
    </row>
    <row r="52" spans="1:11" ht="15" x14ac:dyDescent="0.4">
      <c r="A52" s="4">
        <f t="shared" si="0"/>
        <v>42</v>
      </c>
      <c r="B52" s="13">
        <v>44986</v>
      </c>
      <c r="C52" s="14" t="s">
        <v>16</v>
      </c>
      <c r="D52" s="6" cm="1">
        <f t="array" aca="1" ref="D52" ca="1">IF($C52="","",COUNTIF(_xlfn.TAKE(OFFSET($C$11, 0, 0, COUNTA($C$11:$C$110),1),$A52),$C52))</f>
        <v>1</v>
      </c>
      <c r="E52" s="6">
        <f t="shared" si="1"/>
        <v>3</v>
      </c>
      <c r="F52" s="62" t="b">
        <v>0</v>
      </c>
      <c r="G52" s="6" t="b">
        <f t="shared" si="2"/>
        <v>0</v>
      </c>
      <c r="H52" s="64" t="b">
        <v>0</v>
      </c>
      <c r="I52" s="6">
        <f t="shared" si="3"/>
        <v>16</v>
      </c>
      <c r="J52" s="64" t="b">
        <v>0</v>
      </c>
      <c r="K52" s="18"/>
    </row>
    <row r="53" spans="1:11" ht="15" x14ac:dyDescent="0.4">
      <c r="A53" s="4">
        <f t="shared" si="0"/>
        <v>43</v>
      </c>
      <c r="B53" s="13">
        <v>44988</v>
      </c>
      <c r="C53" s="14" t="s">
        <v>17</v>
      </c>
      <c r="D53" s="6" cm="1">
        <f t="array" aca="1" ref="D53" ca="1">IF($C53="","",COUNTIF(_xlfn.TAKE(OFFSET($C$11, 0, 0, COUNTA($C$11:$C$110),1),$A53),$C53))</f>
        <v>1</v>
      </c>
      <c r="E53" s="6">
        <f t="shared" si="1"/>
        <v>4</v>
      </c>
      <c r="F53" s="62" t="b">
        <v>0</v>
      </c>
      <c r="G53" s="6" t="b">
        <f t="shared" si="2"/>
        <v>0</v>
      </c>
      <c r="H53" s="64" t="b">
        <v>0</v>
      </c>
      <c r="I53" s="6">
        <f t="shared" si="3"/>
        <v>17</v>
      </c>
      <c r="J53" s="64" t="b">
        <v>0</v>
      </c>
      <c r="K53" s="18"/>
    </row>
    <row r="54" spans="1:11" ht="15" x14ac:dyDescent="0.4">
      <c r="A54" s="4">
        <f t="shared" si="0"/>
        <v>44</v>
      </c>
      <c r="B54" s="13">
        <v>44990</v>
      </c>
      <c r="C54" s="14" t="s">
        <v>8</v>
      </c>
      <c r="D54" s="6" cm="1">
        <f t="array" aca="1" ref="D54" ca="1">IF($C54="","",COUNTIF(_xlfn.TAKE(OFFSET($C$11, 0, 0, COUNTA($C$11:$C$110),1),$A54),$C54))</f>
        <v>2</v>
      </c>
      <c r="E54" s="6">
        <f t="shared" si="1"/>
        <v>5</v>
      </c>
      <c r="F54" s="62" t="b">
        <f>TRUE</f>
        <v>1</v>
      </c>
      <c r="G54" s="6" t="b">
        <f t="shared" si="2"/>
        <v>0</v>
      </c>
      <c r="H54" s="64" t="b">
        <v>0</v>
      </c>
      <c r="I54" s="6">
        <f t="shared" si="3"/>
        <v>18</v>
      </c>
      <c r="J54" s="64" t="b">
        <v>0</v>
      </c>
      <c r="K54" s="18"/>
    </row>
    <row r="55" spans="1:11" ht="15" x14ac:dyDescent="0.4">
      <c r="A55" s="4">
        <f t="shared" si="0"/>
        <v>45</v>
      </c>
      <c r="B55" s="13">
        <v>45011</v>
      </c>
      <c r="C55" s="14" t="s">
        <v>7</v>
      </c>
      <c r="D55" s="6" cm="1">
        <f t="array" aca="1" ref="D55" ca="1">IF($C55="","",COUNTIF(_xlfn.TAKE(OFFSET($C$11, 0, 0, COUNTA($C$11:$C$110),1),$A55),$C55))</f>
        <v>13</v>
      </c>
      <c r="E55" s="6">
        <f t="shared" si="1"/>
        <v>1</v>
      </c>
      <c r="F55" s="62" t="b">
        <v>0</v>
      </c>
      <c r="G55" s="6" t="b">
        <f t="shared" si="2"/>
        <v>0</v>
      </c>
      <c r="H55" s="64" t="b">
        <v>0</v>
      </c>
      <c r="I55" s="6">
        <f t="shared" si="3"/>
        <v>19</v>
      </c>
      <c r="J55" s="64" t="b">
        <v>0</v>
      </c>
      <c r="K55" s="18"/>
    </row>
    <row r="56" spans="1:11" ht="15" x14ac:dyDescent="0.4">
      <c r="A56" s="4">
        <f t="shared" si="0"/>
        <v>46</v>
      </c>
      <c r="B56" s="13">
        <v>45012</v>
      </c>
      <c r="C56" s="14" t="s">
        <v>7</v>
      </c>
      <c r="D56" s="6" cm="1">
        <f t="array" aca="1" ref="D56" ca="1">IF($C56="","",COUNTIF(_xlfn.TAKE(OFFSET($C$11, 0, 0, COUNTA($C$11:$C$110),1),$A56),$C56))</f>
        <v>14</v>
      </c>
      <c r="E56" s="6">
        <f t="shared" si="1"/>
        <v>2</v>
      </c>
      <c r="F56" s="62" t="b">
        <v>0</v>
      </c>
      <c r="G56" s="6" t="b">
        <f t="shared" si="2"/>
        <v>0</v>
      </c>
      <c r="H56" s="64" t="b">
        <v>0</v>
      </c>
      <c r="I56" s="6">
        <f t="shared" si="3"/>
        <v>20</v>
      </c>
      <c r="J56" s="64" t="b">
        <v>0</v>
      </c>
      <c r="K56" s="18"/>
    </row>
    <row r="57" spans="1:11" ht="15" x14ac:dyDescent="0.4">
      <c r="A57" s="4">
        <f t="shared" si="0"/>
        <v>47</v>
      </c>
      <c r="B57" s="13">
        <v>45013</v>
      </c>
      <c r="C57" s="14" t="s">
        <v>7</v>
      </c>
      <c r="D57" s="6" cm="1">
        <f t="array" aca="1" ref="D57" ca="1">IF($C57="","",COUNTIF(_xlfn.TAKE(OFFSET($C$11, 0, 0, COUNTA($C$11:$C$110),1),$A57),$C57))</f>
        <v>15</v>
      </c>
      <c r="E57" s="6">
        <f t="shared" si="1"/>
        <v>3</v>
      </c>
      <c r="F57" s="62" t="b">
        <f>TRUE</f>
        <v>1</v>
      </c>
      <c r="G57" s="6" t="b">
        <f t="shared" si="2"/>
        <v>0</v>
      </c>
      <c r="H57" s="64" t="b">
        <v>0</v>
      </c>
      <c r="I57" s="6">
        <f t="shared" si="3"/>
        <v>21</v>
      </c>
      <c r="J57" s="64" t="b">
        <v>0</v>
      </c>
      <c r="K57" s="18"/>
    </row>
    <row r="58" spans="1:11" ht="15" x14ac:dyDescent="0.4">
      <c r="A58" s="4">
        <f t="shared" si="0"/>
        <v>48</v>
      </c>
      <c r="B58" s="13">
        <v>45014</v>
      </c>
      <c r="C58" s="14" t="s">
        <v>7</v>
      </c>
      <c r="D58" s="6" cm="1">
        <f t="array" aca="1" ref="D58" ca="1">IF($C58="","",COUNTIF(_xlfn.TAKE(OFFSET($C$11, 0, 0, COUNTA($C$11:$C$110),1),$A58),$C58))</f>
        <v>16</v>
      </c>
      <c r="E58" s="6">
        <f t="shared" si="1"/>
        <v>1</v>
      </c>
      <c r="F58" s="62" t="b">
        <v>0</v>
      </c>
      <c r="G58" s="6" t="b">
        <f t="shared" si="2"/>
        <v>0</v>
      </c>
      <c r="H58" s="64" t="b">
        <v>0</v>
      </c>
      <c r="I58" s="6">
        <f t="shared" si="3"/>
        <v>22</v>
      </c>
      <c r="J58" s="64" t="b">
        <v>0</v>
      </c>
      <c r="K58" s="18"/>
    </row>
    <row r="59" spans="1:11" ht="15" x14ac:dyDescent="0.4">
      <c r="A59" s="4">
        <f t="shared" si="0"/>
        <v>49</v>
      </c>
      <c r="B59" s="13">
        <v>45015</v>
      </c>
      <c r="C59" s="14" t="s">
        <v>7</v>
      </c>
      <c r="D59" s="6" cm="1">
        <f t="array" aca="1" ref="D59" ca="1">IF($C59="","",COUNTIF(_xlfn.TAKE(OFFSET($C$11, 0, 0, COUNTA($C$11:$C$110),1),$A59),$C59))</f>
        <v>17</v>
      </c>
      <c r="E59" s="6">
        <f t="shared" si="1"/>
        <v>2</v>
      </c>
      <c r="F59" s="62" t="b">
        <v>0</v>
      </c>
      <c r="G59" s="6" t="b">
        <f t="shared" si="2"/>
        <v>0</v>
      </c>
      <c r="H59" s="64" t="b">
        <v>0</v>
      </c>
      <c r="I59" s="6">
        <f t="shared" si="3"/>
        <v>23</v>
      </c>
      <c r="J59" s="64" t="b">
        <v>0</v>
      </c>
      <c r="K59" s="18"/>
    </row>
    <row r="60" spans="1:11" ht="15" x14ac:dyDescent="0.4">
      <c r="A60" s="4">
        <f t="shared" si="0"/>
        <v>50</v>
      </c>
      <c r="B60" s="13">
        <v>45016</v>
      </c>
      <c r="C60" s="14" t="s">
        <v>7</v>
      </c>
      <c r="D60" s="6" cm="1">
        <f t="array" aca="1" ref="D60" ca="1">IF($C60="","",COUNTIF(_xlfn.TAKE(OFFSET($C$11, 0, 0, COUNTA($C$11:$C$110),1),$A60),$C60))</f>
        <v>18</v>
      </c>
      <c r="E60" s="6">
        <f t="shared" si="1"/>
        <v>3</v>
      </c>
      <c r="F60" s="62" t="b">
        <v>0</v>
      </c>
      <c r="G60" s="6" t="b">
        <f t="shared" si="2"/>
        <v>0</v>
      </c>
      <c r="H60" s="64" t="b">
        <v>0</v>
      </c>
      <c r="I60" s="6">
        <f t="shared" si="3"/>
        <v>24</v>
      </c>
      <c r="J60" s="64" t="b">
        <v>0</v>
      </c>
      <c r="K60" s="18"/>
    </row>
    <row r="61" spans="1:11" ht="15" x14ac:dyDescent="0.4">
      <c r="A61" s="4" t="str">
        <f t="shared" si="0"/>
        <v/>
      </c>
      <c r="B61" s="13"/>
      <c r="C61" s="14"/>
      <c r="D61" s="6" t="str" cm="1">
        <f t="array" aca="1" ref="D61" ca="1">IF($C61="","",COUNTIF(_xlfn.TAKE(OFFSET($C$11, 0, 0, COUNTA($C$11:$C$110),1),$A61),$C61))</f>
        <v/>
      </c>
      <c r="E61" s="6" t="str">
        <f t="shared" si="1"/>
        <v/>
      </c>
      <c r="F61" s="62" t="b">
        <v>0</v>
      </c>
      <c r="G61" s="6" t="str">
        <f t="shared" si="2"/>
        <v/>
      </c>
      <c r="H61" s="64" t="b">
        <v>0</v>
      </c>
      <c r="I61" s="6" t="str">
        <f t="shared" si="3"/>
        <v/>
      </c>
      <c r="J61" s="64" t="b">
        <v>0</v>
      </c>
      <c r="K61" s="18"/>
    </row>
    <row r="62" spans="1:11" ht="15" x14ac:dyDescent="0.4">
      <c r="A62" s="4" t="str">
        <f t="shared" si="0"/>
        <v/>
      </c>
      <c r="B62" s="13"/>
      <c r="C62" s="14"/>
      <c r="D62" s="6" t="str" cm="1">
        <f t="array" aca="1" ref="D62" ca="1">IF($C62="","",COUNTIF(_xlfn.TAKE(OFFSET($C$11, 0, 0, COUNTA($C$11:$C$110),1),$A62),$C62))</f>
        <v/>
      </c>
      <c r="E62" s="6" t="str">
        <f t="shared" si="1"/>
        <v/>
      </c>
      <c r="F62" s="62" t="b">
        <v>0</v>
      </c>
      <c r="G62" s="6" t="str">
        <f t="shared" si="2"/>
        <v/>
      </c>
      <c r="H62" s="64" t="b">
        <v>0</v>
      </c>
      <c r="I62" s="6" t="str">
        <f t="shared" si="3"/>
        <v/>
      </c>
      <c r="J62" s="64" t="b">
        <v>0</v>
      </c>
      <c r="K62" s="18"/>
    </row>
    <row r="63" spans="1:11" ht="15" x14ac:dyDescent="0.4">
      <c r="A63" s="4" t="str">
        <f t="shared" si="0"/>
        <v/>
      </c>
      <c r="B63" s="13"/>
      <c r="C63" s="14"/>
      <c r="D63" s="6" t="str" cm="1">
        <f t="array" aca="1" ref="D63" ca="1">IF($C63="","",COUNTIF(_xlfn.TAKE(OFFSET($C$11, 0, 0, COUNTA($C$11:$C$110),1),$A63),$C63))</f>
        <v/>
      </c>
      <c r="E63" s="6" t="str">
        <f t="shared" si="1"/>
        <v/>
      </c>
      <c r="F63" s="62" t="b">
        <v>0</v>
      </c>
      <c r="G63" s="6" t="str">
        <f t="shared" si="2"/>
        <v/>
      </c>
      <c r="H63" s="64" t="b">
        <v>0</v>
      </c>
      <c r="I63" s="6" t="str">
        <f t="shared" si="3"/>
        <v/>
      </c>
      <c r="J63" s="64" t="b">
        <v>0</v>
      </c>
      <c r="K63" s="18"/>
    </row>
    <row r="64" spans="1:11" ht="15" x14ac:dyDescent="0.4">
      <c r="A64" s="4" t="str">
        <f t="shared" si="0"/>
        <v/>
      </c>
      <c r="B64" s="13"/>
      <c r="C64" s="14"/>
      <c r="D64" s="6" t="str" cm="1">
        <f t="array" aca="1" ref="D64" ca="1">IF($C64="","",COUNTIF(_xlfn.TAKE(OFFSET($C$11, 0, 0, COUNTA($C$11:$C$110),1),$A64),$C64))</f>
        <v/>
      </c>
      <c r="E64" s="6" t="str">
        <f t="shared" si="1"/>
        <v/>
      </c>
      <c r="F64" s="62" t="b">
        <v>0</v>
      </c>
      <c r="G64" s="6" t="str">
        <f t="shared" si="2"/>
        <v/>
      </c>
      <c r="H64" s="64" t="b">
        <v>0</v>
      </c>
      <c r="I64" s="6" t="str">
        <f t="shared" si="3"/>
        <v/>
      </c>
      <c r="J64" s="64" t="b">
        <v>0</v>
      </c>
      <c r="K64" s="18"/>
    </row>
    <row r="65" spans="1:11" ht="15" x14ac:dyDescent="0.4">
      <c r="A65" s="4" t="str">
        <f t="shared" si="0"/>
        <v/>
      </c>
      <c r="B65" s="13"/>
      <c r="C65" s="14"/>
      <c r="D65" s="6" t="str" cm="1">
        <f t="array" aca="1" ref="D65" ca="1">IF($C65="","",COUNTIF(_xlfn.TAKE(OFFSET($C$11, 0, 0, COUNTA($C$11:$C$110),1),$A65),$C65))</f>
        <v/>
      </c>
      <c r="E65" s="6" t="str">
        <f t="shared" si="1"/>
        <v/>
      </c>
      <c r="F65" s="62" t="b">
        <v>0</v>
      </c>
      <c r="G65" s="6" t="str">
        <f t="shared" si="2"/>
        <v/>
      </c>
      <c r="H65" s="64" t="b">
        <v>0</v>
      </c>
      <c r="I65" s="6" t="str">
        <f t="shared" si="3"/>
        <v/>
      </c>
      <c r="J65" s="64" t="b">
        <v>0</v>
      </c>
      <c r="K65" s="18"/>
    </row>
    <row r="66" spans="1:11" ht="15" x14ac:dyDescent="0.4">
      <c r="A66" s="4" t="str">
        <f t="shared" si="0"/>
        <v/>
      </c>
      <c r="B66" s="13"/>
      <c r="C66" s="14"/>
      <c r="D66" s="6" t="str" cm="1">
        <f t="array" aca="1" ref="D66" ca="1">IF($C66="","",COUNTIF(_xlfn.TAKE(OFFSET($C$11, 0, 0, COUNTA($C$11:$C$110),1),$A66),$C66))</f>
        <v/>
      </c>
      <c r="E66" s="6" t="str">
        <f t="shared" si="1"/>
        <v/>
      </c>
      <c r="F66" s="62" t="b">
        <v>0</v>
      </c>
      <c r="G66" s="6" t="str">
        <f t="shared" si="2"/>
        <v/>
      </c>
      <c r="H66" s="64" t="b">
        <v>0</v>
      </c>
      <c r="I66" s="6" t="str">
        <f t="shared" si="3"/>
        <v/>
      </c>
      <c r="J66" s="64" t="b">
        <v>0</v>
      </c>
      <c r="K66" s="18"/>
    </row>
    <row r="67" spans="1:11" ht="15" x14ac:dyDescent="0.4">
      <c r="A67" s="4" t="str">
        <f t="shared" si="0"/>
        <v/>
      </c>
      <c r="B67" s="13"/>
      <c r="C67" s="14"/>
      <c r="D67" s="6" t="str" cm="1">
        <f t="array" aca="1" ref="D67" ca="1">IF($C67="","",COUNTIF(_xlfn.TAKE(OFFSET($C$11, 0, 0, COUNTA($C$11:$C$110),1),$A67),$C67))</f>
        <v/>
      </c>
      <c r="E67" s="6" t="str">
        <f t="shared" si="1"/>
        <v/>
      </c>
      <c r="F67" s="62" t="b">
        <v>0</v>
      </c>
      <c r="G67" s="6" t="str">
        <f t="shared" si="2"/>
        <v/>
      </c>
      <c r="H67" s="64" t="b">
        <v>0</v>
      </c>
      <c r="I67" s="6" t="str">
        <f t="shared" si="3"/>
        <v/>
      </c>
      <c r="J67" s="64" t="b">
        <v>0</v>
      </c>
      <c r="K67" s="18"/>
    </row>
    <row r="68" spans="1:11" ht="15" x14ac:dyDescent="0.4">
      <c r="A68" s="4" t="str">
        <f t="shared" si="0"/>
        <v/>
      </c>
      <c r="B68" s="13"/>
      <c r="C68" s="14"/>
      <c r="D68" s="6" t="str" cm="1">
        <f t="array" aca="1" ref="D68" ca="1">IF($C68="","",COUNTIF(_xlfn.TAKE(OFFSET($C$11, 0, 0, COUNTA($C$11:$C$110),1),$A68),$C68))</f>
        <v/>
      </c>
      <c r="E68" s="6" t="str">
        <f t="shared" si="1"/>
        <v/>
      </c>
      <c r="F68" s="62" t="b">
        <v>0</v>
      </c>
      <c r="G68" s="6" t="str">
        <f t="shared" si="2"/>
        <v/>
      </c>
      <c r="H68" s="64" t="b">
        <v>0</v>
      </c>
      <c r="I68" s="6" t="str">
        <f t="shared" si="3"/>
        <v/>
      </c>
      <c r="J68" s="64" t="b">
        <v>0</v>
      </c>
      <c r="K68" s="18"/>
    </row>
    <row r="69" spans="1:11" ht="15" x14ac:dyDescent="0.4">
      <c r="A69" s="4" t="str">
        <f t="shared" si="0"/>
        <v/>
      </c>
      <c r="B69" s="13"/>
      <c r="C69" s="14"/>
      <c r="D69" s="6" t="str" cm="1">
        <f t="array" aca="1" ref="D69" ca="1">IF($C69="","",COUNTIF(_xlfn.TAKE(OFFSET($C$11, 0, 0, COUNTA($C$11:$C$110),1),$A69),$C69))</f>
        <v/>
      </c>
      <c r="E69" s="6" t="str">
        <f t="shared" si="1"/>
        <v/>
      </c>
      <c r="F69" s="62" t="b">
        <v>0</v>
      </c>
      <c r="G69" s="6" t="str">
        <f t="shared" si="2"/>
        <v/>
      </c>
      <c r="H69" s="64" t="b">
        <v>0</v>
      </c>
      <c r="I69" s="6" t="str">
        <f t="shared" si="3"/>
        <v/>
      </c>
      <c r="J69" s="64" t="b">
        <v>0</v>
      </c>
      <c r="K69" s="18"/>
    </row>
    <row r="70" spans="1:11" ht="15" x14ac:dyDescent="0.4">
      <c r="A70" s="4" t="str">
        <f t="shared" si="0"/>
        <v/>
      </c>
      <c r="B70" s="13"/>
      <c r="C70" s="14"/>
      <c r="D70" s="6" t="str" cm="1">
        <f t="array" aca="1" ref="D70" ca="1">IF($C70="","",COUNTIF(_xlfn.TAKE(OFFSET($C$11, 0, 0, COUNTA($C$11:$C$110),1),$A70),$C70))</f>
        <v/>
      </c>
      <c r="E70" s="6" t="str">
        <f t="shared" si="1"/>
        <v/>
      </c>
      <c r="F70" s="62" t="b">
        <v>0</v>
      </c>
      <c r="G70" s="6" t="str">
        <f t="shared" si="2"/>
        <v/>
      </c>
      <c r="H70" s="64" t="b">
        <v>0</v>
      </c>
      <c r="I70" s="6" t="str">
        <f t="shared" si="3"/>
        <v/>
      </c>
      <c r="J70" s="64" t="b">
        <v>0</v>
      </c>
      <c r="K70" s="18"/>
    </row>
    <row r="71" spans="1:11" ht="15" x14ac:dyDescent="0.4">
      <c r="A71" s="4" t="str">
        <f t="shared" si="0"/>
        <v/>
      </c>
      <c r="B71" s="13"/>
      <c r="C71" s="14"/>
      <c r="D71" s="6" t="str" cm="1">
        <f t="array" aca="1" ref="D71" ca="1">IF($C71="","",COUNTIF(_xlfn.TAKE(OFFSET($C$11, 0, 0, COUNTA($C$11:$C$110),1),$A71),$C71))</f>
        <v/>
      </c>
      <c r="E71" s="6" t="str">
        <f t="shared" si="1"/>
        <v/>
      </c>
      <c r="F71" s="62" t="b">
        <v>0</v>
      </c>
      <c r="G71" s="6" t="str">
        <f t="shared" si="2"/>
        <v/>
      </c>
      <c r="H71" s="64" t="b">
        <v>0</v>
      </c>
      <c r="I71" s="6" t="str">
        <f t="shared" si="3"/>
        <v/>
      </c>
      <c r="J71" s="64" t="b">
        <v>0</v>
      </c>
      <c r="K71" s="18"/>
    </row>
    <row r="72" spans="1:11" ht="15" x14ac:dyDescent="0.4">
      <c r="A72" s="4" t="str">
        <f t="shared" si="0"/>
        <v/>
      </c>
      <c r="B72" s="13"/>
      <c r="C72" s="14"/>
      <c r="D72" s="6" t="str" cm="1">
        <f t="array" aca="1" ref="D72" ca="1">IF($C72="","",COUNTIF(_xlfn.TAKE(OFFSET($C$11, 0, 0, COUNTA($C$11:$C$110),1),$A72),$C72))</f>
        <v/>
      </c>
      <c r="E72" s="6" t="str">
        <f t="shared" si="1"/>
        <v/>
      </c>
      <c r="F72" s="62" t="b">
        <v>0</v>
      </c>
      <c r="G72" s="6" t="str">
        <f t="shared" si="2"/>
        <v/>
      </c>
      <c r="H72" s="64" t="b">
        <v>0</v>
      </c>
      <c r="I72" s="6" t="str">
        <f t="shared" si="3"/>
        <v/>
      </c>
      <c r="J72" s="64" t="b">
        <v>0</v>
      </c>
      <c r="K72" s="18"/>
    </row>
    <row r="73" spans="1:11" ht="15" x14ac:dyDescent="0.4">
      <c r="A73" s="4" t="str">
        <f t="shared" si="0"/>
        <v/>
      </c>
      <c r="B73" s="13"/>
      <c r="C73" s="14"/>
      <c r="D73" s="6" t="str" cm="1">
        <f t="array" aca="1" ref="D73" ca="1">IF($C73="","",COUNTIF(_xlfn.TAKE(OFFSET($C$11, 0, 0, COUNTA($C$11:$C$110),1),$A73),$C73))</f>
        <v/>
      </c>
      <c r="E73" s="6" t="str">
        <f t="shared" si="1"/>
        <v/>
      </c>
      <c r="F73" s="62" t="b">
        <v>0</v>
      </c>
      <c r="G73" s="6" t="str">
        <f t="shared" si="2"/>
        <v/>
      </c>
      <c r="H73" s="64" t="b">
        <v>0</v>
      </c>
      <c r="I73" s="6" t="str">
        <f t="shared" si="3"/>
        <v/>
      </c>
      <c r="J73" s="64" t="b">
        <v>0</v>
      </c>
      <c r="K73" s="18"/>
    </row>
    <row r="74" spans="1:11" ht="15" x14ac:dyDescent="0.4">
      <c r="A74" s="4" t="str">
        <f t="shared" si="0"/>
        <v/>
      </c>
      <c r="B74" s="13"/>
      <c r="C74" s="14"/>
      <c r="D74" s="6" t="str" cm="1">
        <f t="array" aca="1" ref="D74" ca="1">IF($C74="","",COUNTIF(_xlfn.TAKE(OFFSET($C$11, 0, 0, COUNTA($C$11:$C$110),1),$A74),$C74))</f>
        <v/>
      </c>
      <c r="E74" s="6" t="str">
        <f t="shared" si="1"/>
        <v/>
      </c>
      <c r="F74" s="62" t="b">
        <v>0</v>
      </c>
      <c r="G74" s="6" t="str">
        <f t="shared" si="2"/>
        <v/>
      </c>
      <c r="H74" s="64" t="b">
        <v>0</v>
      </c>
      <c r="I74" s="6" t="str">
        <f t="shared" si="3"/>
        <v/>
      </c>
      <c r="J74" s="64" t="b">
        <v>0</v>
      </c>
      <c r="K74" s="18"/>
    </row>
    <row r="75" spans="1:11" ht="15" x14ac:dyDescent="0.4">
      <c r="A75" s="4" t="str">
        <f t="shared" si="0"/>
        <v/>
      </c>
      <c r="B75" s="13"/>
      <c r="C75" s="14"/>
      <c r="D75" s="6" t="str" cm="1">
        <f t="array" aca="1" ref="D75" ca="1">IF($C75="","",COUNTIF(_xlfn.TAKE(OFFSET($C$11, 0, 0, COUNTA($C$11:$C$110),1),$A75),$C75))</f>
        <v/>
      </c>
      <c r="E75" s="6" t="str">
        <f t="shared" si="1"/>
        <v/>
      </c>
      <c r="F75" s="62" t="b">
        <v>0</v>
      </c>
      <c r="G75" s="6" t="str">
        <f t="shared" si="2"/>
        <v/>
      </c>
      <c r="H75" s="64" t="b">
        <v>0</v>
      </c>
      <c r="I75" s="6" t="str">
        <f t="shared" si="3"/>
        <v/>
      </c>
      <c r="J75" s="64" t="b">
        <v>0</v>
      </c>
      <c r="K75" s="18"/>
    </row>
    <row r="76" spans="1:11" ht="15" x14ac:dyDescent="0.4">
      <c r="A76" s="4" t="str">
        <f t="shared" ref="A76:A110" si="4">IF($B76="","",A75+1)</f>
        <v/>
      </c>
      <c r="B76" s="13"/>
      <c r="C76" s="14"/>
      <c r="D76" s="6" t="str" cm="1">
        <f t="array" aca="1" ref="D76" ca="1">IF($C76="","",COUNTIF(_xlfn.TAKE(OFFSET($C$11, 0, 0, COUNTA($C$11:$C$110),1),$A76),$C76))</f>
        <v/>
      </c>
      <c r="E76" s="6" t="str">
        <f t="shared" ref="E76:E110" si="5">IF($B76="","",IF($F75, 1, $E75+1))</f>
        <v/>
      </c>
      <c r="F76" s="62" t="b">
        <v>0</v>
      </c>
      <c r="G76" s="6" t="str">
        <f t="shared" ref="G76:G110" si="6">IF($B76="","",IF($H75, $G75+1))</f>
        <v/>
      </c>
      <c r="H76" s="64" t="b">
        <v>0</v>
      </c>
      <c r="I76" s="6" t="str">
        <f t="shared" ref="I76:I110" si="7">IF($B76="","",IF($J75, 1, $I75+1))</f>
        <v/>
      </c>
      <c r="J76" s="64" t="b">
        <v>0</v>
      </c>
      <c r="K76" s="18"/>
    </row>
    <row r="77" spans="1:11" ht="15" x14ac:dyDescent="0.4">
      <c r="A77" s="4" t="str">
        <f t="shared" si="4"/>
        <v/>
      </c>
      <c r="B77" s="13"/>
      <c r="C77" s="14"/>
      <c r="D77" s="6" t="str" cm="1">
        <f t="array" aca="1" ref="D77" ca="1">IF($C77="","",COUNTIF(_xlfn.TAKE(OFFSET($C$11, 0, 0, COUNTA($C$11:$C$110),1),$A77),$C77))</f>
        <v/>
      </c>
      <c r="E77" s="6" t="str">
        <f t="shared" si="5"/>
        <v/>
      </c>
      <c r="F77" s="62" t="b">
        <v>0</v>
      </c>
      <c r="G77" s="6" t="str">
        <f t="shared" si="6"/>
        <v/>
      </c>
      <c r="H77" s="64" t="b">
        <v>0</v>
      </c>
      <c r="I77" s="6" t="str">
        <f t="shared" si="7"/>
        <v/>
      </c>
      <c r="J77" s="64" t="b">
        <v>0</v>
      </c>
      <c r="K77" s="18"/>
    </row>
    <row r="78" spans="1:11" ht="15" x14ac:dyDescent="0.4">
      <c r="A78" s="4" t="str">
        <f t="shared" si="4"/>
        <v/>
      </c>
      <c r="B78" s="13"/>
      <c r="C78" s="14"/>
      <c r="D78" s="6" t="str" cm="1">
        <f t="array" aca="1" ref="D78" ca="1">IF($C78="","",COUNTIF(_xlfn.TAKE(OFFSET($C$11, 0, 0, COUNTA($C$11:$C$110),1),$A78),$C78))</f>
        <v/>
      </c>
      <c r="E78" s="6" t="str">
        <f t="shared" si="5"/>
        <v/>
      </c>
      <c r="F78" s="62" t="b">
        <v>0</v>
      </c>
      <c r="G78" s="6" t="str">
        <f t="shared" si="6"/>
        <v/>
      </c>
      <c r="H78" s="64" t="b">
        <v>0</v>
      </c>
      <c r="I78" s="6" t="str">
        <f t="shared" si="7"/>
        <v/>
      </c>
      <c r="J78" s="64" t="b">
        <v>0</v>
      </c>
      <c r="K78" s="18"/>
    </row>
    <row r="79" spans="1:11" ht="15" x14ac:dyDescent="0.4">
      <c r="A79" s="4" t="str">
        <f t="shared" si="4"/>
        <v/>
      </c>
      <c r="B79" s="13"/>
      <c r="C79" s="14"/>
      <c r="D79" s="6" t="str" cm="1">
        <f t="array" aca="1" ref="D79" ca="1">IF($C79="","",COUNTIF(_xlfn.TAKE(OFFSET($C$11, 0, 0, COUNTA($C$11:$C$110),1),$A79),$C79))</f>
        <v/>
      </c>
      <c r="E79" s="6" t="str">
        <f t="shared" si="5"/>
        <v/>
      </c>
      <c r="F79" s="62" t="b">
        <v>0</v>
      </c>
      <c r="G79" s="6" t="str">
        <f t="shared" si="6"/>
        <v/>
      </c>
      <c r="H79" s="64" t="b">
        <v>0</v>
      </c>
      <c r="I79" s="6" t="str">
        <f t="shared" si="7"/>
        <v/>
      </c>
      <c r="J79" s="64" t="b">
        <v>0</v>
      </c>
      <c r="K79" s="18"/>
    </row>
    <row r="80" spans="1:11" ht="15" x14ac:dyDescent="0.4">
      <c r="A80" s="4" t="str">
        <f t="shared" si="4"/>
        <v/>
      </c>
      <c r="B80" s="13"/>
      <c r="C80" s="14"/>
      <c r="D80" s="6" t="str" cm="1">
        <f t="array" aca="1" ref="D80" ca="1">IF($C80="","",COUNTIF(_xlfn.TAKE(OFFSET($C$11, 0, 0, COUNTA($C$11:$C$110),1),$A80),$C80))</f>
        <v/>
      </c>
      <c r="E80" s="6" t="str">
        <f t="shared" si="5"/>
        <v/>
      </c>
      <c r="F80" s="62" t="b">
        <v>0</v>
      </c>
      <c r="G80" s="6" t="str">
        <f t="shared" si="6"/>
        <v/>
      </c>
      <c r="H80" s="64" t="b">
        <v>0</v>
      </c>
      <c r="I80" s="6" t="str">
        <f t="shared" si="7"/>
        <v/>
      </c>
      <c r="J80" s="64" t="b">
        <v>0</v>
      </c>
      <c r="K80" s="18"/>
    </row>
    <row r="81" spans="1:11" ht="15" x14ac:dyDescent="0.4">
      <c r="A81" s="4" t="str">
        <f t="shared" si="4"/>
        <v/>
      </c>
      <c r="B81" s="13"/>
      <c r="C81" s="14"/>
      <c r="D81" s="6" t="str" cm="1">
        <f t="array" aca="1" ref="D81" ca="1">IF($C81="","",COUNTIF(_xlfn.TAKE(OFFSET($C$11, 0, 0, COUNTA($C$11:$C$110),1),$A81),$C81))</f>
        <v/>
      </c>
      <c r="E81" s="6" t="str">
        <f t="shared" si="5"/>
        <v/>
      </c>
      <c r="F81" s="62" t="b">
        <v>0</v>
      </c>
      <c r="G81" s="6" t="str">
        <f t="shared" si="6"/>
        <v/>
      </c>
      <c r="H81" s="64" t="b">
        <v>0</v>
      </c>
      <c r="I81" s="6" t="str">
        <f t="shared" si="7"/>
        <v/>
      </c>
      <c r="J81" s="64" t="b">
        <v>0</v>
      </c>
      <c r="K81" s="18"/>
    </row>
    <row r="82" spans="1:11" ht="15" x14ac:dyDescent="0.4">
      <c r="A82" s="4" t="str">
        <f t="shared" si="4"/>
        <v/>
      </c>
      <c r="B82" s="13"/>
      <c r="C82" s="14"/>
      <c r="D82" s="6" t="str" cm="1">
        <f t="array" aca="1" ref="D82" ca="1">IF($C82="","",COUNTIF(_xlfn.TAKE(OFFSET($C$11, 0, 0, COUNTA($C$11:$C$110),1),$A82),$C82))</f>
        <v/>
      </c>
      <c r="E82" s="6" t="str">
        <f t="shared" si="5"/>
        <v/>
      </c>
      <c r="F82" s="62" t="b">
        <v>0</v>
      </c>
      <c r="G82" s="6" t="str">
        <f t="shared" si="6"/>
        <v/>
      </c>
      <c r="H82" s="64" t="b">
        <v>0</v>
      </c>
      <c r="I82" s="6" t="str">
        <f t="shared" si="7"/>
        <v/>
      </c>
      <c r="J82" s="64" t="b">
        <v>0</v>
      </c>
      <c r="K82" s="18"/>
    </row>
    <row r="83" spans="1:11" ht="15" x14ac:dyDescent="0.4">
      <c r="A83" s="4" t="str">
        <f t="shared" si="4"/>
        <v/>
      </c>
      <c r="B83" s="13"/>
      <c r="C83" s="14"/>
      <c r="D83" s="6" t="str" cm="1">
        <f t="array" aca="1" ref="D83" ca="1">IF($C83="","",COUNTIF(_xlfn.TAKE(OFFSET($C$11, 0, 0, COUNTA($C$11:$C$110),1),$A83),$C83))</f>
        <v/>
      </c>
      <c r="E83" s="6" t="str">
        <f t="shared" si="5"/>
        <v/>
      </c>
      <c r="F83" s="62" t="b">
        <v>0</v>
      </c>
      <c r="G83" s="6" t="str">
        <f t="shared" si="6"/>
        <v/>
      </c>
      <c r="H83" s="64" t="b">
        <v>0</v>
      </c>
      <c r="I83" s="6" t="str">
        <f t="shared" si="7"/>
        <v/>
      </c>
      <c r="J83" s="64" t="b">
        <v>0</v>
      </c>
      <c r="K83" s="18"/>
    </row>
    <row r="84" spans="1:11" ht="15" x14ac:dyDescent="0.4">
      <c r="A84" s="4" t="str">
        <f t="shared" si="4"/>
        <v/>
      </c>
      <c r="B84" s="13"/>
      <c r="C84" s="14"/>
      <c r="D84" s="6" t="str" cm="1">
        <f t="array" aca="1" ref="D84" ca="1">IF($C84="","",COUNTIF(_xlfn.TAKE(OFFSET($C$11, 0, 0, COUNTA($C$11:$C$110),1),$A84),$C84))</f>
        <v/>
      </c>
      <c r="E84" s="6" t="str">
        <f t="shared" si="5"/>
        <v/>
      </c>
      <c r="F84" s="62" t="b">
        <v>0</v>
      </c>
      <c r="G84" s="6" t="str">
        <f t="shared" si="6"/>
        <v/>
      </c>
      <c r="H84" s="64" t="b">
        <v>0</v>
      </c>
      <c r="I84" s="6" t="str">
        <f t="shared" si="7"/>
        <v/>
      </c>
      <c r="J84" s="64" t="b">
        <v>0</v>
      </c>
      <c r="K84" s="18"/>
    </row>
    <row r="85" spans="1:11" ht="15" x14ac:dyDescent="0.4">
      <c r="A85" s="4" t="str">
        <f t="shared" si="4"/>
        <v/>
      </c>
      <c r="B85" s="13"/>
      <c r="C85" s="14"/>
      <c r="D85" s="6" t="str" cm="1">
        <f t="array" aca="1" ref="D85" ca="1">IF($C85="","",COUNTIF(_xlfn.TAKE(OFFSET($C$11, 0, 0, COUNTA($C$11:$C$110),1),$A85),$C85))</f>
        <v/>
      </c>
      <c r="E85" s="6" t="str">
        <f t="shared" si="5"/>
        <v/>
      </c>
      <c r="F85" s="62" t="b">
        <v>0</v>
      </c>
      <c r="G85" s="6" t="str">
        <f t="shared" si="6"/>
        <v/>
      </c>
      <c r="H85" s="64" t="b">
        <v>0</v>
      </c>
      <c r="I85" s="6" t="str">
        <f t="shared" si="7"/>
        <v/>
      </c>
      <c r="J85" s="64" t="b">
        <v>0</v>
      </c>
      <c r="K85" s="18"/>
    </row>
    <row r="86" spans="1:11" ht="15" x14ac:dyDescent="0.4">
      <c r="A86" s="4" t="str">
        <f t="shared" si="4"/>
        <v/>
      </c>
      <c r="B86" s="13"/>
      <c r="C86" s="14"/>
      <c r="D86" s="6" t="str" cm="1">
        <f t="array" aca="1" ref="D86" ca="1">IF($C86="","",COUNTIF(_xlfn.TAKE(OFFSET($C$11, 0, 0, COUNTA($C$11:$C$110),1),$A86),$C86))</f>
        <v/>
      </c>
      <c r="E86" s="6" t="str">
        <f t="shared" si="5"/>
        <v/>
      </c>
      <c r="F86" s="62" t="b">
        <v>0</v>
      </c>
      <c r="G86" s="6" t="str">
        <f t="shared" si="6"/>
        <v/>
      </c>
      <c r="H86" s="64" t="b">
        <v>0</v>
      </c>
      <c r="I86" s="6" t="str">
        <f t="shared" si="7"/>
        <v/>
      </c>
      <c r="J86" s="64" t="b">
        <v>0</v>
      </c>
      <c r="K86" s="18"/>
    </row>
    <row r="87" spans="1:11" ht="15" x14ac:dyDescent="0.4">
      <c r="A87" s="4" t="str">
        <f t="shared" si="4"/>
        <v/>
      </c>
      <c r="B87" s="13"/>
      <c r="C87" s="14"/>
      <c r="D87" s="6" t="str" cm="1">
        <f t="array" aca="1" ref="D87" ca="1">IF($C87="","",COUNTIF(_xlfn.TAKE(OFFSET($C$11, 0, 0, COUNTA($C$11:$C$110),1),$A87),$C87))</f>
        <v/>
      </c>
      <c r="E87" s="6" t="str">
        <f t="shared" si="5"/>
        <v/>
      </c>
      <c r="F87" s="62" t="b">
        <v>0</v>
      </c>
      <c r="G87" s="6" t="str">
        <f t="shared" si="6"/>
        <v/>
      </c>
      <c r="H87" s="64" t="b">
        <v>0</v>
      </c>
      <c r="I87" s="6" t="str">
        <f t="shared" si="7"/>
        <v/>
      </c>
      <c r="J87" s="64" t="b">
        <v>0</v>
      </c>
      <c r="K87" s="18"/>
    </row>
    <row r="88" spans="1:11" ht="15" x14ac:dyDescent="0.4">
      <c r="A88" s="4" t="str">
        <f t="shared" si="4"/>
        <v/>
      </c>
      <c r="B88" s="13"/>
      <c r="C88" s="14"/>
      <c r="D88" s="6" t="str" cm="1">
        <f t="array" aca="1" ref="D88" ca="1">IF($C88="","",COUNTIF(_xlfn.TAKE(OFFSET($C$11, 0, 0, COUNTA($C$11:$C$110),1),$A88),$C88))</f>
        <v/>
      </c>
      <c r="E88" s="6" t="str">
        <f t="shared" si="5"/>
        <v/>
      </c>
      <c r="F88" s="62" t="b">
        <v>0</v>
      </c>
      <c r="G88" s="6" t="str">
        <f t="shared" si="6"/>
        <v/>
      </c>
      <c r="H88" s="64" t="b">
        <v>0</v>
      </c>
      <c r="I88" s="6" t="str">
        <f t="shared" si="7"/>
        <v/>
      </c>
      <c r="J88" s="64" t="b">
        <v>0</v>
      </c>
      <c r="K88" s="18"/>
    </row>
    <row r="89" spans="1:11" ht="15" x14ac:dyDescent="0.4">
      <c r="A89" s="4" t="str">
        <f t="shared" si="4"/>
        <v/>
      </c>
      <c r="B89" s="13"/>
      <c r="C89" s="14"/>
      <c r="D89" s="6" t="str" cm="1">
        <f t="array" aca="1" ref="D89" ca="1">IF($C89="","",COUNTIF(_xlfn.TAKE(OFFSET($C$11, 0, 0, COUNTA($C$11:$C$110),1),$A89),$C89))</f>
        <v/>
      </c>
      <c r="E89" s="6" t="str">
        <f t="shared" si="5"/>
        <v/>
      </c>
      <c r="F89" s="62" t="b">
        <v>0</v>
      </c>
      <c r="G89" s="6" t="str">
        <f t="shared" si="6"/>
        <v/>
      </c>
      <c r="H89" s="64" t="b">
        <v>0</v>
      </c>
      <c r="I89" s="6" t="str">
        <f t="shared" si="7"/>
        <v/>
      </c>
      <c r="J89" s="64" t="b">
        <v>0</v>
      </c>
      <c r="K89" s="18"/>
    </row>
    <row r="90" spans="1:11" ht="15" x14ac:dyDescent="0.4">
      <c r="A90" s="4" t="str">
        <f t="shared" si="4"/>
        <v/>
      </c>
      <c r="B90" s="13"/>
      <c r="C90" s="14"/>
      <c r="D90" s="6" t="str" cm="1">
        <f t="array" aca="1" ref="D90" ca="1">IF($C90="","",COUNTIF(_xlfn.TAKE(OFFSET($C$11, 0, 0, COUNTA($C$11:$C$110),1),$A90),$C90))</f>
        <v/>
      </c>
      <c r="E90" s="6" t="str">
        <f t="shared" si="5"/>
        <v/>
      </c>
      <c r="F90" s="62" t="b">
        <v>0</v>
      </c>
      <c r="G90" s="6" t="str">
        <f t="shared" si="6"/>
        <v/>
      </c>
      <c r="H90" s="64" t="b">
        <v>0</v>
      </c>
      <c r="I90" s="6" t="str">
        <f t="shared" si="7"/>
        <v/>
      </c>
      <c r="J90" s="64" t="b">
        <v>0</v>
      </c>
      <c r="K90" s="18"/>
    </row>
    <row r="91" spans="1:11" ht="15" x14ac:dyDescent="0.4">
      <c r="A91" s="4" t="str">
        <f t="shared" si="4"/>
        <v/>
      </c>
      <c r="B91" s="13"/>
      <c r="C91" s="14"/>
      <c r="D91" s="6" t="str" cm="1">
        <f t="array" aca="1" ref="D91" ca="1">IF($C91="","",COUNTIF(_xlfn.TAKE(OFFSET($C$11, 0, 0, COUNTA($C$11:$C$110),1),$A91),$C91))</f>
        <v/>
      </c>
      <c r="E91" s="6" t="str">
        <f t="shared" si="5"/>
        <v/>
      </c>
      <c r="F91" s="62" t="b">
        <v>0</v>
      </c>
      <c r="G91" s="6" t="str">
        <f t="shared" si="6"/>
        <v/>
      </c>
      <c r="H91" s="64" t="b">
        <v>0</v>
      </c>
      <c r="I91" s="6" t="str">
        <f t="shared" si="7"/>
        <v/>
      </c>
      <c r="J91" s="64" t="b">
        <v>0</v>
      </c>
      <c r="K91" s="18"/>
    </row>
    <row r="92" spans="1:11" ht="15" x14ac:dyDescent="0.4">
      <c r="A92" s="4" t="str">
        <f t="shared" si="4"/>
        <v/>
      </c>
      <c r="B92" s="13"/>
      <c r="C92" s="14"/>
      <c r="D92" s="6" t="str" cm="1">
        <f t="array" aca="1" ref="D92" ca="1">IF($C92="","",COUNTIF(_xlfn.TAKE(OFFSET($C$11, 0, 0, COUNTA($C$11:$C$110),1),$A92),$C92))</f>
        <v/>
      </c>
      <c r="E92" s="6" t="str">
        <f t="shared" si="5"/>
        <v/>
      </c>
      <c r="F92" s="62" t="b">
        <v>0</v>
      </c>
      <c r="G92" s="6" t="str">
        <f t="shared" si="6"/>
        <v/>
      </c>
      <c r="H92" s="64" t="b">
        <v>0</v>
      </c>
      <c r="I92" s="6" t="str">
        <f t="shared" si="7"/>
        <v/>
      </c>
      <c r="J92" s="64" t="b">
        <v>0</v>
      </c>
      <c r="K92" s="18"/>
    </row>
    <row r="93" spans="1:11" ht="15" x14ac:dyDescent="0.4">
      <c r="A93" s="4" t="str">
        <f t="shared" si="4"/>
        <v/>
      </c>
      <c r="B93" s="13"/>
      <c r="C93" s="14"/>
      <c r="D93" s="6" t="str" cm="1">
        <f t="array" aca="1" ref="D93" ca="1">IF($C93="","",COUNTIF(_xlfn.TAKE(OFFSET($C$11, 0, 0, COUNTA($C$11:$C$110),1),$A93),$C93))</f>
        <v/>
      </c>
      <c r="E93" s="6" t="str">
        <f t="shared" si="5"/>
        <v/>
      </c>
      <c r="F93" s="62" t="b">
        <v>0</v>
      </c>
      <c r="G93" s="6" t="str">
        <f t="shared" si="6"/>
        <v/>
      </c>
      <c r="H93" s="64" t="b">
        <v>0</v>
      </c>
      <c r="I93" s="6" t="str">
        <f t="shared" si="7"/>
        <v/>
      </c>
      <c r="J93" s="64" t="b">
        <v>0</v>
      </c>
      <c r="K93" s="18"/>
    </row>
    <row r="94" spans="1:11" ht="15" x14ac:dyDescent="0.4">
      <c r="A94" s="4" t="str">
        <f t="shared" si="4"/>
        <v/>
      </c>
      <c r="B94" s="13"/>
      <c r="C94" s="14"/>
      <c r="D94" s="6" t="str" cm="1">
        <f t="array" aca="1" ref="D94" ca="1">IF($C94="","",COUNTIF(_xlfn.TAKE(OFFSET($C$11, 0, 0, COUNTA($C$11:$C$110),1),$A94),$C94))</f>
        <v/>
      </c>
      <c r="E94" s="6" t="str">
        <f t="shared" si="5"/>
        <v/>
      </c>
      <c r="F94" s="62" t="b">
        <v>0</v>
      </c>
      <c r="G94" s="6" t="str">
        <f t="shared" si="6"/>
        <v/>
      </c>
      <c r="H94" s="64" t="b">
        <v>0</v>
      </c>
      <c r="I94" s="6" t="str">
        <f t="shared" si="7"/>
        <v/>
      </c>
      <c r="J94" s="64" t="b">
        <v>0</v>
      </c>
      <c r="K94" s="18"/>
    </row>
    <row r="95" spans="1:11" ht="15" x14ac:dyDescent="0.4">
      <c r="A95" s="4" t="str">
        <f t="shared" si="4"/>
        <v/>
      </c>
      <c r="B95" s="13"/>
      <c r="C95" s="14"/>
      <c r="D95" s="6" t="str" cm="1">
        <f t="array" aca="1" ref="D95" ca="1">IF($C95="","",COUNTIF(_xlfn.TAKE(OFFSET($C$11, 0, 0, COUNTA($C$11:$C$110),1),$A95),$C95))</f>
        <v/>
      </c>
      <c r="E95" s="6" t="str">
        <f t="shared" si="5"/>
        <v/>
      </c>
      <c r="F95" s="62" t="b">
        <v>0</v>
      </c>
      <c r="G95" s="6" t="str">
        <f t="shared" si="6"/>
        <v/>
      </c>
      <c r="H95" s="64" t="b">
        <v>0</v>
      </c>
      <c r="I95" s="6" t="str">
        <f t="shared" si="7"/>
        <v/>
      </c>
      <c r="J95" s="64" t="b">
        <v>0</v>
      </c>
      <c r="K95" s="18"/>
    </row>
    <row r="96" spans="1:11" ht="15" x14ac:dyDescent="0.4">
      <c r="A96" s="4" t="str">
        <f t="shared" si="4"/>
        <v/>
      </c>
      <c r="B96" s="13"/>
      <c r="C96" s="14"/>
      <c r="D96" s="6" t="str" cm="1">
        <f t="array" aca="1" ref="D96" ca="1">IF($C96="","",COUNTIF(_xlfn.TAKE(OFFSET($C$11, 0, 0, COUNTA($C$11:$C$110),1),$A96),$C96))</f>
        <v/>
      </c>
      <c r="E96" s="6" t="str">
        <f t="shared" si="5"/>
        <v/>
      </c>
      <c r="F96" s="62" t="b">
        <v>0</v>
      </c>
      <c r="G96" s="6" t="str">
        <f t="shared" si="6"/>
        <v/>
      </c>
      <c r="H96" s="64" t="b">
        <v>0</v>
      </c>
      <c r="I96" s="6" t="str">
        <f t="shared" si="7"/>
        <v/>
      </c>
      <c r="J96" s="64" t="b">
        <v>0</v>
      </c>
      <c r="K96" s="18"/>
    </row>
    <row r="97" spans="1:11" ht="15" x14ac:dyDescent="0.4">
      <c r="A97" s="4" t="str">
        <f t="shared" si="4"/>
        <v/>
      </c>
      <c r="B97" s="13"/>
      <c r="C97" s="14"/>
      <c r="D97" s="6" t="str" cm="1">
        <f t="array" aca="1" ref="D97" ca="1">IF($C97="","",COUNTIF(_xlfn.TAKE(OFFSET($C$11, 0, 0, COUNTA($C$11:$C$110),1),$A97),$C97))</f>
        <v/>
      </c>
      <c r="E97" s="6" t="str">
        <f t="shared" si="5"/>
        <v/>
      </c>
      <c r="F97" s="62" t="b">
        <v>0</v>
      </c>
      <c r="G97" s="6" t="str">
        <f t="shared" si="6"/>
        <v/>
      </c>
      <c r="H97" s="64" t="b">
        <v>0</v>
      </c>
      <c r="I97" s="6" t="str">
        <f t="shared" si="7"/>
        <v/>
      </c>
      <c r="J97" s="64" t="b">
        <v>0</v>
      </c>
      <c r="K97" s="18"/>
    </row>
    <row r="98" spans="1:11" ht="15" x14ac:dyDescent="0.4">
      <c r="A98" s="4" t="str">
        <f t="shared" si="4"/>
        <v/>
      </c>
      <c r="B98" s="13"/>
      <c r="C98" s="14"/>
      <c r="D98" s="6" t="str" cm="1">
        <f t="array" aca="1" ref="D98" ca="1">IF($C98="","",COUNTIF(_xlfn.TAKE(OFFSET($C$11, 0, 0, COUNTA($C$11:$C$110),1),$A98),$C98))</f>
        <v/>
      </c>
      <c r="E98" s="6" t="str">
        <f t="shared" si="5"/>
        <v/>
      </c>
      <c r="F98" s="62" t="b">
        <v>0</v>
      </c>
      <c r="G98" s="6" t="str">
        <f t="shared" si="6"/>
        <v/>
      </c>
      <c r="H98" s="64" t="b">
        <v>0</v>
      </c>
      <c r="I98" s="6" t="str">
        <f t="shared" si="7"/>
        <v/>
      </c>
      <c r="J98" s="64" t="b">
        <v>0</v>
      </c>
      <c r="K98" s="18"/>
    </row>
    <row r="99" spans="1:11" ht="15" x14ac:dyDescent="0.4">
      <c r="A99" s="4" t="str">
        <f t="shared" si="4"/>
        <v/>
      </c>
      <c r="B99" s="13"/>
      <c r="C99" s="14"/>
      <c r="D99" s="6" t="str" cm="1">
        <f t="array" aca="1" ref="D99" ca="1">IF($C99="","",COUNTIF(_xlfn.TAKE(OFFSET($C$11, 0, 0, COUNTA($C$11:$C$110),1),$A99),$C99))</f>
        <v/>
      </c>
      <c r="E99" s="6" t="str">
        <f t="shared" si="5"/>
        <v/>
      </c>
      <c r="F99" s="62" t="b">
        <v>0</v>
      </c>
      <c r="G99" s="6" t="str">
        <f t="shared" si="6"/>
        <v/>
      </c>
      <c r="H99" s="64" t="b">
        <v>0</v>
      </c>
      <c r="I99" s="6" t="str">
        <f t="shared" si="7"/>
        <v/>
      </c>
      <c r="J99" s="64" t="b">
        <v>0</v>
      </c>
      <c r="K99" s="18"/>
    </row>
    <row r="100" spans="1:11" ht="15" x14ac:dyDescent="0.4">
      <c r="A100" s="4" t="str">
        <f t="shared" si="4"/>
        <v/>
      </c>
      <c r="B100" s="13"/>
      <c r="C100" s="14"/>
      <c r="D100" s="6" t="str" cm="1">
        <f t="array" aca="1" ref="D100" ca="1">IF($C100="","",COUNTIF(_xlfn.TAKE(OFFSET($C$11, 0, 0, COUNTA($C$11:$C$110),1),$A100),$C100))</f>
        <v/>
      </c>
      <c r="E100" s="6" t="str">
        <f t="shared" si="5"/>
        <v/>
      </c>
      <c r="F100" s="62" t="b">
        <v>0</v>
      </c>
      <c r="G100" s="6" t="str">
        <f t="shared" si="6"/>
        <v/>
      </c>
      <c r="H100" s="64" t="b">
        <v>0</v>
      </c>
      <c r="I100" s="6" t="str">
        <f t="shared" si="7"/>
        <v/>
      </c>
      <c r="J100" s="64" t="b">
        <v>0</v>
      </c>
      <c r="K100" s="18"/>
    </row>
    <row r="101" spans="1:11" ht="15" x14ac:dyDescent="0.4">
      <c r="A101" s="4" t="str">
        <f t="shared" si="4"/>
        <v/>
      </c>
      <c r="B101" s="13"/>
      <c r="C101" s="14"/>
      <c r="D101" s="6" t="str" cm="1">
        <f t="array" aca="1" ref="D101" ca="1">IF($C101="","",COUNTIF(_xlfn.TAKE(OFFSET($C$11, 0, 0, COUNTA($C$11:$C$110),1),$A101),$C101))</f>
        <v/>
      </c>
      <c r="E101" s="6" t="str">
        <f t="shared" si="5"/>
        <v/>
      </c>
      <c r="F101" s="62" t="b">
        <v>0</v>
      </c>
      <c r="G101" s="6" t="str">
        <f t="shared" si="6"/>
        <v/>
      </c>
      <c r="H101" s="64" t="b">
        <v>0</v>
      </c>
      <c r="I101" s="6" t="str">
        <f t="shared" si="7"/>
        <v/>
      </c>
      <c r="J101" s="64" t="b">
        <v>0</v>
      </c>
      <c r="K101" s="18"/>
    </row>
    <row r="102" spans="1:11" ht="15" x14ac:dyDescent="0.4">
      <c r="A102" s="4" t="str">
        <f t="shared" si="4"/>
        <v/>
      </c>
      <c r="B102" s="13"/>
      <c r="C102" s="14"/>
      <c r="D102" s="6" t="str" cm="1">
        <f t="array" aca="1" ref="D102" ca="1">IF($C102="","",COUNTIF(_xlfn.TAKE(OFFSET($C$11, 0, 0, COUNTA($C$11:$C$110),1),$A102),$C102))</f>
        <v/>
      </c>
      <c r="E102" s="6" t="str">
        <f t="shared" si="5"/>
        <v/>
      </c>
      <c r="F102" s="62" t="b">
        <v>0</v>
      </c>
      <c r="G102" s="6" t="str">
        <f t="shared" si="6"/>
        <v/>
      </c>
      <c r="H102" s="64" t="b">
        <v>0</v>
      </c>
      <c r="I102" s="6" t="str">
        <f t="shared" si="7"/>
        <v/>
      </c>
      <c r="J102" s="64" t="b">
        <v>0</v>
      </c>
      <c r="K102" s="18"/>
    </row>
    <row r="103" spans="1:11" ht="15" x14ac:dyDescent="0.4">
      <c r="A103" s="4" t="str">
        <f t="shared" si="4"/>
        <v/>
      </c>
      <c r="B103" s="13"/>
      <c r="C103" s="14"/>
      <c r="D103" s="6" t="str" cm="1">
        <f t="array" aca="1" ref="D103" ca="1">IF($C103="","",COUNTIF(_xlfn.TAKE(OFFSET($C$11, 0, 0, COUNTA($C$11:$C$110),1),$A103),$C103))</f>
        <v/>
      </c>
      <c r="E103" s="6" t="str">
        <f t="shared" si="5"/>
        <v/>
      </c>
      <c r="F103" s="62" t="b">
        <v>0</v>
      </c>
      <c r="G103" s="6" t="str">
        <f t="shared" si="6"/>
        <v/>
      </c>
      <c r="H103" s="64" t="b">
        <v>0</v>
      </c>
      <c r="I103" s="6" t="str">
        <f t="shared" si="7"/>
        <v/>
      </c>
      <c r="J103" s="64" t="b">
        <v>0</v>
      </c>
      <c r="K103" s="18"/>
    </row>
    <row r="104" spans="1:11" ht="15" x14ac:dyDescent="0.4">
      <c r="A104" s="4" t="str">
        <f t="shared" si="4"/>
        <v/>
      </c>
      <c r="B104" s="13"/>
      <c r="C104" s="14"/>
      <c r="D104" s="6" t="str" cm="1">
        <f t="array" aca="1" ref="D104" ca="1">IF($C104="","",COUNTIF(_xlfn.TAKE(OFFSET($C$11, 0, 0, COUNTA($C$11:$C$110),1),$A104),$C104))</f>
        <v/>
      </c>
      <c r="E104" s="6" t="str">
        <f t="shared" si="5"/>
        <v/>
      </c>
      <c r="F104" s="62" t="b">
        <v>0</v>
      </c>
      <c r="G104" s="6" t="str">
        <f t="shared" si="6"/>
        <v/>
      </c>
      <c r="H104" s="64" t="b">
        <v>0</v>
      </c>
      <c r="I104" s="6" t="str">
        <f t="shared" si="7"/>
        <v/>
      </c>
      <c r="J104" s="64" t="b">
        <v>0</v>
      </c>
      <c r="K104" s="18"/>
    </row>
    <row r="105" spans="1:11" ht="15" x14ac:dyDescent="0.4">
      <c r="A105" s="4" t="str">
        <f t="shared" si="4"/>
        <v/>
      </c>
      <c r="B105" s="13"/>
      <c r="C105" s="14"/>
      <c r="D105" s="6" t="str" cm="1">
        <f t="array" aca="1" ref="D105" ca="1">IF($C105="","",COUNTIF(_xlfn.TAKE(OFFSET($C$11, 0, 0, COUNTA($C$11:$C$110),1),$A105),$C105))</f>
        <v/>
      </c>
      <c r="E105" s="6" t="str">
        <f t="shared" si="5"/>
        <v/>
      </c>
      <c r="F105" s="62" t="b">
        <v>0</v>
      </c>
      <c r="G105" s="6" t="str">
        <f t="shared" si="6"/>
        <v/>
      </c>
      <c r="H105" s="64" t="b">
        <v>0</v>
      </c>
      <c r="I105" s="6" t="str">
        <f t="shared" si="7"/>
        <v/>
      </c>
      <c r="J105" s="64" t="b">
        <v>0</v>
      </c>
      <c r="K105" s="18"/>
    </row>
    <row r="106" spans="1:11" ht="15" x14ac:dyDescent="0.4">
      <c r="A106" s="4" t="str">
        <f t="shared" si="4"/>
        <v/>
      </c>
      <c r="B106" s="13"/>
      <c r="C106" s="14"/>
      <c r="D106" s="6" t="str" cm="1">
        <f t="array" aca="1" ref="D106" ca="1">IF($C106="","",COUNTIF(_xlfn.TAKE(OFFSET($C$11, 0, 0, COUNTA($C$11:$C$110),1),$A106),$C106))</f>
        <v/>
      </c>
      <c r="E106" s="6" t="str">
        <f t="shared" si="5"/>
        <v/>
      </c>
      <c r="F106" s="62" t="b">
        <v>0</v>
      </c>
      <c r="G106" s="6" t="str">
        <f t="shared" si="6"/>
        <v/>
      </c>
      <c r="H106" s="64" t="b">
        <v>0</v>
      </c>
      <c r="I106" s="6" t="str">
        <f t="shared" si="7"/>
        <v/>
      </c>
      <c r="J106" s="64" t="b">
        <v>0</v>
      </c>
      <c r="K106" s="18"/>
    </row>
    <row r="107" spans="1:11" ht="15" x14ac:dyDescent="0.4">
      <c r="A107" s="4" t="str">
        <f t="shared" si="4"/>
        <v/>
      </c>
      <c r="B107" s="13"/>
      <c r="C107" s="14"/>
      <c r="D107" s="6" t="str" cm="1">
        <f t="array" aca="1" ref="D107" ca="1">IF($C107="","",COUNTIF(_xlfn.TAKE(OFFSET($C$11, 0, 0, COUNTA($C$11:$C$110),1),$A107),$C107))</f>
        <v/>
      </c>
      <c r="E107" s="6" t="str">
        <f t="shared" si="5"/>
        <v/>
      </c>
      <c r="F107" s="62" t="b">
        <v>0</v>
      </c>
      <c r="G107" s="6" t="str">
        <f t="shared" si="6"/>
        <v/>
      </c>
      <c r="H107" s="64" t="b">
        <v>0</v>
      </c>
      <c r="I107" s="6" t="str">
        <f t="shared" si="7"/>
        <v/>
      </c>
      <c r="J107" s="64" t="b">
        <v>0</v>
      </c>
      <c r="K107" s="18"/>
    </row>
    <row r="108" spans="1:11" ht="15" x14ac:dyDescent="0.4">
      <c r="A108" s="4" t="str">
        <f t="shared" si="4"/>
        <v/>
      </c>
      <c r="B108" s="13"/>
      <c r="C108" s="14"/>
      <c r="D108" s="6" t="str" cm="1">
        <f t="array" aca="1" ref="D108" ca="1">IF($C108="","",COUNTIF(_xlfn.TAKE(OFFSET($C$11, 0, 0, COUNTA($C$11:$C$110),1),$A108),$C108))</f>
        <v/>
      </c>
      <c r="E108" s="6" t="str">
        <f t="shared" si="5"/>
        <v/>
      </c>
      <c r="F108" s="62" t="b">
        <v>0</v>
      </c>
      <c r="G108" s="6" t="str">
        <f t="shared" si="6"/>
        <v/>
      </c>
      <c r="H108" s="64" t="b">
        <v>0</v>
      </c>
      <c r="I108" s="6" t="str">
        <f t="shared" si="7"/>
        <v/>
      </c>
      <c r="J108" s="64" t="b">
        <v>0</v>
      </c>
      <c r="K108" s="18"/>
    </row>
    <row r="109" spans="1:11" ht="15" x14ac:dyDescent="0.4">
      <c r="A109" s="4" t="str">
        <f t="shared" si="4"/>
        <v/>
      </c>
      <c r="B109" s="13"/>
      <c r="C109" s="14"/>
      <c r="D109" s="6" t="str" cm="1">
        <f t="array" aca="1" ref="D109" ca="1">IF($C109="","",COUNTIF(_xlfn.TAKE(OFFSET($C$11, 0, 0, COUNTA($C$11:$C$110),1),$A109),$C109))</f>
        <v/>
      </c>
      <c r="E109" s="6" t="str">
        <f t="shared" si="5"/>
        <v/>
      </c>
      <c r="F109" s="62" t="b">
        <v>0</v>
      </c>
      <c r="G109" s="6" t="str">
        <f t="shared" si="6"/>
        <v/>
      </c>
      <c r="H109" s="64" t="b">
        <v>0</v>
      </c>
      <c r="I109" s="6" t="str">
        <f t="shared" si="7"/>
        <v/>
      </c>
      <c r="J109" s="64" t="b">
        <v>0</v>
      </c>
      <c r="K109" s="18"/>
    </row>
    <row r="110" spans="1:11" ht="15.5" thickBot="1" x14ac:dyDescent="0.45">
      <c r="A110" s="28" t="str">
        <f t="shared" si="4"/>
        <v/>
      </c>
      <c r="B110" s="15"/>
      <c r="C110" s="16"/>
      <c r="D110" s="10" t="str" cm="1">
        <f t="array" aca="1" ref="D110" ca="1">IF($C110="","",COUNTIF(_xlfn.TAKE(OFFSET($C$11, 0, 0, COUNTA($C$11:$C$110),1),$A110),$C110))</f>
        <v/>
      </c>
      <c r="E110" s="10" t="str">
        <f t="shared" si="5"/>
        <v/>
      </c>
      <c r="F110" s="63" t="b">
        <v>0</v>
      </c>
      <c r="G110" s="10" t="str">
        <f t="shared" si="6"/>
        <v/>
      </c>
      <c r="H110" s="65" t="b">
        <v>0</v>
      </c>
      <c r="I110" s="10" t="str">
        <f t="shared" si="7"/>
        <v/>
      </c>
      <c r="J110" s="65" t="b">
        <v>0</v>
      </c>
      <c r="K110" s="19"/>
    </row>
  </sheetData>
  <mergeCells count="10">
    <mergeCell ref="A1:C1"/>
    <mergeCell ref="A2:C2"/>
    <mergeCell ref="I8:J8"/>
    <mergeCell ref="B4:C4"/>
    <mergeCell ref="A8:A9"/>
    <mergeCell ref="B8:B9"/>
    <mergeCell ref="C8:C9"/>
    <mergeCell ref="D8:D9"/>
    <mergeCell ref="E8:F8"/>
    <mergeCell ref="G8:H8"/>
  </mergeCells>
  <dataValidations count="1">
    <dataValidation type="list" showErrorMessage="1" sqref="C11:C110" xr:uid="{3A0713F8-2529-46FC-AFE4-69BC0208EAAB}">
      <formula1>ResortNames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0375A-6257-4D7D-AA5B-3A69B3427C68}">
  <sheetPr codeName="Sheet2"/>
  <dimension ref="A1:K110"/>
  <sheetViews>
    <sheetView workbookViewId="0">
      <pane ySplit="9" topLeftCell="A27" activePane="bottomLeft" state="frozen"/>
      <selection pane="bottomLeft" activeCell="K102" sqref="K102"/>
    </sheetView>
  </sheetViews>
  <sheetFormatPr defaultRowHeight="14.5" x14ac:dyDescent="0.35"/>
  <cols>
    <col min="1" max="1" width="9.54296875" bestFit="1" customWidth="1"/>
    <col min="2" max="2" width="25.54296875" style="1" customWidth="1"/>
    <col min="3" max="3" width="25.54296875" customWidth="1"/>
    <col min="4" max="4" width="12" customWidth="1"/>
    <col min="11" max="11" width="50.54296875" customWidth="1"/>
  </cols>
  <sheetData>
    <row r="1" spans="1:11" ht="18.5" x14ac:dyDescent="0.45">
      <c r="A1" s="155" t="str">
        <f>WorkbookTitle</f>
        <v>Bob's Ski Days</v>
      </c>
      <c r="B1" s="155"/>
      <c r="C1" s="155"/>
    </row>
    <row r="2" spans="1:11" ht="18.5" x14ac:dyDescent="0.45">
      <c r="A2" s="155" t="str" cm="1">
        <f t="array" aca="1" ref="A2" ca="1">GetWorksheetName()</f>
        <v>2023-2024</v>
      </c>
      <c r="B2" s="155"/>
      <c r="C2" s="155"/>
    </row>
    <row r="3" spans="1:11" ht="16" thickBot="1" x14ac:dyDescent="0.4">
      <c r="A3" s="2"/>
    </row>
    <row r="4" spans="1:11" ht="15.5" x14ac:dyDescent="0.35">
      <c r="B4" s="161" t="s">
        <v>22</v>
      </c>
      <c r="C4" s="162"/>
      <c r="D4" s="20"/>
    </row>
    <row r="5" spans="1:11" s="8" customFormat="1" ht="16" thickBot="1" x14ac:dyDescent="0.4">
      <c r="B5" s="21" t="s">
        <v>23</v>
      </c>
      <c r="C5" s="22" t="s">
        <v>24</v>
      </c>
      <c r="D5" s="20"/>
    </row>
    <row r="6" spans="1:11" s="8" customFormat="1" ht="16" thickBot="1" x14ac:dyDescent="0.4">
      <c r="A6" s="20"/>
      <c r="B6" s="23">
        <f ca="1">COUNT(OFFSET($B$11, 0, 0, COUNTA($B$11:$B$110),1))</f>
        <v>47</v>
      </c>
      <c r="C6" s="24" cm="1">
        <f t="array" aca="1" ref="C6" ca="1">IFERROR(SUMPRODUCT(1/COUNTIF(OFFSET($C$11, 0, 0, COUNTA($C$11:$C$110),1),OFFSET($C$11, 0, 0, COUNTA($C$11:$C$110),1))),"")</f>
        <v>9.9999999999999964</v>
      </c>
    </row>
    <row r="7" spans="1:11" ht="15" thickBot="1" x14ac:dyDescent="0.4"/>
    <row r="8" spans="1:11" x14ac:dyDescent="0.35">
      <c r="A8" s="163" t="s">
        <v>0</v>
      </c>
      <c r="B8" s="165" t="s">
        <v>1</v>
      </c>
      <c r="C8" s="167" t="s">
        <v>2</v>
      </c>
      <c r="D8" s="169" t="s">
        <v>36</v>
      </c>
      <c r="E8" s="160" t="s">
        <v>34</v>
      </c>
      <c r="F8" s="160"/>
      <c r="G8" s="160" t="s">
        <v>35</v>
      </c>
      <c r="H8" s="160"/>
      <c r="I8" s="160" t="s">
        <v>27</v>
      </c>
      <c r="J8" s="160"/>
      <c r="K8" s="27"/>
    </row>
    <row r="9" spans="1:11" ht="15" thickBot="1" x14ac:dyDescent="0.4">
      <c r="A9" s="164"/>
      <c r="B9" s="166"/>
      <c r="C9" s="168"/>
      <c r="D9" s="170"/>
      <c r="E9" s="25" t="s">
        <v>21</v>
      </c>
      <c r="F9" s="25" t="s">
        <v>20</v>
      </c>
      <c r="G9" s="25" t="s">
        <v>21</v>
      </c>
      <c r="H9" s="25" t="s">
        <v>20</v>
      </c>
      <c r="I9" s="25" t="s">
        <v>21</v>
      </c>
      <c r="J9" s="25" t="s">
        <v>20</v>
      </c>
      <c r="K9" s="26" t="s">
        <v>15</v>
      </c>
    </row>
    <row r="10" spans="1:11" ht="15" x14ac:dyDescent="0.4">
      <c r="A10" s="4"/>
      <c r="B10" s="5"/>
      <c r="C10" s="6"/>
      <c r="D10" s="6"/>
      <c r="E10" s="12">
        <v>3</v>
      </c>
      <c r="F10" s="62" t="b">
        <v>0</v>
      </c>
      <c r="G10" s="12">
        <v>20</v>
      </c>
      <c r="H10" s="64" t="b">
        <v>0</v>
      </c>
      <c r="I10" s="12">
        <v>24</v>
      </c>
      <c r="J10" s="64" t="b">
        <v>0</v>
      </c>
      <c r="K10" s="7"/>
    </row>
    <row r="11" spans="1:11" ht="15" x14ac:dyDescent="0.4">
      <c r="A11" s="4">
        <f>IF($B11="","",A10+1)</f>
        <v>1</v>
      </c>
      <c r="B11" s="11">
        <v>45252</v>
      </c>
      <c r="C11" s="12" t="s">
        <v>19</v>
      </c>
      <c r="D11" s="6" cm="1">
        <f t="array" aca="1" ref="D11" ca="1">IF($C11="","",COUNTIF(_xlfn.TAKE(OFFSET($C$11, 0, 0, COUNTA($C$11:$C$110),1),$A11),$C11))</f>
        <v>1</v>
      </c>
      <c r="E11" s="6">
        <f>IF($B11="","",IF($F10, 1, $E10+1))</f>
        <v>4</v>
      </c>
      <c r="F11" s="62" t="b">
        <v>0</v>
      </c>
      <c r="G11" s="6">
        <f>IF($B11="","",IF($H10, 1, $G10+1))</f>
        <v>21</v>
      </c>
      <c r="H11" s="64" t="b">
        <v>0</v>
      </c>
      <c r="I11" s="6">
        <f>IF($B11="","",IF($J10, 1,$I10+1))</f>
        <v>25</v>
      </c>
      <c r="J11" s="64" t="b">
        <v>0</v>
      </c>
      <c r="K11" s="17"/>
    </row>
    <row r="12" spans="1:11" ht="15" x14ac:dyDescent="0.4">
      <c r="A12" s="4">
        <f t="shared" ref="A12:A75" si="0">IF($B12="","",A11+1)</f>
        <v>2</v>
      </c>
      <c r="B12" s="13">
        <v>45253</v>
      </c>
      <c r="C12" s="14" t="s">
        <v>19</v>
      </c>
      <c r="D12" s="6" cm="1">
        <f t="array" aca="1" ref="D12" ca="1">IF($C12="","",COUNTIF(_xlfn.TAKE(OFFSET($C$11, 0, 0, COUNTA($C$11:$C$110),1),$A12),$C12))</f>
        <v>2</v>
      </c>
      <c r="E12" s="6">
        <f t="shared" ref="E12:E75" si="1">IF($B12="","",IF($F11, 1, $E11+1))</f>
        <v>5</v>
      </c>
      <c r="F12" s="62" t="b">
        <v>0</v>
      </c>
      <c r="G12" s="6">
        <f t="shared" ref="G12:G75" si="2">IF($B12="","",IF($H11, 1, $G11+1))</f>
        <v>22</v>
      </c>
      <c r="H12" s="64" t="b">
        <v>0</v>
      </c>
      <c r="I12" s="6">
        <f t="shared" ref="I12:I75" si="3">IF($B12="","",IF($J11, 1,$I11+1))</f>
        <v>26</v>
      </c>
      <c r="J12" s="64" t="b">
        <v>0</v>
      </c>
      <c r="K12" s="18"/>
    </row>
    <row r="13" spans="1:11" ht="15" x14ac:dyDescent="0.4">
      <c r="A13" s="4">
        <f t="shared" si="0"/>
        <v>3</v>
      </c>
      <c r="B13" s="13">
        <v>45254</v>
      </c>
      <c r="C13" s="14" t="s">
        <v>19</v>
      </c>
      <c r="D13" s="6" cm="1">
        <f t="array" aca="1" ref="D13" ca="1">IF($C13="","",COUNTIF(_xlfn.TAKE(OFFSET($C$11, 0, 0, COUNTA($C$11:$C$110),1),$A13),$C13))</f>
        <v>3</v>
      </c>
      <c r="E13" s="6">
        <f t="shared" si="1"/>
        <v>6</v>
      </c>
      <c r="F13" s="62" t="b">
        <f>TRUE</f>
        <v>1</v>
      </c>
      <c r="G13" s="6">
        <f t="shared" si="2"/>
        <v>23</v>
      </c>
      <c r="H13" s="64" t="b">
        <f>TRUE</f>
        <v>1</v>
      </c>
      <c r="I13" s="6">
        <f t="shared" si="3"/>
        <v>27</v>
      </c>
      <c r="J13" s="64" t="b">
        <v>0</v>
      </c>
      <c r="K13" s="18"/>
    </row>
    <row r="14" spans="1:11" ht="15" x14ac:dyDescent="0.4">
      <c r="A14" s="4">
        <f t="shared" si="0"/>
        <v>4</v>
      </c>
      <c r="B14" s="13">
        <v>45261</v>
      </c>
      <c r="C14" s="14" t="s">
        <v>5</v>
      </c>
      <c r="D14" s="6" cm="1">
        <f t="array" aca="1" ref="D14" ca="1">IF($C14="","",COUNTIF(_xlfn.TAKE(OFFSET($C$11, 0, 0, COUNTA($C$11:$C$110),1),$A14),$C14))</f>
        <v>1</v>
      </c>
      <c r="E14" s="6">
        <f t="shared" si="1"/>
        <v>1</v>
      </c>
      <c r="F14" s="62" t="b">
        <v>0</v>
      </c>
      <c r="G14" s="6">
        <f t="shared" si="2"/>
        <v>1</v>
      </c>
      <c r="H14" s="64" t="b">
        <v>0</v>
      </c>
      <c r="I14" s="6">
        <f t="shared" si="3"/>
        <v>28</v>
      </c>
      <c r="J14" s="64" t="b">
        <v>0</v>
      </c>
      <c r="K14" s="18"/>
    </row>
    <row r="15" spans="1:11" ht="15" x14ac:dyDescent="0.4">
      <c r="A15" s="4">
        <f t="shared" si="0"/>
        <v>5</v>
      </c>
      <c r="B15" s="13">
        <v>45262</v>
      </c>
      <c r="C15" s="14" t="s">
        <v>5</v>
      </c>
      <c r="D15" s="6" cm="1">
        <f t="array" aca="1" ref="D15" ca="1">IF($C15="","",COUNTIF(_xlfn.TAKE(OFFSET($C$11, 0, 0, COUNTA($C$11:$C$110),1),$A15),$C15))</f>
        <v>2</v>
      </c>
      <c r="E15" s="6">
        <f t="shared" si="1"/>
        <v>2</v>
      </c>
      <c r="F15" s="62" t="b">
        <v>0</v>
      </c>
      <c r="G15" s="6">
        <f t="shared" si="2"/>
        <v>2</v>
      </c>
      <c r="H15" s="64" t="b">
        <v>0</v>
      </c>
      <c r="I15" s="6">
        <f t="shared" si="3"/>
        <v>29</v>
      </c>
      <c r="J15" s="64" t="b">
        <v>0</v>
      </c>
      <c r="K15" s="18"/>
    </row>
    <row r="16" spans="1:11" ht="15" x14ac:dyDescent="0.4">
      <c r="A16" s="4">
        <f t="shared" si="0"/>
        <v>6</v>
      </c>
      <c r="B16" s="13">
        <v>45263</v>
      </c>
      <c r="C16" s="14" t="s">
        <v>5</v>
      </c>
      <c r="D16" s="6" cm="1">
        <f t="array" aca="1" ref="D16" ca="1">IF($C16="","",COUNTIF(_xlfn.TAKE(OFFSET($C$11, 0, 0, COUNTA($C$11:$C$110),1),$A16),$C16))</f>
        <v>3</v>
      </c>
      <c r="E16" s="6">
        <f t="shared" si="1"/>
        <v>3</v>
      </c>
      <c r="F16" s="62" t="b">
        <v>0</v>
      </c>
      <c r="G16" s="6">
        <f t="shared" si="2"/>
        <v>3</v>
      </c>
      <c r="H16" s="64" t="b">
        <v>0</v>
      </c>
      <c r="I16" s="6">
        <f t="shared" si="3"/>
        <v>30</v>
      </c>
      <c r="J16" s="64" t="b">
        <v>0</v>
      </c>
      <c r="K16" s="18"/>
    </row>
    <row r="17" spans="1:11" ht="15" x14ac:dyDescent="0.4">
      <c r="A17" s="4">
        <f t="shared" si="0"/>
        <v>7</v>
      </c>
      <c r="B17" s="13">
        <v>45264</v>
      </c>
      <c r="C17" s="14" t="s">
        <v>5</v>
      </c>
      <c r="D17" s="6" cm="1">
        <f t="array" aca="1" ref="D17" ca="1">IF($C17="","",COUNTIF(_xlfn.TAKE(OFFSET($C$11, 0, 0, COUNTA($C$11:$C$110),1),$A17),$C17))</f>
        <v>4</v>
      </c>
      <c r="E17" s="6">
        <f t="shared" si="1"/>
        <v>4</v>
      </c>
      <c r="F17" s="62" t="b">
        <v>0</v>
      </c>
      <c r="G17" s="6">
        <f t="shared" si="2"/>
        <v>4</v>
      </c>
      <c r="H17" s="64" t="b">
        <v>0</v>
      </c>
      <c r="I17" s="6">
        <f t="shared" si="3"/>
        <v>31</v>
      </c>
      <c r="J17" s="64" t="b">
        <v>0</v>
      </c>
      <c r="K17" s="18"/>
    </row>
    <row r="18" spans="1:11" ht="15" x14ac:dyDescent="0.4">
      <c r="A18" s="4">
        <f t="shared" si="0"/>
        <v>8</v>
      </c>
      <c r="B18" s="13">
        <v>45265</v>
      </c>
      <c r="C18" s="14" t="s">
        <v>5</v>
      </c>
      <c r="D18" s="6" cm="1">
        <f t="array" aca="1" ref="D18" ca="1">IF($C18="","",COUNTIF(_xlfn.TAKE(OFFSET($C$11, 0, 0, COUNTA($C$11:$C$110),1),$A18),$C18))</f>
        <v>5</v>
      </c>
      <c r="E18" s="6">
        <f t="shared" si="1"/>
        <v>5</v>
      </c>
      <c r="F18" s="62" t="b">
        <f>TRUE</f>
        <v>1</v>
      </c>
      <c r="G18" s="6">
        <f t="shared" si="2"/>
        <v>5</v>
      </c>
      <c r="H18" s="64" t="b">
        <f>TRUE</f>
        <v>1</v>
      </c>
      <c r="I18" s="6">
        <f t="shared" si="3"/>
        <v>32</v>
      </c>
      <c r="J18" s="64" t="b">
        <v>0</v>
      </c>
      <c r="K18" s="18"/>
    </row>
    <row r="19" spans="1:11" ht="15" x14ac:dyDescent="0.4">
      <c r="A19" s="4">
        <f t="shared" si="0"/>
        <v>9</v>
      </c>
      <c r="B19" s="13">
        <v>45278</v>
      </c>
      <c r="C19" s="14" t="s">
        <v>28</v>
      </c>
      <c r="D19" s="6" cm="1">
        <f t="array" aca="1" ref="D19" ca="1">IF($C19="","",COUNTIF(_xlfn.TAKE(OFFSET($C$11, 0, 0, COUNTA($C$11:$C$110),1),$A19),$C19))</f>
        <v>1</v>
      </c>
      <c r="E19" s="6">
        <f t="shared" si="1"/>
        <v>1</v>
      </c>
      <c r="F19" s="62" t="b">
        <v>0</v>
      </c>
      <c r="G19" s="6">
        <f t="shared" si="2"/>
        <v>1</v>
      </c>
      <c r="H19" s="64" t="b">
        <v>0</v>
      </c>
      <c r="I19" s="6">
        <f t="shared" si="3"/>
        <v>33</v>
      </c>
      <c r="J19" s="64" t="b">
        <v>0</v>
      </c>
      <c r="K19" s="18"/>
    </row>
    <row r="20" spans="1:11" ht="15" x14ac:dyDescent="0.4">
      <c r="A20" s="4">
        <f t="shared" si="0"/>
        <v>10</v>
      </c>
      <c r="B20" s="13">
        <v>45279</v>
      </c>
      <c r="C20" s="14" t="s">
        <v>31</v>
      </c>
      <c r="D20" s="6" cm="1">
        <f t="array" aca="1" ref="D20" ca="1">IF($C20="","",COUNTIF(_xlfn.TAKE(OFFSET($C$11, 0, 0, COUNTA($C$11:$C$110),1),$A20),$C20))</f>
        <v>1</v>
      </c>
      <c r="E20" s="6">
        <f t="shared" si="1"/>
        <v>2</v>
      </c>
      <c r="F20" s="62" t="b">
        <v>0</v>
      </c>
      <c r="G20" s="6">
        <f t="shared" si="2"/>
        <v>2</v>
      </c>
      <c r="H20" s="64" t="b">
        <v>0</v>
      </c>
      <c r="I20" s="6">
        <f t="shared" si="3"/>
        <v>34</v>
      </c>
      <c r="J20" s="64" t="b">
        <v>0</v>
      </c>
      <c r="K20" s="18"/>
    </row>
    <row r="21" spans="1:11" ht="15" x14ac:dyDescent="0.4">
      <c r="A21" s="4">
        <f t="shared" si="0"/>
        <v>11</v>
      </c>
      <c r="B21" s="13">
        <v>45280</v>
      </c>
      <c r="C21" s="14" t="s">
        <v>29</v>
      </c>
      <c r="D21" s="6" cm="1">
        <f t="array" aca="1" ref="D21" ca="1">IF($C21="","",COUNTIF(_xlfn.TAKE(OFFSET($C$11, 0, 0, COUNTA($C$11:$C$110),1),$A21),$C21))</f>
        <v>1</v>
      </c>
      <c r="E21" s="6">
        <f t="shared" si="1"/>
        <v>3</v>
      </c>
      <c r="F21" s="62" t="b">
        <f>TRUE</f>
        <v>1</v>
      </c>
      <c r="G21" s="6">
        <f t="shared" si="2"/>
        <v>3</v>
      </c>
      <c r="H21" s="64" t="b">
        <v>0</v>
      </c>
      <c r="I21" s="6">
        <f t="shared" si="3"/>
        <v>35</v>
      </c>
      <c r="J21" s="64" t="b">
        <v>0</v>
      </c>
      <c r="K21" s="18"/>
    </row>
    <row r="22" spans="1:11" ht="15" x14ac:dyDescent="0.4">
      <c r="A22" s="4">
        <f t="shared" si="0"/>
        <v>12</v>
      </c>
      <c r="B22" s="13">
        <v>45296</v>
      </c>
      <c r="C22" s="14" t="s">
        <v>12</v>
      </c>
      <c r="D22" s="6" cm="1">
        <f t="array" aca="1" ref="D22" ca="1">IF($C22="","",COUNTIF(_xlfn.TAKE(OFFSET($C$11, 0, 0, COUNTA($C$11:$C$110),1),$A22),$C22))</f>
        <v>1</v>
      </c>
      <c r="E22" s="6">
        <f t="shared" si="1"/>
        <v>1</v>
      </c>
      <c r="F22" s="62" t="b">
        <v>0</v>
      </c>
      <c r="G22" s="6">
        <f t="shared" si="2"/>
        <v>4</v>
      </c>
      <c r="H22" s="64" t="b">
        <v>0</v>
      </c>
      <c r="I22" s="6">
        <f t="shared" si="3"/>
        <v>36</v>
      </c>
      <c r="J22" s="64" t="b">
        <v>0</v>
      </c>
      <c r="K22" s="18"/>
    </row>
    <row r="23" spans="1:11" ht="15" x14ac:dyDescent="0.4">
      <c r="A23" s="4">
        <f t="shared" si="0"/>
        <v>13</v>
      </c>
      <c r="B23" s="13">
        <v>45297</v>
      </c>
      <c r="C23" s="14" t="s">
        <v>12</v>
      </c>
      <c r="D23" s="6" cm="1">
        <f t="array" aca="1" ref="D23" ca="1">IF($C23="","",COUNTIF(_xlfn.TAKE(OFFSET($C$11, 0, 0, COUNTA($C$11:$C$110),1),$A23),$C23))</f>
        <v>2</v>
      </c>
      <c r="E23" s="6">
        <f t="shared" si="1"/>
        <v>2</v>
      </c>
      <c r="F23" s="62" t="b">
        <v>0</v>
      </c>
      <c r="G23" s="6">
        <f t="shared" si="2"/>
        <v>5</v>
      </c>
      <c r="H23" s="64" t="b">
        <v>0</v>
      </c>
      <c r="I23" s="6">
        <f t="shared" si="3"/>
        <v>37</v>
      </c>
      <c r="J23" s="64" t="b">
        <v>0</v>
      </c>
      <c r="K23" s="18"/>
    </row>
    <row r="24" spans="1:11" ht="15" x14ac:dyDescent="0.4">
      <c r="A24" s="4">
        <f t="shared" si="0"/>
        <v>14</v>
      </c>
      <c r="B24" s="13">
        <v>45298</v>
      </c>
      <c r="C24" s="14" t="s">
        <v>12</v>
      </c>
      <c r="D24" s="6" cm="1">
        <f t="array" aca="1" ref="D24" ca="1">IF($C24="","",COUNTIF(_xlfn.TAKE(OFFSET($C$11, 0, 0, COUNTA($C$11:$C$110),1),$A24),$C24))</f>
        <v>3</v>
      </c>
      <c r="E24" s="6">
        <f t="shared" si="1"/>
        <v>3</v>
      </c>
      <c r="F24" s="62" t="b">
        <v>0</v>
      </c>
      <c r="G24" s="6">
        <f t="shared" si="2"/>
        <v>6</v>
      </c>
      <c r="H24" s="64" t="b">
        <v>0</v>
      </c>
      <c r="I24" s="6">
        <f t="shared" si="3"/>
        <v>38</v>
      </c>
      <c r="J24" s="64" t="b">
        <v>0</v>
      </c>
      <c r="K24" s="18"/>
    </row>
    <row r="25" spans="1:11" ht="15" x14ac:dyDescent="0.4">
      <c r="A25" s="4">
        <f t="shared" si="0"/>
        <v>15</v>
      </c>
      <c r="B25" s="13">
        <v>45299</v>
      </c>
      <c r="C25" s="14" t="s">
        <v>12</v>
      </c>
      <c r="D25" s="6" cm="1">
        <f t="array" aca="1" ref="D25" ca="1">IF($C25="","",COUNTIF(_xlfn.TAKE(OFFSET($C$11, 0, 0, COUNTA($C$11:$C$110),1),$A25),$C25))</f>
        <v>4</v>
      </c>
      <c r="E25" s="6">
        <f t="shared" si="1"/>
        <v>4</v>
      </c>
      <c r="F25" s="62" t="b">
        <v>0</v>
      </c>
      <c r="G25" s="6">
        <f t="shared" si="2"/>
        <v>7</v>
      </c>
      <c r="H25" s="64" t="b">
        <v>0</v>
      </c>
      <c r="I25" s="6">
        <f t="shared" si="3"/>
        <v>39</v>
      </c>
      <c r="J25" s="64" t="b">
        <v>0</v>
      </c>
      <c r="K25" s="18"/>
    </row>
    <row r="26" spans="1:11" ht="15" x14ac:dyDescent="0.4">
      <c r="A26" s="4">
        <f t="shared" si="0"/>
        <v>16</v>
      </c>
      <c r="B26" s="13">
        <v>45300</v>
      </c>
      <c r="C26" s="14" t="s">
        <v>12</v>
      </c>
      <c r="D26" s="6" cm="1">
        <f t="array" aca="1" ref="D26" ca="1">IF($C26="","",COUNTIF(_xlfn.TAKE(OFFSET($C$11, 0, 0, COUNTA($C$11:$C$110),1),$A26),$C26))</f>
        <v>5</v>
      </c>
      <c r="E26" s="6">
        <f t="shared" si="1"/>
        <v>5</v>
      </c>
      <c r="F26" s="62" t="b">
        <f>TRUE</f>
        <v>1</v>
      </c>
      <c r="G26" s="6">
        <f t="shared" si="2"/>
        <v>8</v>
      </c>
      <c r="H26" s="64" t="b">
        <f>TRUE</f>
        <v>1</v>
      </c>
      <c r="I26" s="6">
        <f t="shared" si="3"/>
        <v>40</v>
      </c>
      <c r="J26" s="64" t="b">
        <v>0</v>
      </c>
      <c r="K26" s="18"/>
    </row>
    <row r="27" spans="1:11" ht="15" x14ac:dyDescent="0.4">
      <c r="A27" s="4">
        <f t="shared" si="0"/>
        <v>17</v>
      </c>
      <c r="B27" s="13">
        <v>45315</v>
      </c>
      <c r="C27" s="14" t="s">
        <v>14</v>
      </c>
      <c r="D27" s="6" cm="1">
        <f t="array" aca="1" ref="D27" ca="1">IF($C27="","",COUNTIF(_xlfn.TAKE(OFFSET($C$11, 0, 0, COUNTA($C$11:$C$110),1),$A27),$C27))</f>
        <v>1</v>
      </c>
      <c r="E27" s="6">
        <f t="shared" si="1"/>
        <v>1</v>
      </c>
      <c r="F27" s="62" t="b">
        <v>0</v>
      </c>
      <c r="G27" s="6">
        <f t="shared" si="2"/>
        <v>1</v>
      </c>
      <c r="H27" s="64" t="b">
        <v>0</v>
      </c>
      <c r="I27" s="6">
        <f t="shared" si="3"/>
        <v>41</v>
      </c>
      <c r="J27" s="64" t="b">
        <v>0</v>
      </c>
      <c r="K27" s="18"/>
    </row>
    <row r="28" spans="1:11" ht="15" x14ac:dyDescent="0.4">
      <c r="A28" s="4">
        <f t="shared" si="0"/>
        <v>18</v>
      </c>
      <c r="B28" s="13">
        <v>45316</v>
      </c>
      <c r="C28" s="14" t="s">
        <v>14</v>
      </c>
      <c r="D28" s="6" cm="1">
        <f t="array" aca="1" ref="D28" ca="1">IF($C28="","",COUNTIF(_xlfn.TAKE(OFFSET($C$11, 0, 0, COUNTA($C$11:$C$110),1),$A28),$C28))</f>
        <v>2</v>
      </c>
      <c r="E28" s="6">
        <f t="shared" si="1"/>
        <v>2</v>
      </c>
      <c r="F28" s="62" t="b">
        <v>0</v>
      </c>
      <c r="G28" s="6">
        <f t="shared" si="2"/>
        <v>2</v>
      </c>
      <c r="H28" s="64" t="b">
        <v>0</v>
      </c>
      <c r="I28" s="6">
        <f t="shared" si="3"/>
        <v>42</v>
      </c>
      <c r="J28" s="64" t="b">
        <v>0</v>
      </c>
      <c r="K28" s="18"/>
    </row>
    <row r="29" spans="1:11" ht="15" x14ac:dyDescent="0.4">
      <c r="A29" s="4">
        <f t="shared" si="0"/>
        <v>19</v>
      </c>
      <c r="B29" s="13">
        <v>45317</v>
      </c>
      <c r="C29" s="14" t="s">
        <v>14</v>
      </c>
      <c r="D29" s="6" cm="1">
        <f t="array" aca="1" ref="D29" ca="1">IF($C29="","",COUNTIF(_xlfn.TAKE(OFFSET($C$11, 0, 0, COUNTA($C$11:$C$110),1),$A29),$C29))</f>
        <v>3</v>
      </c>
      <c r="E29" s="6">
        <f t="shared" si="1"/>
        <v>3</v>
      </c>
      <c r="F29" s="62" t="b">
        <v>0</v>
      </c>
      <c r="G29" s="6">
        <f t="shared" si="2"/>
        <v>3</v>
      </c>
      <c r="H29" s="64" t="b">
        <v>0</v>
      </c>
      <c r="I29" s="6">
        <f t="shared" si="3"/>
        <v>43</v>
      </c>
      <c r="J29" s="64" t="b">
        <v>0</v>
      </c>
      <c r="K29" s="18"/>
    </row>
    <row r="30" spans="1:11" ht="15" x14ac:dyDescent="0.4">
      <c r="A30" s="4">
        <f t="shared" si="0"/>
        <v>20</v>
      </c>
      <c r="B30" s="13">
        <v>45318</v>
      </c>
      <c r="C30" s="14" t="s">
        <v>32</v>
      </c>
      <c r="D30" s="6" cm="1">
        <f t="array" aca="1" ref="D30" ca="1">IF($C30="","",COUNTIF(_xlfn.TAKE(OFFSET($C$11, 0, 0, COUNTA($C$11:$C$110),1),$A30),$C30))</f>
        <v>1</v>
      </c>
      <c r="E30" s="6">
        <f t="shared" si="1"/>
        <v>4</v>
      </c>
      <c r="F30" s="62" t="b">
        <v>0</v>
      </c>
      <c r="G30" s="6">
        <f t="shared" si="2"/>
        <v>4</v>
      </c>
      <c r="H30" s="64" t="b">
        <v>0</v>
      </c>
      <c r="I30" s="6">
        <f t="shared" si="3"/>
        <v>44</v>
      </c>
      <c r="J30" s="64" t="b">
        <v>0</v>
      </c>
      <c r="K30" s="18"/>
    </row>
    <row r="31" spans="1:11" ht="15" x14ac:dyDescent="0.4">
      <c r="A31" s="4">
        <f t="shared" si="0"/>
        <v>21</v>
      </c>
      <c r="B31" s="13">
        <v>45320</v>
      </c>
      <c r="C31" s="14" t="s">
        <v>32</v>
      </c>
      <c r="D31" s="6" cm="1">
        <f t="array" aca="1" ref="D31" ca="1">IF($C31="","",COUNTIF(_xlfn.TAKE(OFFSET($C$11, 0, 0, COUNTA($C$11:$C$110),1),$A31),$C31))</f>
        <v>2</v>
      </c>
      <c r="E31" s="6">
        <f t="shared" si="1"/>
        <v>5</v>
      </c>
      <c r="F31" s="62" t="b">
        <f>TRUE</f>
        <v>1</v>
      </c>
      <c r="G31" s="6">
        <f t="shared" si="2"/>
        <v>5</v>
      </c>
      <c r="H31" s="64" t="b">
        <v>0</v>
      </c>
      <c r="I31" s="6">
        <f t="shared" si="3"/>
        <v>45</v>
      </c>
      <c r="J31" s="64" t="b">
        <v>0</v>
      </c>
      <c r="K31" s="18"/>
    </row>
    <row r="32" spans="1:11" ht="15" x14ac:dyDescent="0.4">
      <c r="A32" s="4">
        <f t="shared" si="0"/>
        <v>22</v>
      </c>
      <c r="B32" s="13">
        <v>45321</v>
      </c>
      <c r="C32" s="14" t="s">
        <v>32</v>
      </c>
      <c r="D32" s="6" cm="1">
        <f t="array" aca="1" ref="D32" ca="1">IF($C32="","",COUNTIF(_xlfn.TAKE(OFFSET($C$11, 0, 0, COUNTA($C$11:$C$110),1),$A32),$C32))</f>
        <v>3</v>
      </c>
      <c r="E32" s="6">
        <f t="shared" si="1"/>
        <v>1</v>
      </c>
      <c r="F32" s="62" t="b">
        <v>0</v>
      </c>
      <c r="G32" s="6">
        <f t="shared" si="2"/>
        <v>6</v>
      </c>
      <c r="H32" s="64" t="b">
        <v>0</v>
      </c>
      <c r="I32" s="6">
        <f t="shared" si="3"/>
        <v>46</v>
      </c>
      <c r="J32" s="64" t="b">
        <v>0</v>
      </c>
      <c r="K32" s="18"/>
    </row>
    <row r="33" spans="1:11" ht="15" x14ac:dyDescent="0.4">
      <c r="A33" s="4">
        <f t="shared" si="0"/>
        <v>23</v>
      </c>
      <c r="B33" s="13">
        <v>45322</v>
      </c>
      <c r="C33" s="14" t="s">
        <v>33</v>
      </c>
      <c r="D33" s="6" cm="1">
        <f t="array" aca="1" ref="D33" ca="1">IF($C33="","",COUNTIF(_xlfn.TAKE(OFFSET($C$11, 0, 0, COUNTA($C$11:$C$110),1),$A33),$C33))</f>
        <v>1</v>
      </c>
      <c r="E33" s="6">
        <f t="shared" si="1"/>
        <v>2</v>
      </c>
      <c r="F33" s="62" t="b">
        <v>0</v>
      </c>
      <c r="G33" s="6">
        <f t="shared" si="2"/>
        <v>7</v>
      </c>
      <c r="H33" s="64" t="b">
        <v>0</v>
      </c>
      <c r="I33" s="6">
        <f t="shared" si="3"/>
        <v>47</v>
      </c>
      <c r="J33" s="64" t="b">
        <v>0</v>
      </c>
      <c r="K33" s="18"/>
    </row>
    <row r="34" spans="1:11" ht="15" x14ac:dyDescent="0.4">
      <c r="A34" s="4">
        <f t="shared" si="0"/>
        <v>24</v>
      </c>
      <c r="B34" s="13">
        <v>45324</v>
      </c>
      <c r="C34" s="14" t="s">
        <v>13</v>
      </c>
      <c r="D34" s="6" cm="1">
        <f t="array" aca="1" ref="D34" ca="1">IF($C34="","",COUNTIF(_xlfn.TAKE(OFFSET($C$11, 0, 0, COUNTA($C$11:$C$110),1),$A34),$C34))</f>
        <v>1</v>
      </c>
      <c r="E34" s="6">
        <f t="shared" si="1"/>
        <v>3</v>
      </c>
      <c r="F34" s="62" t="b">
        <v>0</v>
      </c>
      <c r="G34" s="6">
        <f t="shared" si="2"/>
        <v>8</v>
      </c>
      <c r="H34" s="64" t="b">
        <v>0</v>
      </c>
      <c r="I34" s="6">
        <f t="shared" si="3"/>
        <v>48</v>
      </c>
      <c r="J34" s="64" t="b">
        <v>0</v>
      </c>
      <c r="K34" s="18"/>
    </row>
    <row r="35" spans="1:11" ht="15" x14ac:dyDescent="0.4">
      <c r="A35" s="4">
        <f t="shared" si="0"/>
        <v>25</v>
      </c>
      <c r="B35" s="13">
        <v>45325</v>
      </c>
      <c r="C35" s="14" t="s">
        <v>13</v>
      </c>
      <c r="D35" s="6" cm="1">
        <f t="array" aca="1" ref="D35" ca="1">IF($C35="","",COUNTIF(_xlfn.TAKE(OFFSET($C$11, 0, 0, COUNTA($C$11:$C$110),1),$A35),$C35))</f>
        <v>2</v>
      </c>
      <c r="E35" s="6">
        <f t="shared" si="1"/>
        <v>4</v>
      </c>
      <c r="F35" s="62" t="b">
        <v>0</v>
      </c>
      <c r="G35" s="6">
        <f t="shared" si="2"/>
        <v>9</v>
      </c>
      <c r="H35" s="64" t="b">
        <v>0</v>
      </c>
      <c r="I35" s="6">
        <f t="shared" si="3"/>
        <v>49</v>
      </c>
      <c r="J35" s="64" t="b">
        <v>0</v>
      </c>
      <c r="K35" s="18"/>
    </row>
    <row r="36" spans="1:11" ht="15" x14ac:dyDescent="0.4">
      <c r="A36" s="4">
        <f t="shared" si="0"/>
        <v>26</v>
      </c>
      <c r="B36" s="13">
        <v>45326</v>
      </c>
      <c r="C36" s="14" t="s">
        <v>13</v>
      </c>
      <c r="D36" s="6" cm="1">
        <f t="array" aca="1" ref="D36" ca="1">IF($C36="","",COUNTIF(_xlfn.TAKE(OFFSET($C$11, 0, 0, COUNTA($C$11:$C$110),1),$A36),$C36))</f>
        <v>3</v>
      </c>
      <c r="E36" s="6">
        <f t="shared" si="1"/>
        <v>5</v>
      </c>
      <c r="F36" s="62" t="b">
        <v>0</v>
      </c>
      <c r="G36" s="6">
        <f t="shared" si="2"/>
        <v>10</v>
      </c>
      <c r="H36" s="64" t="b">
        <v>0</v>
      </c>
      <c r="I36" s="6">
        <f t="shared" si="3"/>
        <v>50</v>
      </c>
      <c r="J36" s="64" t="b">
        <v>0</v>
      </c>
      <c r="K36" s="18"/>
    </row>
    <row r="37" spans="1:11" ht="15" x14ac:dyDescent="0.4">
      <c r="A37" s="4">
        <f t="shared" si="0"/>
        <v>27</v>
      </c>
      <c r="B37" s="13">
        <v>45347</v>
      </c>
      <c r="C37" s="14" t="s">
        <v>12</v>
      </c>
      <c r="D37" s="6" cm="1">
        <f t="array" aca="1" ref="D37" ca="1">IF($C37="","",COUNTIF(_xlfn.TAKE(OFFSET($C$11, 0, 0, COUNTA($C$11:$C$110),1),$A37),$C37))</f>
        <v>6</v>
      </c>
      <c r="E37" s="6">
        <f t="shared" si="1"/>
        <v>6</v>
      </c>
      <c r="F37" s="62" t="b">
        <f>TRUE</f>
        <v>1</v>
      </c>
      <c r="G37" s="6">
        <f t="shared" si="2"/>
        <v>11</v>
      </c>
      <c r="H37" s="64" t="b">
        <f>TRUE</f>
        <v>1</v>
      </c>
      <c r="I37" s="6">
        <f t="shared" si="3"/>
        <v>51</v>
      </c>
      <c r="J37" s="64" t="b">
        <f>TRUE</f>
        <v>1</v>
      </c>
      <c r="K37" s="18"/>
    </row>
    <row r="38" spans="1:11" ht="15" x14ac:dyDescent="0.4">
      <c r="A38" s="4">
        <f t="shared" si="0"/>
        <v>28</v>
      </c>
      <c r="B38" s="13">
        <v>45350</v>
      </c>
      <c r="C38" s="14" t="s">
        <v>12</v>
      </c>
      <c r="D38" s="6" cm="1">
        <f t="array" aca="1" ref="D38" ca="1">IF($C38="","",COUNTIF(_xlfn.TAKE(OFFSET($C$11, 0, 0, COUNTA($C$11:$C$110),1),$A38),$C38))</f>
        <v>7</v>
      </c>
      <c r="E38" s="6">
        <f t="shared" si="1"/>
        <v>1</v>
      </c>
      <c r="F38" s="62" t="b">
        <v>0</v>
      </c>
      <c r="G38" s="6">
        <f t="shared" si="2"/>
        <v>1</v>
      </c>
      <c r="H38" s="64" t="b">
        <v>0</v>
      </c>
      <c r="I38" s="6">
        <f t="shared" si="3"/>
        <v>1</v>
      </c>
      <c r="J38" s="64" t="b">
        <v>0</v>
      </c>
      <c r="K38" s="18"/>
    </row>
    <row r="39" spans="1:11" ht="15" x14ac:dyDescent="0.4">
      <c r="A39" s="4">
        <f t="shared" si="0"/>
        <v>29</v>
      </c>
      <c r="B39" s="13">
        <v>45351</v>
      </c>
      <c r="C39" s="14" t="s">
        <v>12</v>
      </c>
      <c r="D39" s="6" cm="1">
        <f t="array" aca="1" ref="D39" ca="1">IF($C39="","",COUNTIF(_xlfn.TAKE(OFFSET($C$11, 0, 0, COUNTA($C$11:$C$110),1),$A39),$C39))</f>
        <v>8</v>
      </c>
      <c r="E39" s="6">
        <f t="shared" si="1"/>
        <v>2</v>
      </c>
      <c r="F39" s="62" t="b">
        <v>0</v>
      </c>
      <c r="G39" s="6">
        <f t="shared" si="2"/>
        <v>2</v>
      </c>
      <c r="H39" s="64" t="b">
        <v>0</v>
      </c>
      <c r="I39" s="6">
        <f t="shared" si="3"/>
        <v>2</v>
      </c>
      <c r="J39" s="64" t="b">
        <v>0</v>
      </c>
      <c r="K39" s="18"/>
    </row>
    <row r="40" spans="1:11" ht="15" x14ac:dyDescent="0.4">
      <c r="A40" s="4">
        <f t="shared" si="0"/>
        <v>30</v>
      </c>
      <c r="B40" s="13">
        <v>45352</v>
      </c>
      <c r="C40" s="14" t="s">
        <v>12</v>
      </c>
      <c r="D40" s="6" cm="1">
        <f t="array" aca="1" ref="D40" ca="1">IF($C40="","",COUNTIF(_xlfn.TAKE(OFFSET($C$11, 0, 0, COUNTA($C$11:$C$110),1),$A40),$C40))</f>
        <v>9</v>
      </c>
      <c r="E40" s="6">
        <f t="shared" si="1"/>
        <v>3</v>
      </c>
      <c r="F40" s="62" t="b">
        <v>0</v>
      </c>
      <c r="G40" s="6">
        <f t="shared" si="2"/>
        <v>3</v>
      </c>
      <c r="H40" s="64" t="b">
        <v>0</v>
      </c>
      <c r="I40" s="6">
        <f t="shared" si="3"/>
        <v>3</v>
      </c>
      <c r="J40" s="64" t="b">
        <v>0</v>
      </c>
      <c r="K40" s="18"/>
    </row>
    <row r="41" spans="1:11" ht="15" x14ac:dyDescent="0.4">
      <c r="A41" s="4">
        <f t="shared" si="0"/>
        <v>31</v>
      </c>
      <c r="B41" s="13">
        <v>45354</v>
      </c>
      <c r="C41" s="14" t="s">
        <v>12</v>
      </c>
      <c r="D41" s="6" cm="1">
        <f t="array" aca="1" ref="D41" ca="1">IF($C41="","",COUNTIF(_xlfn.TAKE(OFFSET($C$11, 0, 0, COUNTA($C$11:$C$110),1),$A41),$C41))</f>
        <v>10</v>
      </c>
      <c r="E41" s="6">
        <f t="shared" si="1"/>
        <v>4</v>
      </c>
      <c r="F41" s="62" t="b">
        <v>0</v>
      </c>
      <c r="G41" s="6">
        <f t="shared" si="2"/>
        <v>4</v>
      </c>
      <c r="H41" s="64" t="b">
        <v>0</v>
      </c>
      <c r="I41" s="6">
        <f t="shared" si="3"/>
        <v>4</v>
      </c>
      <c r="J41" s="64" t="b">
        <v>0</v>
      </c>
      <c r="K41" s="18"/>
    </row>
    <row r="42" spans="1:11" ht="15" x14ac:dyDescent="0.4">
      <c r="A42" s="4">
        <f t="shared" si="0"/>
        <v>32</v>
      </c>
      <c r="B42" s="13">
        <v>45355</v>
      </c>
      <c r="C42" s="14" t="s">
        <v>12</v>
      </c>
      <c r="D42" s="6" cm="1">
        <f t="array" aca="1" ref="D42" ca="1">IF($C42="","",COUNTIF(_xlfn.TAKE(OFFSET($C$11, 0, 0, COUNTA($C$11:$C$110),1),$A42),$C42))</f>
        <v>11</v>
      </c>
      <c r="E42" s="6">
        <f t="shared" si="1"/>
        <v>5</v>
      </c>
      <c r="F42" s="62" t="b">
        <v>0</v>
      </c>
      <c r="G42" s="6">
        <f t="shared" si="2"/>
        <v>5</v>
      </c>
      <c r="H42" s="64" t="b">
        <v>0</v>
      </c>
      <c r="I42" s="6">
        <f t="shared" si="3"/>
        <v>5</v>
      </c>
      <c r="J42" s="64" t="b">
        <v>0</v>
      </c>
      <c r="K42" s="18"/>
    </row>
    <row r="43" spans="1:11" ht="15" x14ac:dyDescent="0.4">
      <c r="A43" s="4">
        <f t="shared" si="0"/>
        <v>33</v>
      </c>
      <c r="B43" s="13">
        <v>45356</v>
      </c>
      <c r="C43" s="14" t="s">
        <v>12</v>
      </c>
      <c r="D43" s="6" cm="1">
        <f t="array" aca="1" ref="D43" ca="1">IF($C43="","",COUNTIF(_xlfn.TAKE(OFFSET($C$11, 0, 0, COUNTA($C$11:$C$110),1),$A43),$C43))</f>
        <v>12</v>
      </c>
      <c r="E43" s="6">
        <f t="shared" si="1"/>
        <v>6</v>
      </c>
      <c r="F43" s="62" t="b">
        <f>TRUE</f>
        <v>1</v>
      </c>
      <c r="G43" s="6">
        <f t="shared" si="2"/>
        <v>6</v>
      </c>
      <c r="H43" s="64" t="b">
        <v>0</v>
      </c>
      <c r="I43" s="6">
        <f t="shared" si="3"/>
        <v>6</v>
      </c>
      <c r="J43" s="64" t="b">
        <v>0</v>
      </c>
      <c r="K43" s="18"/>
    </row>
    <row r="44" spans="1:11" ht="15" x14ac:dyDescent="0.4">
      <c r="A44" s="4">
        <f t="shared" si="0"/>
        <v>34</v>
      </c>
      <c r="B44" s="13">
        <v>45357</v>
      </c>
      <c r="C44" s="14" t="s">
        <v>12</v>
      </c>
      <c r="D44" s="6" cm="1">
        <f t="array" aca="1" ref="D44" ca="1">IF($C44="","",COUNTIF(_xlfn.TAKE(OFFSET($C$11, 0, 0, COUNTA($C$11:$C$110),1),$A44),$C44))</f>
        <v>13</v>
      </c>
      <c r="E44" s="6">
        <f t="shared" si="1"/>
        <v>1</v>
      </c>
      <c r="F44" s="62" t="b">
        <v>0</v>
      </c>
      <c r="G44" s="6">
        <f t="shared" si="2"/>
        <v>7</v>
      </c>
      <c r="H44" s="64" t="b">
        <v>0</v>
      </c>
      <c r="I44" s="6">
        <f t="shared" si="3"/>
        <v>7</v>
      </c>
      <c r="J44" s="64" t="b">
        <v>0</v>
      </c>
      <c r="K44" s="18"/>
    </row>
    <row r="45" spans="1:11" ht="15" x14ac:dyDescent="0.4">
      <c r="A45" s="4">
        <f t="shared" si="0"/>
        <v>35</v>
      </c>
      <c r="B45" s="13">
        <v>45358</v>
      </c>
      <c r="C45" s="14" t="s">
        <v>12</v>
      </c>
      <c r="D45" s="6" cm="1">
        <f t="array" aca="1" ref="D45" ca="1">IF($C45="","",COUNTIF(_xlfn.TAKE(OFFSET($C$11, 0, 0, COUNTA($C$11:$C$110),1),$A45),$C45))</f>
        <v>14</v>
      </c>
      <c r="E45" s="6">
        <f t="shared" si="1"/>
        <v>2</v>
      </c>
      <c r="F45" s="62" t="b">
        <v>0</v>
      </c>
      <c r="G45" s="6">
        <f t="shared" si="2"/>
        <v>8</v>
      </c>
      <c r="H45" s="64" t="b">
        <v>0</v>
      </c>
      <c r="I45" s="6">
        <f t="shared" si="3"/>
        <v>8</v>
      </c>
      <c r="J45" s="64" t="b">
        <v>0</v>
      </c>
      <c r="K45" s="18"/>
    </row>
    <row r="46" spans="1:11" ht="15" x14ac:dyDescent="0.4">
      <c r="A46" s="4">
        <f t="shared" si="0"/>
        <v>36</v>
      </c>
      <c r="B46" s="13">
        <v>45359</v>
      </c>
      <c r="C46" s="14" t="s">
        <v>12</v>
      </c>
      <c r="D46" s="6" cm="1">
        <f t="array" aca="1" ref="D46" ca="1">IF($C46="","",COUNTIF(_xlfn.TAKE(OFFSET($C$11, 0, 0, COUNTA($C$11:$C$110),1),$A46),$C46))</f>
        <v>15</v>
      </c>
      <c r="E46" s="6">
        <f t="shared" si="1"/>
        <v>3</v>
      </c>
      <c r="F46" s="62" t="b">
        <v>0</v>
      </c>
      <c r="G46" s="6">
        <f t="shared" si="2"/>
        <v>9</v>
      </c>
      <c r="H46" s="64" t="b">
        <v>0</v>
      </c>
      <c r="I46" s="6">
        <f t="shared" si="3"/>
        <v>9</v>
      </c>
      <c r="J46" s="64" t="b">
        <v>0</v>
      </c>
      <c r="K46" s="18"/>
    </row>
    <row r="47" spans="1:11" ht="15" x14ac:dyDescent="0.4">
      <c r="A47" s="4">
        <f t="shared" si="0"/>
        <v>37</v>
      </c>
      <c r="B47" s="13">
        <v>45360</v>
      </c>
      <c r="C47" s="14" t="s">
        <v>12</v>
      </c>
      <c r="D47" s="6" cm="1">
        <f t="array" aca="1" ref="D47" ca="1">IF($C47="","",COUNTIF(_xlfn.TAKE(OFFSET($C$11, 0, 0, COUNTA($C$11:$C$110),1),$A47),$C47))</f>
        <v>16</v>
      </c>
      <c r="E47" s="6">
        <f t="shared" si="1"/>
        <v>4</v>
      </c>
      <c r="F47" s="62" t="b">
        <f>TRUE</f>
        <v>1</v>
      </c>
      <c r="G47" s="6">
        <f t="shared" si="2"/>
        <v>10</v>
      </c>
      <c r="H47" s="64" t="b">
        <v>0</v>
      </c>
      <c r="I47" s="6">
        <f t="shared" si="3"/>
        <v>10</v>
      </c>
      <c r="J47" s="64" t="b">
        <v>0</v>
      </c>
      <c r="K47" s="18"/>
    </row>
    <row r="48" spans="1:11" ht="15" x14ac:dyDescent="0.4">
      <c r="A48" s="4">
        <f t="shared" si="0"/>
        <v>38</v>
      </c>
      <c r="B48" s="13">
        <v>45362</v>
      </c>
      <c r="C48" s="14" t="s">
        <v>12</v>
      </c>
      <c r="D48" s="6" cm="1">
        <f t="array" aca="1" ref="D48" ca="1">IF($C48="","",COUNTIF(_xlfn.TAKE(OFFSET($C$11, 0, 0, COUNTA($C$11:$C$110),1),$A48),$C48))</f>
        <v>17</v>
      </c>
      <c r="E48" s="6">
        <f t="shared" si="1"/>
        <v>1</v>
      </c>
      <c r="F48" s="62" t="b">
        <v>0</v>
      </c>
      <c r="G48" s="6">
        <f t="shared" si="2"/>
        <v>11</v>
      </c>
      <c r="H48" s="64" t="b">
        <v>0</v>
      </c>
      <c r="I48" s="6">
        <f t="shared" si="3"/>
        <v>11</v>
      </c>
      <c r="J48" s="64" t="b">
        <v>0</v>
      </c>
      <c r="K48" s="18"/>
    </row>
    <row r="49" spans="1:11" ht="15" x14ac:dyDescent="0.4">
      <c r="A49" s="4">
        <f t="shared" si="0"/>
        <v>39</v>
      </c>
      <c r="B49" s="13">
        <v>45363</v>
      </c>
      <c r="C49" s="14" t="s">
        <v>12</v>
      </c>
      <c r="D49" s="6" cm="1">
        <f t="array" aca="1" ref="D49" ca="1">IF($C49="","",COUNTIF(_xlfn.TAKE(OFFSET($C$11, 0, 0, COUNTA($C$11:$C$110),1),$A49),$C49))</f>
        <v>18</v>
      </c>
      <c r="E49" s="6">
        <f t="shared" si="1"/>
        <v>2</v>
      </c>
      <c r="F49" s="62" t="b">
        <v>0</v>
      </c>
      <c r="G49" s="6">
        <f t="shared" si="2"/>
        <v>12</v>
      </c>
      <c r="H49" s="64" t="b">
        <v>0</v>
      </c>
      <c r="I49" s="6">
        <f t="shared" si="3"/>
        <v>12</v>
      </c>
      <c r="J49" s="64" t="b">
        <v>0</v>
      </c>
      <c r="K49" s="18" t="s">
        <v>37</v>
      </c>
    </row>
    <row r="50" spans="1:11" ht="15" x14ac:dyDescent="0.4">
      <c r="A50" s="4">
        <f t="shared" si="0"/>
        <v>40</v>
      </c>
      <c r="B50" s="13">
        <v>45364</v>
      </c>
      <c r="C50" s="14" t="s">
        <v>12</v>
      </c>
      <c r="D50" s="6" cm="1">
        <f t="array" aca="1" ref="D50" ca="1">IF($C50="","",COUNTIF(_xlfn.TAKE(OFFSET($C$11, 0, 0, COUNTA($C$11:$C$110),1),$A50),$C50))</f>
        <v>19</v>
      </c>
      <c r="E50" s="6">
        <f t="shared" si="1"/>
        <v>3</v>
      </c>
      <c r="F50" s="62" t="b">
        <v>0</v>
      </c>
      <c r="G50" s="6">
        <f t="shared" si="2"/>
        <v>13</v>
      </c>
      <c r="H50" s="64" t="b">
        <v>0</v>
      </c>
      <c r="I50" s="6">
        <f t="shared" si="3"/>
        <v>13</v>
      </c>
      <c r="J50" s="64" t="b">
        <v>0</v>
      </c>
      <c r="K50" s="18"/>
    </row>
    <row r="51" spans="1:11" ht="15" x14ac:dyDescent="0.4">
      <c r="A51" s="4">
        <f t="shared" si="0"/>
        <v>41</v>
      </c>
      <c r="B51" s="13">
        <v>45365</v>
      </c>
      <c r="C51" s="14" t="s">
        <v>12</v>
      </c>
      <c r="D51" s="6" cm="1">
        <f t="array" aca="1" ref="D51" ca="1">IF($C51="","",COUNTIF(_xlfn.TAKE(OFFSET($C$11, 0, 0, COUNTA($C$11:$C$110),1),$A51),$C51))</f>
        <v>20</v>
      </c>
      <c r="E51" s="6">
        <f t="shared" si="1"/>
        <v>4</v>
      </c>
      <c r="F51" s="62" t="b">
        <v>0</v>
      </c>
      <c r="G51" s="6">
        <f t="shared" si="2"/>
        <v>14</v>
      </c>
      <c r="H51" s="64" t="b">
        <v>0</v>
      </c>
      <c r="I51" s="6">
        <f t="shared" si="3"/>
        <v>14</v>
      </c>
      <c r="J51" s="64" t="b">
        <v>0</v>
      </c>
      <c r="K51" s="18"/>
    </row>
    <row r="52" spans="1:11" ht="15" x14ac:dyDescent="0.4">
      <c r="A52" s="4">
        <f t="shared" si="0"/>
        <v>42</v>
      </c>
      <c r="B52" s="13">
        <v>45366</v>
      </c>
      <c r="C52" s="14" t="s">
        <v>12</v>
      </c>
      <c r="D52" s="6" cm="1">
        <f t="array" aca="1" ref="D52" ca="1">IF($C52="","",COUNTIF(_xlfn.TAKE(OFFSET($C$11, 0, 0, COUNTA($C$11:$C$110),1),$A52),$C52))</f>
        <v>21</v>
      </c>
      <c r="E52" s="6">
        <f t="shared" si="1"/>
        <v>5</v>
      </c>
      <c r="F52" s="62" t="b">
        <v>0</v>
      </c>
      <c r="G52" s="6">
        <f t="shared" si="2"/>
        <v>15</v>
      </c>
      <c r="H52" s="64" t="b">
        <v>0</v>
      </c>
      <c r="I52" s="6">
        <f t="shared" si="3"/>
        <v>15</v>
      </c>
      <c r="J52" s="64" t="b">
        <v>0</v>
      </c>
      <c r="K52" s="18"/>
    </row>
    <row r="53" spans="1:11" ht="15" x14ac:dyDescent="0.4">
      <c r="A53" s="4">
        <f t="shared" si="0"/>
        <v>43</v>
      </c>
      <c r="B53" s="13">
        <v>45367</v>
      </c>
      <c r="C53" s="14" t="s">
        <v>12</v>
      </c>
      <c r="D53" s="6" cm="1">
        <f t="array" aca="1" ref="D53" ca="1">IF($C53="","",COUNTIF(_xlfn.TAKE(OFFSET($C$11, 0, 0, COUNTA($C$11:$C$110),1),$A53),$C53))</f>
        <v>22</v>
      </c>
      <c r="E53" s="6">
        <f t="shared" si="1"/>
        <v>6</v>
      </c>
      <c r="F53" s="62" t="b">
        <v>0</v>
      </c>
      <c r="G53" s="6">
        <f t="shared" si="2"/>
        <v>16</v>
      </c>
      <c r="H53" s="64" t="b">
        <v>0</v>
      </c>
      <c r="I53" s="6">
        <f t="shared" si="3"/>
        <v>16</v>
      </c>
      <c r="J53" s="64" t="b">
        <v>0</v>
      </c>
      <c r="K53" s="18"/>
    </row>
    <row r="54" spans="1:11" ht="15" x14ac:dyDescent="0.4">
      <c r="A54" s="4">
        <f t="shared" si="0"/>
        <v>44</v>
      </c>
      <c r="B54" s="13">
        <v>45368</v>
      </c>
      <c r="C54" s="14" t="s">
        <v>12</v>
      </c>
      <c r="D54" s="6" cm="1">
        <f t="array" aca="1" ref="D54" ca="1">IF($C54="","",COUNTIF(_xlfn.TAKE(OFFSET($C$11, 0, 0, COUNTA($C$11:$C$110),1),$A54),$C54))</f>
        <v>23</v>
      </c>
      <c r="E54" s="6">
        <f t="shared" si="1"/>
        <v>7</v>
      </c>
      <c r="F54" s="62" t="b">
        <v>0</v>
      </c>
      <c r="G54" s="6">
        <f t="shared" si="2"/>
        <v>17</v>
      </c>
      <c r="H54" s="64" t="b">
        <v>0</v>
      </c>
      <c r="I54" s="6">
        <f t="shared" si="3"/>
        <v>17</v>
      </c>
      <c r="J54" s="64" t="b">
        <v>0</v>
      </c>
      <c r="K54" s="18"/>
    </row>
    <row r="55" spans="1:11" ht="15" x14ac:dyDescent="0.4">
      <c r="A55" s="4">
        <f t="shared" si="0"/>
        <v>45</v>
      </c>
      <c r="B55" s="13">
        <v>45369</v>
      </c>
      <c r="C55" s="14" t="s">
        <v>12</v>
      </c>
      <c r="D55" s="6" cm="1">
        <f t="array" aca="1" ref="D55" ca="1">IF($C55="","",COUNTIF(_xlfn.TAKE(OFFSET($C$11, 0, 0, COUNTA($C$11:$C$110),1),$A55),$C55))</f>
        <v>24</v>
      </c>
      <c r="E55" s="6">
        <f t="shared" si="1"/>
        <v>8</v>
      </c>
      <c r="F55" s="62" t="b">
        <v>0</v>
      </c>
      <c r="G55" s="6">
        <f t="shared" si="2"/>
        <v>18</v>
      </c>
      <c r="H55" s="64" t="b">
        <v>0</v>
      </c>
      <c r="I55" s="6">
        <f t="shared" si="3"/>
        <v>18</v>
      </c>
      <c r="J55" s="64" t="b">
        <v>0</v>
      </c>
      <c r="K55" s="18"/>
    </row>
    <row r="56" spans="1:11" ht="15" x14ac:dyDescent="0.4">
      <c r="A56" s="4">
        <f t="shared" si="0"/>
        <v>46</v>
      </c>
      <c r="B56" s="13">
        <v>45370</v>
      </c>
      <c r="C56" s="14" t="s">
        <v>12</v>
      </c>
      <c r="D56" s="6" cm="1">
        <f t="array" aca="1" ref="D56" ca="1">IF($C56="","",COUNTIF(_xlfn.TAKE(OFFSET($C$11, 0, 0, COUNTA($C$11:$C$110),1),$A56),$C56))</f>
        <v>25</v>
      </c>
      <c r="E56" s="6">
        <f t="shared" si="1"/>
        <v>9</v>
      </c>
      <c r="F56" s="62" t="b">
        <v>0</v>
      </c>
      <c r="G56" s="6">
        <f t="shared" si="2"/>
        <v>19</v>
      </c>
      <c r="H56" s="64" t="b">
        <v>0</v>
      </c>
      <c r="I56" s="6">
        <f t="shared" si="3"/>
        <v>19</v>
      </c>
      <c r="J56" s="64" t="b">
        <v>0</v>
      </c>
      <c r="K56" s="18"/>
    </row>
    <row r="57" spans="1:11" ht="15" x14ac:dyDescent="0.4">
      <c r="A57" s="4">
        <f t="shared" si="0"/>
        <v>47</v>
      </c>
      <c r="B57" s="13">
        <v>45371</v>
      </c>
      <c r="C57" s="14" t="s">
        <v>12</v>
      </c>
      <c r="D57" s="6" cm="1">
        <f t="array" aca="1" ref="D57" ca="1">IF($C57="","",COUNTIF(_xlfn.TAKE(OFFSET($C$11, 0, 0, COUNTA($C$11:$C$110),1),$A57),$C57))</f>
        <v>26</v>
      </c>
      <c r="E57" s="6">
        <f t="shared" si="1"/>
        <v>10</v>
      </c>
      <c r="F57" s="62" t="b">
        <v>0</v>
      </c>
      <c r="G57" s="6">
        <f t="shared" si="2"/>
        <v>20</v>
      </c>
      <c r="H57" s="64" t="b">
        <v>0</v>
      </c>
      <c r="I57" s="6">
        <f t="shared" si="3"/>
        <v>20</v>
      </c>
      <c r="J57" s="64" t="b">
        <v>0</v>
      </c>
      <c r="K57" s="18"/>
    </row>
    <row r="58" spans="1:11" ht="15" x14ac:dyDescent="0.4">
      <c r="A58" s="4" t="str">
        <f t="shared" si="0"/>
        <v/>
      </c>
      <c r="B58" s="13"/>
      <c r="C58" s="14"/>
      <c r="D58" s="6" t="str" cm="1">
        <f t="array" aca="1" ref="D58" ca="1">IF($C58="","",COUNTIF(_xlfn.TAKE(OFFSET($C$11, 0, 0, COUNTA($C$11:$C$110),1),$A58),$C58))</f>
        <v/>
      </c>
      <c r="E58" s="6" t="str">
        <f t="shared" si="1"/>
        <v/>
      </c>
      <c r="F58" s="62" t="b">
        <v>0</v>
      </c>
      <c r="G58" s="6" t="str">
        <f t="shared" si="2"/>
        <v/>
      </c>
      <c r="H58" s="64" t="b">
        <v>0</v>
      </c>
      <c r="I58" s="6" t="str">
        <f t="shared" si="3"/>
        <v/>
      </c>
      <c r="J58" s="64" t="b">
        <v>0</v>
      </c>
      <c r="K58" s="18"/>
    </row>
    <row r="59" spans="1:11" ht="15" x14ac:dyDescent="0.4">
      <c r="A59" s="4" t="str">
        <f t="shared" si="0"/>
        <v/>
      </c>
      <c r="B59" s="13"/>
      <c r="C59" s="14"/>
      <c r="D59" s="6" t="str" cm="1">
        <f t="array" aca="1" ref="D59" ca="1">IF($C59="","",COUNTIF(_xlfn.TAKE(OFFSET($C$11, 0, 0, COUNTA($C$11:$C$110),1),$A59),$C59))</f>
        <v/>
      </c>
      <c r="E59" s="6" t="str">
        <f t="shared" si="1"/>
        <v/>
      </c>
      <c r="F59" s="62" t="b">
        <v>0</v>
      </c>
      <c r="G59" s="6" t="str">
        <f t="shared" si="2"/>
        <v/>
      </c>
      <c r="H59" s="64" t="b">
        <v>0</v>
      </c>
      <c r="I59" s="6" t="str">
        <f t="shared" si="3"/>
        <v/>
      </c>
      <c r="J59" s="64" t="b">
        <v>0</v>
      </c>
      <c r="K59" s="18"/>
    </row>
    <row r="60" spans="1:11" ht="15" x14ac:dyDescent="0.4">
      <c r="A60" s="4" t="str">
        <f t="shared" si="0"/>
        <v/>
      </c>
      <c r="B60" s="13"/>
      <c r="C60" s="14"/>
      <c r="D60" s="6" t="str" cm="1">
        <f t="array" aca="1" ref="D60" ca="1">IF($C60="","",COUNTIF(_xlfn.TAKE(OFFSET($C$11, 0, 0, COUNTA($C$11:$C$110),1),$A60),$C60))</f>
        <v/>
      </c>
      <c r="E60" s="6" t="str">
        <f t="shared" si="1"/>
        <v/>
      </c>
      <c r="F60" s="62" t="b">
        <v>0</v>
      </c>
      <c r="G60" s="6" t="str">
        <f t="shared" si="2"/>
        <v/>
      </c>
      <c r="H60" s="64" t="b">
        <v>0</v>
      </c>
      <c r="I60" s="6" t="str">
        <f t="shared" si="3"/>
        <v/>
      </c>
      <c r="J60" s="64" t="b">
        <v>0</v>
      </c>
      <c r="K60" s="18"/>
    </row>
    <row r="61" spans="1:11" ht="15" x14ac:dyDescent="0.4">
      <c r="A61" s="4" t="str">
        <f t="shared" si="0"/>
        <v/>
      </c>
      <c r="B61" s="13"/>
      <c r="C61" s="14"/>
      <c r="D61" s="6" t="str" cm="1">
        <f t="array" aca="1" ref="D61" ca="1">IF($C61="","",COUNTIF(_xlfn.TAKE(OFFSET($C$11, 0, 0, COUNTA($C$11:$C$110),1),$A61),$C61))</f>
        <v/>
      </c>
      <c r="E61" s="6" t="str">
        <f t="shared" si="1"/>
        <v/>
      </c>
      <c r="F61" s="62" t="b">
        <v>0</v>
      </c>
      <c r="G61" s="6" t="str">
        <f t="shared" si="2"/>
        <v/>
      </c>
      <c r="H61" s="64" t="b">
        <v>0</v>
      </c>
      <c r="I61" s="6" t="str">
        <f t="shared" si="3"/>
        <v/>
      </c>
      <c r="J61" s="64" t="b">
        <v>0</v>
      </c>
      <c r="K61" s="18"/>
    </row>
    <row r="62" spans="1:11" ht="15" x14ac:dyDescent="0.4">
      <c r="A62" s="4" t="str">
        <f t="shared" si="0"/>
        <v/>
      </c>
      <c r="B62" s="13"/>
      <c r="C62" s="14"/>
      <c r="D62" s="6" t="str" cm="1">
        <f t="array" aca="1" ref="D62" ca="1">IF($C62="","",COUNTIF(_xlfn.TAKE(OFFSET($C$11, 0, 0, COUNTA($C$11:$C$110),1),$A62),$C62))</f>
        <v/>
      </c>
      <c r="E62" s="6" t="str">
        <f t="shared" si="1"/>
        <v/>
      </c>
      <c r="F62" s="62" t="b">
        <v>0</v>
      </c>
      <c r="G62" s="6" t="str">
        <f t="shared" si="2"/>
        <v/>
      </c>
      <c r="H62" s="64" t="b">
        <v>0</v>
      </c>
      <c r="I62" s="6" t="str">
        <f t="shared" si="3"/>
        <v/>
      </c>
      <c r="J62" s="64" t="b">
        <v>0</v>
      </c>
      <c r="K62" s="18"/>
    </row>
    <row r="63" spans="1:11" ht="15" x14ac:dyDescent="0.4">
      <c r="A63" s="4" t="str">
        <f t="shared" si="0"/>
        <v/>
      </c>
      <c r="B63" s="13"/>
      <c r="C63" s="14"/>
      <c r="D63" s="6" t="str" cm="1">
        <f t="array" aca="1" ref="D63" ca="1">IF($C63="","",COUNTIF(_xlfn.TAKE(OFFSET($C$11, 0, 0, COUNTA($C$11:$C$110),1),$A63),$C63))</f>
        <v/>
      </c>
      <c r="E63" s="6" t="str">
        <f t="shared" si="1"/>
        <v/>
      </c>
      <c r="F63" s="62" t="b">
        <v>0</v>
      </c>
      <c r="G63" s="6" t="str">
        <f t="shared" si="2"/>
        <v/>
      </c>
      <c r="H63" s="64" t="b">
        <v>0</v>
      </c>
      <c r="I63" s="6" t="str">
        <f t="shared" si="3"/>
        <v/>
      </c>
      <c r="J63" s="64" t="b">
        <v>0</v>
      </c>
      <c r="K63" s="18"/>
    </row>
    <row r="64" spans="1:11" ht="15" x14ac:dyDescent="0.4">
      <c r="A64" s="4" t="str">
        <f t="shared" si="0"/>
        <v/>
      </c>
      <c r="B64" s="13"/>
      <c r="C64" s="14"/>
      <c r="D64" s="6" t="str" cm="1">
        <f t="array" aca="1" ref="D64" ca="1">IF($C64="","",COUNTIF(_xlfn.TAKE(OFFSET($C$11, 0, 0, COUNTA($C$11:$C$110),1),$A64),$C64))</f>
        <v/>
      </c>
      <c r="E64" s="6" t="str">
        <f t="shared" si="1"/>
        <v/>
      </c>
      <c r="F64" s="62" t="b">
        <v>0</v>
      </c>
      <c r="G64" s="6" t="str">
        <f t="shared" si="2"/>
        <v/>
      </c>
      <c r="H64" s="64" t="b">
        <v>0</v>
      </c>
      <c r="I64" s="6" t="str">
        <f t="shared" si="3"/>
        <v/>
      </c>
      <c r="J64" s="64" t="b">
        <v>0</v>
      </c>
      <c r="K64" s="18"/>
    </row>
    <row r="65" spans="1:11" ht="15" x14ac:dyDescent="0.4">
      <c r="A65" s="4" t="str">
        <f t="shared" si="0"/>
        <v/>
      </c>
      <c r="B65" s="13"/>
      <c r="C65" s="14"/>
      <c r="D65" s="6" t="str" cm="1">
        <f t="array" aca="1" ref="D65" ca="1">IF($C65="","",COUNTIF(_xlfn.TAKE(OFFSET($C$11, 0, 0, COUNTA($C$11:$C$110),1),$A65),$C65))</f>
        <v/>
      </c>
      <c r="E65" s="6" t="str">
        <f t="shared" si="1"/>
        <v/>
      </c>
      <c r="F65" s="62" t="b">
        <v>0</v>
      </c>
      <c r="G65" s="6" t="str">
        <f t="shared" si="2"/>
        <v/>
      </c>
      <c r="H65" s="64" t="b">
        <v>0</v>
      </c>
      <c r="I65" s="6" t="str">
        <f t="shared" si="3"/>
        <v/>
      </c>
      <c r="J65" s="64" t="b">
        <v>0</v>
      </c>
      <c r="K65" s="18"/>
    </row>
    <row r="66" spans="1:11" ht="15" x14ac:dyDescent="0.4">
      <c r="A66" s="4" t="str">
        <f t="shared" si="0"/>
        <v/>
      </c>
      <c r="B66" s="13"/>
      <c r="C66" s="14"/>
      <c r="D66" s="6" t="str" cm="1">
        <f t="array" aca="1" ref="D66" ca="1">IF($C66="","",COUNTIF(_xlfn.TAKE(OFFSET($C$11, 0, 0, COUNTA($C$11:$C$110),1),$A66),$C66))</f>
        <v/>
      </c>
      <c r="E66" s="6" t="str">
        <f t="shared" si="1"/>
        <v/>
      </c>
      <c r="F66" s="62" t="b">
        <v>0</v>
      </c>
      <c r="G66" s="6" t="str">
        <f t="shared" si="2"/>
        <v/>
      </c>
      <c r="H66" s="64" t="b">
        <v>0</v>
      </c>
      <c r="I66" s="6" t="str">
        <f t="shared" si="3"/>
        <v/>
      </c>
      <c r="J66" s="64" t="b">
        <v>0</v>
      </c>
      <c r="K66" s="18"/>
    </row>
    <row r="67" spans="1:11" ht="15" x14ac:dyDescent="0.4">
      <c r="A67" s="4" t="str">
        <f t="shared" si="0"/>
        <v/>
      </c>
      <c r="B67" s="13"/>
      <c r="C67" s="14"/>
      <c r="D67" s="6" t="str" cm="1">
        <f t="array" aca="1" ref="D67" ca="1">IF($C67="","",COUNTIF(_xlfn.TAKE(OFFSET($C$11, 0, 0, COUNTA($C$11:$C$110),1),$A67),$C67))</f>
        <v/>
      </c>
      <c r="E67" s="6" t="str">
        <f t="shared" si="1"/>
        <v/>
      </c>
      <c r="F67" s="62" t="b">
        <v>0</v>
      </c>
      <c r="G67" s="6" t="str">
        <f t="shared" si="2"/>
        <v/>
      </c>
      <c r="H67" s="64" t="b">
        <v>0</v>
      </c>
      <c r="I67" s="6" t="str">
        <f t="shared" si="3"/>
        <v/>
      </c>
      <c r="J67" s="64" t="b">
        <v>0</v>
      </c>
      <c r="K67" s="18"/>
    </row>
    <row r="68" spans="1:11" ht="15" x14ac:dyDescent="0.4">
      <c r="A68" s="4" t="str">
        <f t="shared" si="0"/>
        <v/>
      </c>
      <c r="B68" s="13"/>
      <c r="C68" s="14"/>
      <c r="D68" s="6" t="str" cm="1">
        <f t="array" aca="1" ref="D68" ca="1">IF($C68="","",COUNTIF(_xlfn.TAKE(OFFSET($C$11, 0, 0, COUNTA($C$11:$C$110),1),$A68),$C68))</f>
        <v/>
      </c>
      <c r="E68" s="6" t="str">
        <f t="shared" si="1"/>
        <v/>
      </c>
      <c r="F68" s="62" t="b">
        <v>0</v>
      </c>
      <c r="G68" s="6" t="str">
        <f t="shared" si="2"/>
        <v/>
      </c>
      <c r="H68" s="64" t="b">
        <v>0</v>
      </c>
      <c r="I68" s="6" t="str">
        <f t="shared" si="3"/>
        <v/>
      </c>
      <c r="J68" s="64" t="b">
        <v>0</v>
      </c>
      <c r="K68" s="18"/>
    </row>
    <row r="69" spans="1:11" ht="15" x14ac:dyDescent="0.4">
      <c r="A69" s="4" t="str">
        <f t="shared" si="0"/>
        <v/>
      </c>
      <c r="B69" s="13"/>
      <c r="C69" s="14"/>
      <c r="D69" s="6" t="str" cm="1">
        <f t="array" aca="1" ref="D69" ca="1">IF($C69="","",COUNTIF(_xlfn.TAKE(OFFSET($C$11, 0, 0, COUNTA($C$11:$C$110),1),$A69),$C69))</f>
        <v/>
      </c>
      <c r="E69" s="6" t="str">
        <f t="shared" si="1"/>
        <v/>
      </c>
      <c r="F69" s="62" t="b">
        <v>0</v>
      </c>
      <c r="G69" s="6" t="str">
        <f t="shared" si="2"/>
        <v/>
      </c>
      <c r="H69" s="64" t="b">
        <v>0</v>
      </c>
      <c r="I69" s="6" t="str">
        <f t="shared" si="3"/>
        <v/>
      </c>
      <c r="J69" s="64" t="b">
        <v>0</v>
      </c>
      <c r="K69" s="18"/>
    </row>
    <row r="70" spans="1:11" ht="15" x14ac:dyDescent="0.4">
      <c r="A70" s="4" t="str">
        <f t="shared" si="0"/>
        <v/>
      </c>
      <c r="B70" s="13"/>
      <c r="C70" s="14"/>
      <c r="D70" s="6" t="str" cm="1">
        <f t="array" aca="1" ref="D70" ca="1">IF($C70="","",COUNTIF(_xlfn.TAKE(OFFSET($C$11, 0, 0, COUNTA($C$11:$C$110),1),$A70),$C70))</f>
        <v/>
      </c>
      <c r="E70" s="6" t="str">
        <f t="shared" si="1"/>
        <v/>
      </c>
      <c r="F70" s="62" t="b">
        <v>0</v>
      </c>
      <c r="G70" s="6" t="str">
        <f t="shared" si="2"/>
        <v/>
      </c>
      <c r="H70" s="64" t="b">
        <v>0</v>
      </c>
      <c r="I70" s="6" t="str">
        <f t="shared" si="3"/>
        <v/>
      </c>
      <c r="J70" s="64" t="b">
        <v>0</v>
      </c>
      <c r="K70" s="18"/>
    </row>
    <row r="71" spans="1:11" ht="15" x14ac:dyDescent="0.4">
      <c r="A71" s="4" t="str">
        <f t="shared" si="0"/>
        <v/>
      </c>
      <c r="B71" s="13"/>
      <c r="C71" s="14"/>
      <c r="D71" s="6" t="str" cm="1">
        <f t="array" aca="1" ref="D71" ca="1">IF($C71="","",COUNTIF(_xlfn.TAKE(OFFSET($C$11, 0, 0, COUNTA($C$11:$C$110),1),$A71),$C71))</f>
        <v/>
      </c>
      <c r="E71" s="6" t="str">
        <f t="shared" si="1"/>
        <v/>
      </c>
      <c r="F71" s="62" t="b">
        <v>0</v>
      </c>
      <c r="G71" s="6" t="str">
        <f t="shared" si="2"/>
        <v/>
      </c>
      <c r="H71" s="64" t="b">
        <v>0</v>
      </c>
      <c r="I71" s="6" t="str">
        <f t="shared" si="3"/>
        <v/>
      </c>
      <c r="J71" s="64" t="b">
        <v>0</v>
      </c>
      <c r="K71" s="18"/>
    </row>
    <row r="72" spans="1:11" ht="15" x14ac:dyDescent="0.4">
      <c r="A72" s="4" t="str">
        <f t="shared" si="0"/>
        <v/>
      </c>
      <c r="B72" s="13"/>
      <c r="C72" s="14"/>
      <c r="D72" s="6" t="str" cm="1">
        <f t="array" aca="1" ref="D72" ca="1">IF($C72="","",COUNTIF(_xlfn.TAKE(OFFSET($C$11, 0, 0, COUNTA($C$11:$C$110),1),$A72),$C72))</f>
        <v/>
      </c>
      <c r="E72" s="6" t="str">
        <f t="shared" si="1"/>
        <v/>
      </c>
      <c r="F72" s="62" t="b">
        <v>0</v>
      </c>
      <c r="G72" s="6" t="str">
        <f t="shared" si="2"/>
        <v/>
      </c>
      <c r="H72" s="64" t="b">
        <v>0</v>
      </c>
      <c r="I72" s="6" t="str">
        <f t="shared" si="3"/>
        <v/>
      </c>
      <c r="J72" s="64" t="b">
        <v>0</v>
      </c>
      <c r="K72" s="18"/>
    </row>
    <row r="73" spans="1:11" ht="15" x14ac:dyDescent="0.4">
      <c r="A73" s="4" t="str">
        <f t="shared" si="0"/>
        <v/>
      </c>
      <c r="B73" s="13"/>
      <c r="C73" s="14"/>
      <c r="D73" s="6" t="str" cm="1">
        <f t="array" aca="1" ref="D73" ca="1">IF($C73="","",COUNTIF(_xlfn.TAKE(OFFSET($C$11, 0, 0, COUNTA($C$11:$C$110),1),$A73),$C73))</f>
        <v/>
      </c>
      <c r="E73" s="6" t="str">
        <f t="shared" si="1"/>
        <v/>
      </c>
      <c r="F73" s="62" t="b">
        <v>0</v>
      </c>
      <c r="G73" s="6" t="str">
        <f t="shared" si="2"/>
        <v/>
      </c>
      <c r="H73" s="64" t="b">
        <v>0</v>
      </c>
      <c r="I73" s="6" t="str">
        <f t="shared" si="3"/>
        <v/>
      </c>
      <c r="J73" s="64" t="b">
        <v>0</v>
      </c>
      <c r="K73" s="18"/>
    </row>
    <row r="74" spans="1:11" ht="15" x14ac:dyDescent="0.4">
      <c r="A74" s="4" t="str">
        <f t="shared" si="0"/>
        <v/>
      </c>
      <c r="B74" s="13"/>
      <c r="C74" s="14"/>
      <c r="D74" s="6" t="str" cm="1">
        <f t="array" aca="1" ref="D74" ca="1">IF($C74="","",COUNTIF(_xlfn.TAKE(OFFSET($C$11, 0, 0, COUNTA($C$11:$C$110),1),$A74),$C74))</f>
        <v/>
      </c>
      <c r="E74" s="6" t="str">
        <f t="shared" si="1"/>
        <v/>
      </c>
      <c r="F74" s="62" t="b">
        <v>0</v>
      </c>
      <c r="G74" s="6" t="str">
        <f t="shared" si="2"/>
        <v/>
      </c>
      <c r="H74" s="64" t="b">
        <v>0</v>
      </c>
      <c r="I74" s="6" t="str">
        <f t="shared" si="3"/>
        <v/>
      </c>
      <c r="J74" s="64" t="b">
        <v>0</v>
      </c>
      <c r="K74" s="18"/>
    </row>
    <row r="75" spans="1:11" ht="15" x14ac:dyDescent="0.4">
      <c r="A75" s="4" t="str">
        <f t="shared" si="0"/>
        <v/>
      </c>
      <c r="B75" s="13"/>
      <c r="C75" s="14"/>
      <c r="D75" s="6" t="str" cm="1">
        <f t="array" aca="1" ref="D75" ca="1">IF($C75="","",COUNTIF(_xlfn.TAKE(OFFSET($C$11, 0, 0, COUNTA($C$11:$C$110),1),$A75),$C75))</f>
        <v/>
      </c>
      <c r="E75" s="6" t="str">
        <f t="shared" si="1"/>
        <v/>
      </c>
      <c r="F75" s="62" t="b">
        <v>0</v>
      </c>
      <c r="G75" s="6" t="str">
        <f t="shared" si="2"/>
        <v/>
      </c>
      <c r="H75" s="64" t="b">
        <v>0</v>
      </c>
      <c r="I75" s="6" t="str">
        <f t="shared" si="3"/>
        <v/>
      </c>
      <c r="J75" s="64" t="b">
        <v>0</v>
      </c>
      <c r="K75" s="18"/>
    </row>
    <row r="76" spans="1:11" ht="15" x14ac:dyDescent="0.4">
      <c r="A76" s="4" t="str">
        <f t="shared" ref="A76:A110" si="4">IF($B76="","",A75+1)</f>
        <v/>
      </c>
      <c r="B76" s="13"/>
      <c r="C76" s="14"/>
      <c r="D76" s="6" t="str" cm="1">
        <f t="array" aca="1" ref="D76" ca="1">IF($C76="","",COUNTIF(_xlfn.TAKE(OFFSET($C$11, 0, 0, COUNTA($C$11:$C$110),1),$A76),$C76))</f>
        <v/>
      </c>
      <c r="E76" s="6" t="str">
        <f t="shared" ref="E76:E110" si="5">IF($B76="","",IF($F75, 1, $E75+1))</f>
        <v/>
      </c>
      <c r="F76" s="62" t="b">
        <v>0</v>
      </c>
      <c r="G76" s="6" t="str">
        <f t="shared" ref="G76:G110" si="6">IF($B76="","",IF($H75, 1, $G75+1))</f>
        <v/>
      </c>
      <c r="H76" s="64" t="b">
        <v>0</v>
      </c>
      <c r="I76" s="6" t="str">
        <f t="shared" ref="I76:I110" si="7">IF($B76="","",IF($J75, 1,$I75+1))</f>
        <v/>
      </c>
      <c r="J76" s="64" t="b">
        <v>0</v>
      </c>
      <c r="K76" s="18"/>
    </row>
    <row r="77" spans="1:11" ht="15" x14ac:dyDescent="0.4">
      <c r="A77" s="4" t="str">
        <f t="shared" si="4"/>
        <v/>
      </c>
      <c r="B77" s="13"/>
      <c r="C77" s="14"/>
      <c r="D77" s="6" t="str" cm="1">
        <f t="array" aca="1" ref="D77" ca="1">IF($C77="","",COUNTIF(_xlfn.TAKE(OFFSET($C$11, 0, 0, COUNTA($C$11:$C$110),1),$A77),$C77))</f>
        <v/>
      </c>
      <c r="E77" s="6" t="str">
        <f t="shared" si="5"/>
        <v/>
      </c>
      <c r="F77" s="62" t="b">
        <v>0</v>
      </c>
      <c r="G77" s="6" t="str">
        <f t="shared" si="6"/>
        <v/>
      </c>
      <c r="H77" s="64" t="b">
        <v>0</v>
      </c>
      <c r="I77" s="6" t="str">
        <f t="shared" si="7"/>
        <v/>
      </c>
      <c r="J77" s="64" t="b">
        <v>0</v>
      </c>
      <c r="K77" s="18"/>
    </row>
    <row r="78" spans="1:11" ht="15" x14ac:dyDescent="0.4">
      <c r="A78" s="4" t="str">
        <f t="shared" si="4"/>
        <v/>
      </c>
      <c r="B78" s="13"/>
      <c r="C78" s="14"/>
      <c r="D78" s="6" t="str" cm="1">
        <f t="array" aca="1" ref="D78" ca="1">IF($C78="","",COUNTIF(_xlfn.TAKE(OFFSET($C$11, 0, 0, COUNTA($C$11:$C$110),1),$A78),$C78))</f>
        <v/>
      </c>
      <c r="E78" s="6" t="str">
        <f t="shared" si="5"/>
        <v/>
      </c>
      <c r="F78" s="62" t="b">
        <v>0</v>
      </c>
      <c r="G78" s="6" t="str">
        <f t="shared" si="6"/>
        <v/>
      </c>
      <c r="H78" s="64" t="b">
        <v>0</v>
      </c>
      <c r="I78" s="6" t="str">
        <f t="shared" si="7"/>
        <v/>
      </c>
      <c r="J78" s="64" t="b">
        <v>0</v>
      </c>
      <c r="K78" s="18"/>
    </row>
    <row r="79" spans="1:11" ht="15" x14ac:dyDescent="0.4">
      <c r="A79" s="4" t="str">
        <f t="shared" si="4"/>
        <v/>
      </c>
      <c r="B79" s="13"/>
      <c r="C79" s="14"/>
      <c r="D79" s="6" t="str" cm="1">
        <f t="array" aca="1" ref="D79" ca="1">IF($C79="","",COUNTIF(_xlfn.TAKE(OFFSET($C$11, 0, 0, COUNTA($C$11:$C$110),1),$A79),$C79))</f>
        <v/>
      </c>
      <c r="E79" s="6" t="str">
        <f t="shared" si="5"/>
        <v/>
      </c>
      <c r="F79" s="62" t="b">
        <v>0</v>
      </c>
      <c r="G79" s="6" t="str">
        <f t="shared" si="6"/>
        <v/>
      </c>
      <c r="H79" s="64" t="b">
        <v>0</v>
      </c>
      <c r="I79" s="6" t="str">
        <f t="shared" si="7"/>
        <v/>
      </c>
      <c r="J79" s="64" t="b">
        <v>0</v>
      </c>
      <c r="K79" s="18"/>
    </row>
    <row r="80" spans="1:11" ht="15" x14ac:dyDescent="0.4">
      <c r="A80" s="4" t="str">
        <f t="shared" si="4"/>
        <v/>
      </c>
      <c r="B80" s="13"/>
      <c r="C80" s="14"/>
      <c r="D80" s="6" t="str" cm="1">
        <f t="array" aca="1" ref="D80" ca="1">IF($C80="","",COUNTIF(_xlfn.TAKE(OFFSET($C$11, 0, 0, COUNTA($C$11:$C$110),1),$A80),$C80))</f>
        <v/>
      </c>
      <c r="E80" s="6" t="str">
        <f t="shared" si="5"/>
        <v/>
      </c>
      <c r="F80" s="62" t="b">
        <v>0</v>
      </c>
      <c r="G80" s="6" t="str">
        <f t="shared" si="6"/>
        <v/>
      </c>
      <c r="H80" s="64" t="b">
        <v>0</v>
      </c>
      <c r="I80" s="6" t="str">
        <f t="shared" si="7"/>
        <v/>
      </c>
      <c r="J80" s="64" t="b">
        <v>0</v>
      </c>
      <c r="K80" s="18"/>
    </row>
    <row r="81" spans="1:11" ht="15" x14ac:dyDescent="0.4">
      <c r="A81" s="4" t="str">
        <f t="shared" si="4"/>
        <v/>
      </c>
      <c r="B81" s="13"/>
      <c r="C81" s="14"/>
      <c r="D81" s="6" t="str" cm="1">
        <f t="array" aca="1" ref="D81" ca="1">IF($C81="","",COUNTIF(_xlfn.TAKE(OFFSET($C$11, 0, 0, COUNTA($C$11:$C$110),1),$A81),$C81))</f>
        <v/>
      </c>
      <c r="E81" s="6" t="str">
        <f t="shared" si="5"/>
        <v/>
      </c>
      <c r="F81" s="62" t="b">
        <v>0</v>
      </c>
      <c r="G81" s="6" t="str">
        <f t="shared" si="6"/>
        <v/>
      </c>
      <c r="H81" s="64" t="b">
        <v>0</v>
      </c>
      <c r="I81" s="6" t="str">
        <f t="shared" si="7"/>
        <v/>
      </c>
      <c r="J81" s="64" t="b">
        <v>0</v>
      </c>
      <c r="K81" s="18"/>
    </row>
    <row r="82" spans="1:11" ht="15" x14ac:dyDescent="0.4">
      <c r="A82" s="4" t="str">
        <f t="shared" si="4"/>
        <v/>
      </c>
      <c r="B82" s="13"/>
      <c r="C82" s="14"/>
      <c r="D82" s="6" t="str" cm="1">
        <f t="array" aca="1" ref="D82" ca="1">IF($C82="","",COUNTIF(_xlfn.TAKE(OFFSET($C$11, 0, 0, COUNTA($C$11:$C$110),1),$A82),$C82))</f>
        <v/>
      </c>
      <c r="E82" s="6" t="str">
        <f t="shared" si="5"/>
        <v/>
      </c>
      <c r="F82" s="62" t="b">
        <v>0</v>
      </c>
      <c r="G82" s="6" t="str">
        <f t="shared" si="6"/>
        <v/>
      </c>
      <c r="H82" s="64" t="b">
        <v>0</v>
      </c>
      <c r="I82" s="6" t="str">
        <f t="shared" si="7"/>
        <v/>
      </c>
      <c r="J82" s="64" t="b">
        <v>0</v>
      </c>
      <c r="K82" s="18"/>
    </row>
    <row r="83" spans="1:11" ht="15" x14ac:dyDescent="0.4">
      <c r="A83" s="4" t="str">
        <f t="shared" si="4"/>
        <v/>
      </c>
      <c r="B83" s="13"/>
      <c r="C83" s="14"/>
      <c r="D83" s="6" t="str" cm="1">
        <f t="array" aca="1" ref="D83" ca="1">IF($C83="","",COUNTIF(_xlfn.TAKE(OFFSET($C$11, 0, 0, COUNTA($C$11:$C$110),1),$A83),$C83))</f>
        <v/>
      </c>
      <c r="E83" s="6" t="str">
        <f t="shared" si="5"/>
        <v/>
      </c>
      <c r="F83" s="62" t="b">
        <v>0</v>
      </c>
      <c r="G83" s="6" t="str">
        <f t="shared" si="6"/>
        <v/>
      </c>
      <c r="H83" s="64" t="b">
        <v>0</v>
      </c>
      <c r="I83" s="6" t="str">
        <f t="shared" si="7"/>
        <v/>
      </c>
      <c r="J83" s="64" t="b">
        <v>0</v>
      </c>
      <c r="K83" s="18"/>
    </row>
    <row r="84" spans="1:11" ht="15" x14ac:dyDescent="0.4">
      <c r="A84" s="4" t="str">
        <f t="shared" si="4"/>
        <v/>
      </c>
      <c r="B84" s="13"/>
      <c r="C84" s="14"/>
      <c r="D84" s="6" t="str" cm="1">
        <f t="array" aca="1" ref="D84" ca="1">IF($C84="","",COUNTIF(_xlfn.TAKE(OFFSET($C$11, 0, 0, COUNTA($C$11:$C$110),1),$A84),$C84))</f>
        <v/>
      </c>
      <c r="E84" s="6" t="str">
        <f t="shared" si="5"/>
        <v/>
      </c>
      <c r="F84" s="62" t="b">
        <v>0</v>
      </c>
      <c r="G84" s="6" t="str">
        <f t="shared" si="6"/>
        <v/>
      </c>
      <c r="H84" s="64" t="b">
        <v>0</v>
      </c>
      <c r="I84" s="6" t="str">
        <f t="shared" si="7"/>
        <v/>
      </c>
      <c r="J84" s="64" t="b">
        <v>0</v>
      </c>
      <c r="K84" s="18"/>
    </row>
    <row r="85" spans="1:11" ht="15" x14ac:dyDescent="0.4">
      <c r="A85" s="4" t="str">
        <f t="shared" si="4"/>
        <v/>
      </c>
      <c r="B85" s="13"/>
      <c r="C85" s="14"/>
      <c r="D85" s="6" t="str" cm="1">
        <f t="array" aca="1" ref="D85" ca="1">IF($C85="","",COUNTIF(_xlfn.TAKE(OFFSET($C$11, 0, 0, COUNTA($C$11:$C$110),1),$A85),$C85))</f>
        <v/>
      </c>
      <c r="E85" s="6" t="str">
        <f t="shared" si="5"/>
        <v/>
      </c>
      <c r="F85" s="62" t="b">
        <v>0</v>
      </c>
      <c r="G85" s="6" t="str">
        <f t="shared" si="6"/>
        <v/>
      </c>
      <c r="H85" s="64" t="b">
        <v>0</v>
      </c>
      <c r="I85" s="6" t="str">
        <f t="shared" si="7"/>
        <v/>
      </c>
      <c r="J85" s="64" t="b">
        <v>0</v>
      </c>
      <c r="K85" s="18"/>
    </row>
    <row r="86" spans="1:11" ht="15" x14ac:dyDescent="0.4">
      <c r="A86" s="4" t="str">
        <f t="shared" si="4"/>
        <v/>
      </c>
      <c r="B86" s="13"/>
      <c r="C86" s="14"/>
      <c r="D86" s="6" t="str" cm="1">
        <f t="array" aca="1" ref="D86" ca="1">IF($C86="","",COUNTIF(_xlfn.TAKE(OFFSET($C$11, 0, 0, COUNTA($C$11:$C$110),1),$A86),$C86))</f>
        <v/>
      </c>
      <c r="E86" s="6" t="str">
        <f t="shared" si="5"/>
        <v/>
      </c>
      <c r="F86" s="62" t="b">
        <v>0</v>
      </c>
      <c r="G86" s="6" t="str">
        <f t="shared" si="6"/>
        <v/>
      </c>
      <c r="H86" s="64" t="b">
        <v>0</v>
      </c>
      <c r="I86" s="6" t="str">
        <f t="shared" si="7"/>
        <v/>
      </c>
      <c r="J86" s="64" t="b">
        <v>0</v>
      </c>
      <c r="K86" s="18"/>
    </row>
    <row r="87" spans="1:11" ht="15" x14ac:dyDescent="0.4">
      <c r="A87" s="4" t="str">
        <f t="shared" si="4"/>
        <v/>
      </c>
      <c r="B87" s="13"/>
      <c r="C87" s="14"/>
      <c r="D87" s="6" t="str" cm="1">
        <f t="array" aca="1" ref="D87" ca="1">IF($C87="","",COUNTIF(_xlfn.TAKE(OFFSET($C$11, 0, 0, COUNTA($C$11:$C$110),1),$A87),$C87))</f>
        <v/>
      </c>
      <c r="E87" s="6" t="str">
        <f t="shared" si="5"/>
        <v/>
      </c>
      <c r="F87" s="62" t="b">
        <v>0</v>
      </c>
      <c r="G87" s="6" t="str">
        <f t="shared" si="6"/>
        <v/>
      </c>
      <c r="H87" s="64" t="b">
        <v>0</v>
      </c>
      <c r="I87" s="6" t="str">
        <f t="shared" si="7"/>
        <v/>
      </c>
      <c r="J87" s="64" t="b">
        <v>0</v>
      </c>
      <c r="K87" s="18"/>
    </row>
    <row r="88" spans="1:11" ht="15" x14ac:dyDescent="0.4">
      <c r="A88" s="4" t="str">
        <f t="shared" si="4"/>
        <v/>
      </c>
      <c r="B88" s="13"/>
      <c r="C88" s="14"/>
      <c r="D88" s="6" t="str" cm="1">
        <f t="array" aca="1" ref="D88" ca="1">IF($C88="","",COUNTIF(_xlfn.TAKE(OFFSET($C$11, 0, 0, COUNTA($C$11:$C$110),1),$A88),$C88))</f>
        <v/>
      </c>
      <c r="E88" s="6" t="str">
        <f t="shared" si="5"/>
        <v/>
      </c>
      <c r="F88" s="62" t="b">
        <v>0</v>
      </c>
      <c r="G88" s="6" t="str">
        <f t="shared" si="6"/>
        <v/>
      </c>
      <c r="H88" s="64" t="b">
        <v>0</v>
      </c>
      <c r="I88" s="6" t="str">
        <f t="shared" si="7"/>
        <v/>
      </c>
      <c r="J88" s="64" t="b">
        <v>0</v>
      </c>
      <c r="K88" s="18"/>
    </row>
    <row r="89" spans="1:11" ht="15" x14ac:dyDescent="0.4">
      <c r="A89" s="4" t="str">
        <f t="shared" si="4"/>
        <v/>
      </c>
      <c r="B89" s="13"/>
      <c r="C89" s="14"/>
      <c r="D89" s="6" t="str" cm="1">
        <f t="array" aca="1" ref="D89" ca="1">IF($C89="","",COUNTIF(_xlfn.TAKE(OFFSET($C$11, 0, 0, COUNTA($C$11:$C$110),1),$A89),$C89))</f>
        <v/>
      </c>
      <c r="E89" s="6" t="str">
        <f t="shared" si="5"/>
        <v/>
      </c>
      <c r="F89" s="62" t="b">
        <v>0</v>
      </c>
      <c r="G89" s="6" t="str">
        <f t="shared" si="6"/>
        <v/>
      </c>
      <c r="H89" s="64" t="b">
        <v>0</v>
      </c>
      <c r="I89" s="6" t="str">
        <f t="shared" si="7"/>
        <v/>
      </c>
      <c r="J89" s="64" t="b">
        <v>0</v>
      </c>
      <c r="K89" s="18"/>
    </row>
    <row r="90" spans="1:11" ht="15" x14ac:dyDescent="0.4">
      <c r="A90" s="4" t="str">
        <f t="shared" si="4"/>
        <v/>
      </c>
      <c r="B90" s="13"/>
      <c r="C90" s="14"/>
      <c r="D90" s="6" t="str" cm="1">
        <f t="array" aca="1" ref="D90" ca="1">IF($C90="","",COUNTIF(_xlfn.TAKE(OFFSET($C$11, 0, 0, COUNTA($C$11:$C$110),1),$A90),$C90))</f>
        <v/>
      </c>
      <c r="E90" s="6" t="str">
        <f t="shared" si="5"/>
        <v/>
      </c>
      <c r="F90" s="62" t="b">
        <v>0</v>
      </c>
      <c r="G90" s="6" t="str">
        <f t="shared" si="6"/>
        <v/>
      </c>
      <c r="H90" s="64" t="b">
        <v>0</v>
      </c>
      <c r="I90" s="6" t="str">
        <f t="shared" si="7"/>
        <v/>
      </c>
      <c r="J90" s="64" t="b">
        <v>0</v>
      </c>
      <c r="K90" s="18"/>
    </row>
    <row r="91" spans="1:11" ht="15" x14ac:dyDescent="0.4">
      <c r="A91" s="4" t="str">
        <f t="shared" si="4"/>
        <v/>
      </c>
      <c r="B91" s="13"/>
      <c r="C91" s="14"/>
      <c r="D91" s="6" t="str" cm="1">
        <f t="array" aca="1" ref="D91" ca="1">IF($C91="","",COUNTIF(_xlfn.TAKE(OFFSET($C$11, 0, 0, COUNTA($C$11:$C$110),1),$A91),$C91))</f>
        <v/>
      </c>
      <c r="E91" s="6" t="str">
        <f t="shared" si="5"/>
        <v/>
      </c>
      <c r="F91" s="62" t="b">
        <v>0</v>
      </c>
      <c r="G91" s="6" t="str">
        <f t="shared" si="6"/>
        <v/>
      </c>
      <c r="H91" s="64" t="b">
        <v>0</v>
      </c>
      <c r="I91" s="6" t="str">
        <f t="shared" si="7"/>
        <v/>
      </c>
      <c r="J91" s="64" t="b">
        <v>0</v>
      </c>
      <c r="K91" s="18"/>
    </row>
    <row r="92" spans="1:11" ht="15" x14ac:dyDescent="0.4">
      <c r="A92" s="4" t="str">
        <f t="shared" si="4"/>
        <v/>
      </c>
      <c r="B92" s="13"/>
      <c r="C92" s="14"/>
      <c r="D92" s="6" t="str" cm="1">
        <f t="array" aca="1" ref="D92" ca="1">IF($C92="","",COUNTIF(_xlfn.TAKE(OFFSET($C$11, 0, 0, COUNTA($C$11:$C$110),1),$A92),$C92))</f>
        <v/>
      </c>
      <c r="E92" s="6" t="str">
        <f t="shared" si="5"/>
        <v/>
      </c>
      <c r="F92" s="62" t="b">
        <v>0</v>
      </c>
      <c r="G92" s="6" t="str">
        <f t="shared" si="6"/>
        <v/>
      </c>
      <c r="H92" s="64" t="b">
        <v>0</v>
      </c>
      <c r="I92" s="6" t="str">
        <f t="shared" si="7"/>
        <v/>
      </c>
      <c r="J92" s="64" t="b">
        <v>0</v>
      </c>
      <c r="K92" s="18"/>
    </row>
    <row r="93" spans="1:11" ht="15" x14ac:dyDescent="0.4">
      <c r="A93" s="4" t="str">
        <f t="shared" si="4"/>
        <v/>
      </c>
      <c r="B93" s="13"/>
      <c r="C93" s="14"/>
      <c r="D93" s="6" t="str" cm="1">
        <f t="array" aca="1" ref="D93" ca="1">IF($C93="","",COUNTIF(_xlfn.TAKE(OFFSET($C$11, 0, 0, COUNTA($C$11:$C$110),1),$A93),$C93))</f>
        <v/>
      </c>
      <c r="E93" s="6" t="str">
        <f t="shared" si="5"/>
        <v/>
      </c>
      <c r="F93" s="62" t="b">
        <v>0</v>
      </c>
      <c r="G93" s="6" t="str">
        <f t="shared" si="6"/>
        <v/>
      </c>
      <c r="H93" s="64" t="b">
        <v>0</v>
      </c>
      <c r="I93" s="6" t="str">
        <f t="shared" si="7"/>
        <v/>
      </c>
      <c r="J93" s="64" t="b">
        <v>0</v>
      </c>
      <c r="K93" s="18"/>
    </row>
    <row r="94" spans="1:11" ht="15" x14ac:dyDescent="0.4">
      <c r="A94" s="4" t="str">
        <f t="shared" si="4"/>
        <v/>
      </c>
      <c r="B94" s="13"/>
      <c r="C94" s="14"/>
      <c r="D94" s="6" t="str" cm="1">
        <f t="array" aca="1" ref="D94" ca="1">IF($C94="","",COUNTIF(_xlfn.TAKE(OFFSET($C$11, 0, 0, COUNTA($C$11:$C$110),1),$A94),$C94))</f>
        <v/>
      </c>
      <c r="E94" s="6" t="str">
        <f t="shared" si="5"/>
        <v/>
      </c>
      <c r="F94" s="62" t="b">
        <v>0</v>
      </c>
      <c r="G94" s="6" t="str">
        <f t="shared" si="6"/>
        <v/>
      </c>
      <c r="H94" s="64" t="b">
        <v>0</v>
      </c>
      <c r="I94" s="6" t="str">
        <f t="shared" si="7"/>
        <v/>
      </c>
      <c r="J94" s="64" t="b">
        <v>0</v>
      </c>
      <c r="K94" s="18"/>
    </row>
    <row r="95" spans="1:11" ht="15" x14ac:dyDescent="0.4">
      <c r="A95" s="4" t="str">
        <f t="shared" si="4"/>
        <v/>
      </c>
      <c r="B95" s="13"/>
      <c r="C95" s="14"/>
      <c r="D95" s="6" t="str" cm="1">
        <f t="array" aca="1" ref="D95" ca="1">IF($C95="","",COUNTIF(_xlfn.TAKE(OFFSET($C$11, 0, 0, COUNTA($C$11:$C$110),1),$A95),$C95))</f>
        <v/>
      </c>
      <c r="E95" s="6" t="str">
        <f t="shared" si="5"/>
        <v/>
      </c>
      <c r="F95" s="62" t="b">
        <v>0</v>
      </c>
      <c r="G95" s="6" t="str">
        <f t="shared" si="6"/>
        <v/>
      </c>
      <c r="H95" s="64" t="b">
        <v>0</v>
      </c>
      <c r="I95" s="6" t="str">
        <f t="shared" si="7"/>
        <v/>
      </c>
      <c r="J95" s="64" t="b">
        <v>0</v>
      </c>
      <c r="K95" s="18"/>
    </row>
    <row r="96" spans="1:11" ht="15" x14ac:dyDescent="0.4">
      <c r="A96" s="4" t="str">
        <f t="shared" si="4"/>
        <v/>
      </c>
      <c r="B96" s="13"/>
      <c r="C96" s="14"/>
      <c r="D96" s="6" t="str" cm="1">
        <f t="array" aca="1" ref="D96" ca="1">IF($C96="","",COUNTIF(_xlfn.TAKE(OFFSET($C$11, 0, 0, COUNTA($C$11:$C$110),1),$A96),$C96))</f>
        <v/>
      </c>
      <c r="E96" s="6" t="str">
        <f t="shared" si="5"/>
        <v/>
      </c>
      <c r="F96" s="62" t="b">
        <v>0</v>
      </c>
      <c r="G96" s="6" t="str">
        <f t="shared" si="6"/>
        <v/>
      </c>
      <c r="H96" s="64" t="b">
        <v>0</v>
      </c>
      <c r="I96" s="6" t="str">
        <f t="shared" si="7"/>
        <v/>
      </c>
      <c r="J96" s="64" t="b">
        <v>0</v>
      </c>
      <c r="K96" s="18"/>
    </row>
    <row r="97" spans="1:11" ht="15" x14ac:dyDescent="0.4">
      <c r="A97" s="4" t="str">
        <f t="shared" si="4"/>
        <v/>
      </c>
      <c r="B97" s="13"/>
      <c r="C97" s="14"/>
      <c r="D97" s="6" t="str" cm="1">
        <f t="array" aca="1" ref="D97" ca="1">IF($C97="","",COUNTIF(_xlfn.TAKE(OFFSET($C$11, 0, 0, COUNTA($C$11:$C$110),1),$A97),$C97))</f>
        <v/>
      </c>
      <c r="E97" s="6" t="str">
        <f t="shared" si="5"/>
        <v/>
      </c>
      <c r="F97" s="62" t="b">
        <v>0</v>
      </c>
      <c r="G97" s="6" t="str">
        <f t="shared" si="6"/>
        <v/>
      </c>
      <c r="H97" s="64" t="b">
        <v>0</v>
      </c>
      <c r="I97" s="6" t="str">
        <f t="shared" si="7"/>
        <v/>
      </c>
      <c r="J97" s="64" t="b">
        <v>0</v>
      </c>
      <c r="K97" s="18"/>
    </row>
    <row r="98" spans="1:11" ht="15" x14ac:dyDescent="0.4">
      <c r="A98" s="4" t="str">
        <f t="shared" si="4"/>
        <v/>
      </c>
      <c r="B98" s="13"/>
      <c r="C98" s="14"/>
      <c r="D98" s="6" t="str" cm="1">
        <f t="array" aca="1" ref="D98" ca="1">IF($C98="","",COUNTIF(_xlfn.TAKE(OFFSET($C$11, 0, 0, COUNTA($C$11:$C$110),1),$A98),$C98))</f>
        <v/>
      </c>
      <c r="E98" s="6" t="str">
        <f t="shared" si="5"/>
        <v/>
      </c>
      <c r="F98" s="62" t="b">
        <v>0</v>
      </c>
      <c r="G98" s="6" t="str">
        <f t="shared" si="6"/>
        <v/>
      </c>
      <c r="H98" s="64" t="b">
        <v>0</v>
      </c>
      <c r="I98" s="6" t="str">
        <f t="shared" si="7"/>
        <v/>
      </c>
      <c r="J98" s="64" t="b">
        <v>0</v>
      </c>
      <c r="K98" s="18"/>
    </row>
    <row r="99" spans="1:11" ht="15" x14ac:dyDescent="0.4">
      <c r="A99" s="4" t="str">
        <f t="shared" si="4"/>
        <v/>
      </c>
      <c r="B99" s="13"/>
      <c r="C99" s="14"/>
      <c r="D99" s="6" t="str" cm="1">
        <f t="array" aca="1" ref="D99" ca="1">IF($C99="","",COUNTIF(_xlfn.TAKE(OFFSET($C$11, 0, 0, COUNTA($C$11:$C$110),1),$A99),$C99))</f>
        <v/>
      </c>
      <c r="E99" s="6" t="str">
        <f t="shared" si="5"/>
        <v/>
      </c>
      <c r="F99" s="62" t="b">
        <v>0</v>
      </c>
      <c r="G99" s="6" t="str">
        <f t="shared" si="6"/>
        <v/>
      </c>
      <c r="H99" s="64" t="b">
        <v>0</v>
      </c>
      <c r="I99" s="6" t="str">
        <f t="shared" si="7"/>
        <v/>
      </c>
      <c r="J99" s="64" t="b">
        <v>0</v>
      </c>
      <c r="K99" s="18"/>
    </row>
    <row r="100" spans="1:11" ht="15" x14ac:dyDescent="0.4">
      <c r="A100" s="4" t="str">
        <f t="shared" si="4"/>
        <v/>
      </c>
      <c r="B100" s="13"/>
      <c r="C100" s="14"/>
      <c r="D100" s="6" t="str" cm="1">
        <f t="array" aca="1" ref="D100" ca="1">IF($C100="","",COUNTIF(_xlfn.TAKE(OFFSET($C$11, 0, 0, COUNTA($C$11:$C$110),1),$A100),$C100))</f>
        <v/>
      </c>
      <c r="E100" s="6" t="str">
        <f t="shared" si="5"/>
        <v/>
      </c>
      <c r="F100" s="62" t="b">
        <v>0</v>
      </c>
      <c r="G100" s="6" t="str">
        <f t="shared" si="6"/>
        <v/>
      </c>
      <c r="H100" s="64" t="b">
        <v>0</v>
      </c>
      <c r="I100" s="6" t="str">
        <f t="shared" si="7"/>
        <v/>
      </c>
      <c r="J100" s="64" t="b">
        <v>0</v>
      </c>
      <c r="K100" s="18"/>
    </row>
    <row r="101" spans="1:11" ht="15" x14ac:dyDescent="0.4">
      <c r="A101" s="4" t="str">
        <f t="shared" si="4"/>
        <v/>
      </c>
      <c r="B101" s="13"/>
      <c r="C101" s="14"/>
      <c r="D101" s="6" t="str" cm="1">
        <f t="array" aca="1" ref="D101" ca="1">IF($C101="","",COUNTIF(_xlfn.TAKE(OFFSET($C$11, 0, 0, COUNTA($C$11:$C$110),1),$A101),$C101))</f>
        <v/>
      </c>
      <c r="E101" s="6" t="str">
        <f t="shared" si="5"/>
        <v/>
      </c>
      <c r="F101" s="62" t="b">
        <v>0</v>
      </c>
      <c r="G101" s="6" t="str">
        <f t="shared" si="6"/>
        <v/>
      </c>
      <c r="H101" s="64" t="b">
        <v>0</v>
      </c>
      <c r="I101" s="6" t="str">
        <f t="shared" si="7"/>
        <v/>
      </c>
      <c r="J101" s="64" t="b">
        <v>0</v>
      </c>
      <c r="K101" s="18"/>
    </row>
    <row r="102" spans="1:11" ht="15" x14ac:dyDescent="0.4">
      <c r="A102" s="4" t="str">
        <f t="shared" si="4"/>
        <v/>
      </c>
      <c r="B102" s="13"/>
      <c r="C102" s="14"/>
      <c r="D102" s="6" t="str" cm="1">
        <f t="array" aca="1" ref="D102" ca="1">IF($C102="","",COUNTIF(_xlfn.TAKE(OFFSET($C$11, 0, 0, COUNTA($C$11:$C$110),1),$A102),$C102))</f>
        <v/>
      </c>
      <c r="E102" s="6" t="str">
        <f t="shared" si="5"/>
        <v/>
      </c>
      <c r="F102" s="62" t="b">
        <v>0</v>
      </c>
      <c r="G102" s="6" t="str">
        <f t="shared" si="6"/>
        <v/>
      </c>
      <c r="H102" s="64" t="b">
        <v>0</v>
      </c>
      <c r="I102" s="6" t="str">
        <f t="shared" si="7"/>
        <v/>
      </c>
      <c r="J102" s="64" t="b">
        <v>0</v>
      </c>
      <c r="K102" s="18"/>
    </row>
    <row r="103" spans="1:11" ht="15" x14ac:dyDescent="0.4">
      <c r="A103" s="4" t="str">
        <f t="shared" si="4"/>
        <v/>
      </c>
      <c r="B103" s="13"/>
      <c r="C103" s="14"/>
      <c r="D103" s="6" t="str" cm="1">
        <f t="array" aca="1" ref="D103" ca="1">IF($C103="","",COUNTIF(_xlfn.TAKE(OFFSET($C$11, 0, 0, COUNTA($C$11:$C$110),1),$A103),$C103))</f>
        <v/>
      </c>
      <c r="E103" s="6" t="str">
        <f t="shared" si="5"/>
        <v/>
      </c>
      <c r="F103" s="62" t="b">
        <v>0</v>
      </c>
      <c r="G103" s="6" t="str">
        <f t="shared" si="6"/>
        <v/>
      </c>
      <c r="H103" s="64" t="b">
        <v>0</v>
      </c>
      <c r="I103" s="6" t="str">
        <f t="shared" si="7"/>
        <v/>
      </c>
      <c r="J103" s="64" t="b">
        <v>0</v>
      </c>
      <c r="K103" s="18"/>
    </row>
    <row r="104" spans="1:11" ht="15" x14ac:dyDescent="0.4">
      <c r="A104" s="4" t="str">
        <f t="shared" si="4"/>
        <v/>
      </c>
      <c r="B104" s="13"/>
      <c r="C104" s="14"/>
      <c r="D104" s="6" t="str" cm="1">
        <f t="array" aca="1" ref="D104" ca="1">IF($C104="","",COUNTIF(_xlfn.TAKE(OFFSET($C$11, 0, 0, COUNTA($C$11:$C$110),1),$A104),$C104))</f>
        <v/>
      </c>
      <c r="E104" s="6" t="str">
        <f t="shared" si="5"/>
        <v/>
      </c>
      <c r="F104" s="62" t="b">
        <v>0</v>
      </c>
      <c r="G104" s="6" t="str">
        <f t="shared" si="6"/>
        <v/>
      </c>
      <c r="H104" s="64" t="b">
        <v>0</v>
      </c>
      <c r="I104" s="6" t="str">
        <f t="shared" si="7"/>
        <v/>
      </c>
      <c r="J104" s="64" t="b">
        <v>0</v>
      </c>
      <c r="K104" s="18"/>
    </row>
    <row r="105" spans="1:11" ht="15" x14ac:dyDescent="0.4">
      <c r="A105" s="4" t="str">
        <f t="shared" si="4"/>
        <v/>
      </c>
      <c r="B105" s="13"/>
      <c r="C105" s="14"/>
      <c r="D105" s="6" t="str" cm="1">
        <f t="array" aca="1" ref="D105" ca="1">IF($C105="","",COUNTIF(_xlfn.TAKE(OFFSET($C$11, 0, 0, COUNTA($C$11:$C$110),1),$A105),$C105))</f>
        <v/>
      </c>
      <c r="E105" s="6" t="str">
        <f t="shared" si="5"/>
        <v/>
      </c>
      <c r="F105" s="62" t="b">
        <v>0</v>
      </c>
      <c r="G105" s="6" t="str">
        <f t="shared" si="6"/>
        <v/>
      </c>
      <c r="H105" s="64" t="b">
        <v>0</v>
      </c>
      <c r="I105" s="6" t="str">
        <f t="shared" si="7"/>
        <v/>
      </c>
      <c r="J105" s="64" t="b">
        <v>0</v>
      </c>
      <c r="K105" s="18"/>
    </row>
    <row r="106" spans="1:11" ht="15" x14ac:dyDescent="0.4">
      <c r="A106" s="4" t="str">
        <f t="shared" si="4"/>
        <v/>
      </c>
      <c r="B106" s="13"/>
      <c r="C106" s="14"/>
      <c r="D106" s="6" t="str" cm="1">
        <f t="array" aca="1" ref="D106" ca="1">IF($C106="","",COUNTIF(_xlfn.TAKE(OFFSET($C$11, 0, 0, COUNTA($C$11:$C$110),1),$A106),$C106))</f>
        <v/>
      </c>
      <c r="E106" s="6" t="str">
        <f t="shared" si="5"/>
        <v/>
      </c>
      <c r="F106" s="62" t="b">
        <v>0</v>
      </c>
      <c r="G106" s="6" t="str">
        <f t="shared" si="6"/>
        <v/>
      </c>
      <c r="H106" s="64" t="b">
        <v>0</v>
      </c>
      <c r="I106" s="6" t="str">
        <f t="shared" si="7"/>
        <v/>
      </c>
      <c r="J106" s="64" t="b">
        <v>0</v>
      </c>
      <c r="K106" s="18"/>
    </row>
    <row r="107" spans="1:11" ht="15" x14ac:dyDescent="0.4">
      <c r="A107" s="4" t="str">
        <f t="shared" si="4"/>
        <v/>
      </c>
      <c r="B107" s="13"/>
      <c r="C107" s="14"/>
      <c r="D107" s="6" t="str" cm="1">
        <f t="array" aca="1" ref="D107" ca="1">IF($C107="","",COUNTIF(_xlfn.TAKE(OFFSET($C$11, 0, 0, COUNTA($C$11:$C$110),1),$A107),$C107))</f>
        <v/>
      </c>
      <c r="E107" s="6" t="str">
        <f t="shared" si="5"/>
        <v/>
      </c>
      <c r="F107" s="62" t="b">
        <v>0</v>
      </c>
      <c r="G107" s="6" t="str">
        <f t="shared" si="6"/>
        <v/>
      </c>
      <c r="H107" s="64" t="b">
        <v>0</v>
      </c>
      <c r="I107" s="6" t="str">
        <f t="shared" si="7"/>
        <v/>
      </c>
      <c r="J107" s="64" t="b">
        <v>0</v>
      </c>
      <c r="K107" s="18"/>
    </row>
    <row r="108" spans="1:11" ht="15" x14ac:dyDescent="0.4">
      <c r="A108" s="4" t="str">
        <f t="shared" si="4"/>
        <v/>
      </c>
      <c r="B108" s="13"/>
      <c r="C108" s="14"/>
      <c r="D108" s="6" t="str" cm="1">
        <f t="array" aca="1" ref="D108" ca="1">IF($C108="","",COUNTIF(_xlfn.TAKE(OFFSET($C$11, 0, 0, COUNTA($C$11:$C$110),1),$A108),$C108))</f>
        <v/>
      </c>
      <c r="E108" s="6" t="str">
        <f t="shared" si="5"/>
        <v/>
      </c>
      <c r="F108" s="62" t="b">
        <v>0</v>
      </c>
      <c r="G108" s="6" t="str">
        <f t="shared" si="6"/>
        <v/>
      </c>
      <c r="H108" s="64" t="b">
        <v>0</v>
      </c>
      <c r="I108" s="6" t="str">
        <f t="shared" si="7"/>
        <v/>
      </c>
      <c r="J108" s="64" t="b">
        <v>0</v>
      </c>
      <c r="K108" s="18"/>
    </row>
    <row r="109" spans="1:11" ht="15" x14ac:dyDescent="0.4">
      <c r="A109" s="4" t="str">
        <f t="shared" si="4"/>
        <v/>
      </c>
      <c r="B109" s="13"/>
      <c r="C109" s="14"/>
      <c r="D109" s="6" t="str" cm="1">
        <f t="array" aca="1" ref="D109" ca="1">IF($C109="","",COUNTIF(_xlfn.TAKE(OFFSET($C$11, 0, 0, COUNTA($C$11:$C$110),1),$A109),$C109))</f>
        <v/>
      </c>
      <c r="E109" s="6" t="str">
        <f t="shared" si="5"/>
        <v/>
      </c>
      <c r="F109" s="62" t="b">
        <v>0</v>
      </c>
      <c r="G109" s="6" t="str">
        <f t="shared" si="6"/>
        <v/>
      </c>
      <c r="H109" s="64" t="b">
        <v>0</v>
      </c>
      <c r="I109" s="6" t="str">
        <f t="shared" si="7"/>
        <v/>
      </c>
      <c r="J109" s="64" t="b">
        <v>0</v>
      </c>
      <c r="K109" s="18"/>
    </row>
    <row r="110" spans="1:11" ht="15.5" thickBot="1" x14ac:dyDescent="0.45">
      <c r="A110" s="28" t="str">
        <f t="shared" si="4"/>
        <v/>
      </c>
      <c r="B110" s="15"/>
      <c r="C110" s="16"/>
      <c r="D110" s="10" t="str" cm="1">
        <f t="array" aca="1" ref="D110" ca="1">IF($C110="","",COUNTIF(_xlfn.TAKE(OFFSET($C$11, 0, 0, COUNTA($C$11:$C$110),1),$A110),$C110))</f>
        <v/>
      </c>
      <c r="E110" s="10" t="str">
        <f t="shared" si="5"/>
        <v/>
      </c>
      <c r="F110" s="63" t="b">
        <v>0</v>
      </c>
      <c r="G110" s="10" t="str">
        <f t="shared" si="6"/>
        <v/>
      </c>
      <c r="H110" s="65" t="b">
        <v>0</v>
      </c>
      <c r="I110" s="10" t="str">
        <f t="shared" si="7"/>
        <v/>
      </c>
      <c r="J110" s="65" t="b">
        <v>0</v>
      </c>
      <c r="K110" s="19"/>
    </row>
  </sheetData>
  <mergeCells count="10">
    <mergeCell ref="A1:C1"/>
    <mergeCell ref="A2:C2"/>
    <mergeCell ref="B4:C4"/>
    <mergeCell ref="E8:F8"/>
    <mergeCell ref="I8:J8"/>
    <mergeCell ref="A8:A9"/>
    <mergeCell ref="B8:B9"/>
    <mergeCell ref="C8:C9"/>
    <mergeCell ref="D8:D9"/>
    <mergeCell ref="G8:H8"/>
  </mergeCells>
  <dataValidations count="1">
    <dataValidation type="list" showErrorMessage="1" sqref="C11:C110" xr:uid="{0A55CF52-4F41-451A-965C-BDEE6C2DE578}">
      <formula1>ResortNames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24E57-A98F-45B4-91ED-070D2113C2FF}">
  <sheetPr codeName="Sheet3"/>
  <dimension ref="A1:Z119"/>
  <sheetViews>
    <sheetView topLeftCell="A53" zoomScale="80" zoomScaleNormal="80" workbookViewId="0">
      <selection activeCell="C14" sqref="C14"/>
    </sheetView>
  </sheetViews>
  <sheetFormatPr defaultRowHeight="14.5" x14ac:dyDescent="0.35"/>
  <cols>
    <col min="1" max="1" width="5.54296875" customWidth="1"/>
    <col min="2" max="2" width="18.54296875" style="1" customWidth="1"/>
    <col min="3" max="3" width="25.54296875" customWidth="1"/>
    <col min="4" max="6" width="8.54296875" customWidth="1"/>
    <col min="7" max="7" width="18.54296875" customWidth="1"/>
    <col min="8" max="8" width="10.453125" customWidth="1"/>
    <col min="9" max="9" width="10.90625" customWidth="1"/>
    <col min="10" max="10" width="9.6328125" customWidth="1"/>
    <col min="11" max="11" width="10.08984375" customWidth="1"/>
    <col min="12" max="12" width="10.54296875" customWidth="1"/>
    <col min="13" max="13" width="11" customWidth="1"/>
    <col min="14" max="14" width="10.36328125" customWidth="1"/>
    <col min="15" max="15" width="10.81640625" customWidth="1"/>
    <col min="16" max="16" width="9.54296875" customWidth="1"/>
    <col min="17" max="17" width="10" customWidth="1"/>
    <col min="18" max="18" width="10.453125" customWidth="1"/>
    <col min="19" max="19" width="10.90625" customWidth="1"/>
    <col min="20" max="20" width="10.36328125" customWidth="1"/>
    <col min="21" max="21" width="10.81640625" customWidth="1"/>
    <col min="22" max="22" width="9.54296875" customWidth="1"/>
    <col min="23" max="23" width="10" customWidth="1"/>
    <col min="24" max="24" width="10.453125" customWidth="1"/>
    <col min="25" max="25" width="10.90625" customWidth="1"/>
    <col min="26" max="26" width="50.54296875" customWidth="1"/>
  </cols>
  <sheetData>
    <row r="1" spans="1:26" ht="18.5" x14ac:dyDescent="0.45">
      <c r="A1" s="154" t="str">
        <f>WorkbookTitle</f>
        <v>Bob's Ski Days</v>
      </c>
      <c r="B1" s="154"/>
      <c r="C1" s="154"/>
    </row>
    <row r="2" spans="1:26" ht="18.5" x14ac:dyDescent="0.45">
      <c r="A2" s="155" t="str" cm="1">
        <f t="array" aca="1" ref="A2" ca="1">GetWorksheetName()</f>
        <v>2024-2025</v>
      </c>
      <c r="B2" s="155"/>
      <c r="C2" s="155"/>
    </row>
    <row r="3" spans="1:26" ht="19" thickBot="1" x14ac:dyDescent="0.5">
      <c r="A3" s="9"/>
      <c r="B3" s="2"/>
      <c r="C3" s="1"/>
    </row>
    <row r="4" spans="1:26" ht="16" customHeight="1" thickBot="1" x14ac:dyDescent="0.4">
      <c r="B4" s="50" t="s">
        <v>22</v>
      </c>
      <c r="C4" s="51"/>
      <c r="D4" s="51"/>
      <c r="E4" s="51"/>
      <c r="F4" s="51"/>
      <c r="G4" s="52"/>
    </row>
    <row r="5" spans="1:26" ht="16" customHeight="1" x14ac:dyDescent="0.35">
      <c r="B5" s="189" t="s">
        <v>21</v>
      </c>
      <c r="C5" s="189" t="s">
        <v>46</v>
      </c>
      <c r="D5" s="191" t="s">
        <v>44</v>
      </c>
      <c r="E5" s="192"/>
      <c r="F5" s="191" t="s">
        <v>45</v>
      </c>
      <c r="G5" s="192"/>
      <c r="H5" s="153"/>
      <c r="I5" s="153"/>
    </row>
    <row r="6" spans="1:26" s="8" customFormat="1" ht="15" thickBot="1" x14ac:dyDescent="0.4">
      <c r="B6" s="190"/>
      <c r="C6" s="190"/>
      <c r="D6" s="21" t="s">
        <v>47</v>
      </c>
      <c r="E6" s="44" t="s">
        <v>48</v>
      </c>
      <c r="F6" s="43" t="s">
        <v>47</v>
      </c>
      <c r="G6" s="44" t="s">
        <v>48</v>
      </c>
      <c r="H6" s="153"/>
      <c r="I6" s="153"/>
    </row>
    <row r="7" spans="1:26" s="8" customFormat="1" ht="16" thickBot="1" x14ac:dyDescent="0.4">
      <c r="A7" s="20"/>
      <c r="B7" s="45">
        <f ca="1">COUNT(OFFSET($B$14, 0, 0, COUNTA($B$14:$B$113),1))</f>
        <v>50</v>
      </c>
      <c r="C7" s="45" cm="1">
        <f t="array" aca="1" ref="C7" ca="1">IFERROR(SUMPRODUCT(1/COUNTIF(OFFSET($C$14, 0, 0, COUNTA($C$14:$C$113),1),OFFSET($C$14, 0, 0, COUNTA($C$14:$C$113),1))),"")</f>
        <v>10.999999999999998</v>
      </c>
      <c r="D7" s="46">
        <f>SUM($E$14:$E113)</f>
        <v>385350</v>
      </c>
      <c r="E7" s="47">
        <f>IFERROR($D$7/COUNTA($E$14:$E113),"-")</f>
        <v>8028.125</v>
      </c>
      <c r="F7" s="46">
        <f>SUM($F$14:$F120)</f>
        <v>65111</v>
      </c>
      <c r="G7" s="47">
        <f>IFERROR(F7/COUNTA($F$14:$F120),"-")</f>
        <v>1356.4791666666667</v>
      </c>
      <c r="H7" s="42"/>
      <c r="I7" s="42"/>
    </row>
    <row r="8" spans="1:26" ht="15" thickBot="1" x14ac:dyDescent="0.4"/>
    <row r="9" spans="1:26" ht="15" thickBot="1" x14ac:dyDescent="0.4">
      <c r="A9" s="172" t="s">
        <v>0</v>
      </c>
      <c r="B9" s="175" t="s">
        <v>1</v>
      </c>
      <c r="C9" s="160" t="s">
        <v>2</v>
      </c>
      <c r="D9" s="180" t="s">
        <v>18</v>
      </c>
      <c r="E9" s="169" t="s">
        <v>44</v>
      </c>
      <c r="F9" s="169" t="s">
        <v>45</v>
      </c>
      <c r="G9" s="180" t="s">
        <v>49</v>
      </c>
      <c r="H9" s="167" t="s">
        <v>43</v>
      </c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71"/>
      <c r="Z9" s="193" t="s">
        <v>15</v>
      </c>
    </row>
    <row r="10" spans="1:26" ht="14.5" customHeight="1" x14ac:dyDescent="0.35">
      <c r="A10" s="173"/>
      <c r="B10" s="176"/>
      <c r="C10" s="178"/>
      <c r="D10" s="181"/>
      <c r="E10" s="188"/>
      <c r="F10" s="188"/>
      <c r="G10" s="183"/>
      <c r="H10" s="172" t="str">
        <f>Skis!A5</f>
        <v>Stöckli Montero AS</v>
      </c>
      <c r="I10" s="160"/>
      <c r="J10" s="160"/>
      <c r="K10" s="160"/>
      <c r="L10" s="160"/>
      <c r="M10" s="196"/>
      <c r="N10" s="172" t="str">
        <f>Skis!A6</f>
        <v>Rossignal Sin 7</v>
      </c>
      <c r="O10" s="160"/>
      <c r="P10" s="160"/>
      <c r="Q10" s="160"/>
      <c r="R10" s="160"/>
      <c r="S10" s="196"/>
      <c r="T10" s="172" t="str">
        <f>Skis!A4</f>
        <v>Stöckli Stormrider 102</v>
      </c>
      <c r="U10" s="160"/>
      <c r="V10" s="160"/>
      <c r="W10" s="160"/>
      <c r="X10" s="160"/>
      <c r="Y10" s="187"/>
      <c r="Z10" s="194"/>
    </row>
    <row r="11" spans="1:26" ht="14.5" customHeight="1" x14ac:dyDescent="0.35">
      <c r="A11" s="173"/>
      <c r="B11" s="176"/>
      <c r="C11" s="178"/>
      <c r="D11" s="181"/>
      <c r="E11" s="188"/>
      <c r="F11" s="188"/>
      <c r="G11" s="183"/>
      <c r="H11" s="173" t="s">
        <v>3</v>
      </c>
      <c r="I11" s="178"/>
      <c r="J11" s="178" t="s">
        <v>26</v>
      </c>
      <c r="K11" s="178"/>
      <c r="L11" s="178" t="s">
        <v>27</v>
      </c>
      <c r="M11" s="185"/>
      <c r="N11" s="173" t="s">
        <v>3</v>
      </c>
      <c r="O11" s="178"/>
      <c r="P11" s="178" t="s">
        <v>26</v>
      </c>
      <c r="Q11" s="178"/>
      <c r="R11" s="178" t="s">
        <v>27</v>
      </c>
      <c r="S11" s="185"/>
      <c r="T11" s="173" t="s">
        <v>3</v>
      </c>
      <c r="U11" s="178"/>
      <c r="V11" s="178" t="s">
        <v>26</v>
      </c>
      <c r="W11" s="178"/>
      <c r="X11" s="178" t="s">
        <v>27</v>
      </c>
      <c r="Y11" s="186"/>
      <c r="Z11" s="194"/>
    </row>
    <row r="12" spans="1:26" ht="15" thickBot="1" x14ac:dyDescent="0.4">
      <c r="A12" s="174"/>
      <c r="B12" s="177"/>
      <c r="C12" s="179"/>
      <c r="D12" s="182"/>
      <c r="E12" s="170"/>
      <c r="F12" s="170"/>
      <c r="G12" s="184"/>
      <c r="H12" s="30" t="s">
        <v>21</v>
      </c>
      <c r="I12" s="25" t="s">
        <v>20</v>
      </c>
      <c r="J12" s="25" t="s">
        <v>21</v>
      </c>
      <c r="K12" s="25" t="s">
        <v>20</v>
      </c>
      <c r="L12" s="25" t="s">
        <v>21</v>
      </c>
      <c r="M12" s="26" t="s">
        <v>20</v>
      </c>
      <c r="N12" s="30" t="s">
        <v>21</v>
      </c>
      <c r="O12" s="25" t="s">
        <v>20</v>
      </c>
      <c r="P12" s="25" t="s">
        <v>21</v>
      </c>
      <c r="Q12" s="25" t="s">
        <v>20</v>
      </c>
      <c r="R12" s="25" t="s">
        <v>21</v>
      </c>
      <c r="S12" s="26" t="s">
        <v>20</v>
      </c>
      <c r="T12" s="30" t="s">
        <v>21</v>
      </c>
      <c r="U12" s="25" t="s">
        <v>20</v>
      </c>
      <c r="V12" s="25" t="s">
        <v>21</v>
      </c>
      <c r="W12" s="25" t="s">
        <v>20</v>
      </c>
      <c r="X12" s="25" t="s">
        <v>21</v>
      </c>
      <c r="Y12" s="38" t="s">
        <v>20</v>
      </c>
      <c r="Z12" s="195"/>
    </row>
    <row r="13" spans="1:26" ht="15" x14ac:dyDescent="0.4">
      <c r="A13" s="6"/>
      <c r="B13" s="5"/>
      <c r="C13" s="6"/>
      <c r="D13" s="6"/>
      <c r="E13" s="39"/>
      <c r="F13" s="39"/>
      <c r="G13" s="39"/>
      <c r="H13" s="34">
        <v>0</v>
      </c>
      <c r="I13" s="69" t="b">
        <v>0</v>
      </c>
      <c r="J13" s="31">
        <v>0</v>
      </c>
      <c r="K13" s="69" t="b">
        <v>0</v>
      </c>
      <c r="L13" s="31">
        <v>0</v>
      </c>
      <c r="M13" s="66" t="b">
        <v>0</v>
      </c>
      <c r="N13" s="34">
        <v>0</v>
      </c>
      <c r="O13" s="69" t="b">
        <v>0</v>
      </c>
      <c r="P13" s="31">
        <v>0</v>
      </c>
      <c r="Q13" s="69" t="b">
        <v>0</v>
      </c>
      <c r="R13" s="31">
        <v>0</v>
      </c>
      <c r="S13" s="66" t="b">
        <v>0</v>
      </c>
      <c r="T13" s="34">
        <v>1</v>
      </c>
      <c r="U13" s="69" t="b">
        <f>TRUE</f>
        <v>1</v>
      </c>
      <c r="V13" s="31">
        <v>1</v>
      </c>
      <c r="W13" s="31" t="b">
        <f>TRUE</f>
        <v>1</v>
      </c>
      <c r="X13" s="31">
        <v>19</v>
      </c>
      <c r="Y13" s="72" t="b">
        <v>0</v>
      </c>
      <c r="Z13" s="49"/>
    </row>
    <row r="14" spans="1:26" ht="15" x14ac:dyDescent="0.4">
      <c r="A14" s="3">
        <f>IF($B14="","",A13+1)</f>
        <v>1</v>
      </c>
      <c r="B14" s="32">
        <v>45594</v>
      </c>
      <c r="C14" s="33" t="s">
        <v>5</v>
      </c>
      <c r="D14" s="3" cm="1">
        <f t="array" aca="1" ref="D14" ca="1">IF($C14="","",COUNTIF(_xlfn.TAKE(OFFSET($C$14, 0, 0, COUNTA($C$14:$C$113),1),$A14),$C14))</f>
        <v>1</v>
      </c>
      <c r="E14" s="48"/>
      <c r="F14" s="48"/>
      <c r="G14" s="35" t="s">
        <v>40</v>
      </c>
      <c r="H14" s="40">
        <f>IF($B14="","",IF($I13,IF($G14=$H$10,1,0), IF($G14=$H$10,$H13+1,$H13)))</f>
        <v>0</v>
      </c>
      <c r="I14" s="70" t="b">
        <v>0</v>
      </c>
      <c r="J14" s="3">
        <f>IF($B14="","",IF($K13,IF($G14=$H$10,1,0),IF($G14=$H$10,$J13+1,$J13)))</f>
        <v>0</v>
      </c>
      <c r="K14" s="70" t="b">
        <v>0</v>
      </c>
      <c r="L14" s="3">
        <f>IF($B14="","",IF($M13,IF($G14=$H$10,1,0),IF($G14=$H$10,$L13+1,$L13)))</f>
        <v>0</v>
      </c>
      <c r="M14" s="67" t="b">
        <v>0</v>
      </c>
      <c r="N14" s="40">
        <f>IF($B14="","",IF($O13,IF($G14=$N$10,1,0),IF($G14=$N$10,$N13+1,$N13)))</f>
        <v>1</v>
      </c>
      <c r="O14" s="70" t="b">
        <v>0</v>
      </c>
      <c r="P14" s="3">
        <f>IF($B14="","",IF($Q13,IF($G14=$N$10,1,0),IF($G14=$N$10,$P13+1,$P13)))</f>
        <v>1</v>
      </c>
      <c r="Q14" s="70" t="b">
        <v>0</v>
      </c>
      <c r="R14" s="3">
        <f>IF($B14="","",IF($S13,IF($G14=$N$10,1,0),IF($G14=$N$10,$R13+1,$R13)))</f>
        <v>1</v>
      </c>
      <c r="S14" s="67" t="b">
        <v>0</v>
      </c>
      <c r="T14" s="40">
        <f>IF($B14="","",IF($U13,IF($G14=$T$10,1,0),IF($G14=$T$10,$T13+1,$T13)))</f>
        <v>0</v>
      </c>
      <c r="U14" s="70" t="b">
        <v>0</v>
      </c>
      <c r="V14" s="3">
        <f>IF($B14="","",IF($W13,IF($G14=$T$10,1,0),IF($G14=$T$10,$V13+1,$V13)))</f>
        <v>0</v>
      </c>
      <c r="W14" s="70" t="b">
        <v>0</v>
      </c>
      <c r="X14" s="3">
        <f>IF($B14="","",IF($Y13,IF($G14=$T$10,1,0),IF($G14=$T$10,$X13+1,$X13)))</f>
        <v>19</v>
      </c>
      <c r="Y14" s="73" t="b">
        <v>0</v>
      </c>
      <c r="Z14" s="36"/>
    </row>
    <row r="15" spans="1:26" ht="15" x14ac:dyDescent="0.4">
      <c r="A15" s="3">
        <f t="shared" ref="A15:A78" si="0">IF($B15="","",A14+1)</f>
        <v>2</v>
      </c>
      <c r="B15" s="32">
        <v>45595</v>
      </c>
      <c r="C15" s="33" t="s">
        <v>5</v>
      </c>
      <c r="D15" s="3" cm="1">
        <f t="array" aca="1" ref="D15" ca="1">IF($C15="","",COUNTIF(_xlfn.TAKE(OFFSET($C$14, 0, 0, COUNTA($C$14:$C$113),1),$A15),$C15))</f>
        <v>2</v>
      </c>
      <c r="E15" s="48"/>
      <c r="F15" s="48"/>
      <c r="G15" s="35" t="s">
        <v>40</v>
      </c>
      <c r="H15" s="40">
        <f t="shared" ref="H15:H78" si="1">IF($B15="","",IF($I14,IF($G15=$H$10,1,0), IF($G15=$H$10,$H14+1,$H14)))</f>
        <v>0</v>
      </c>
      <c r="I15" s="70" t="b">
        <v>0</v>
      </c>
      <c r="J15" s="3">
        <f t="shared" ref="J15:J78" si="2">IF($B15="","",IF($K14,IF($G15=$H$10,1,0),IF($G15=$H$10,$J14+1,$J14)))</f>
        <v>0</v>
      </c>
      <c r="K15" s="70" t="b">
        <v>0</v>
      </c>
      <c r="L15" s="3">
        <f t="shared" ref="L15:L78" si="3">IF($B15="","",IF($M14,IF($G15=$H$10,1,0),IF($G15=$H$10,$L14+1,$L14)))</f>
        <v>0</v>
      </c>
      <c r="M15" s="67" t="b">
        <v>0</v>
      </c>
      <c r="N15" s="40">
        <f t="shared" ref="N15:N78" si="4">IF($B15="","",IF($O14,IF($G15=$N$10,1,0),IF($G15=$N$10,$N14+1,$N14)))</f>
        <v>2</v>
      </c>
      <c r="O15" s="70" t="b">
        <v>0</v>
      </c>
      <c r="P15" s="3">
        <f t="shared" ref="P15:P78" si="5">IF($B15="","",IF($Q14,IF($G15=$N$10,1,0),IF($G15=$N$10,$P14+1,$P14)))</f>
        <v>2</v>
      </c>
      <c r="Q15" s="70" t="b">
        <v>0</v>
      </c>
      <c r="R15" s="3">
        <f t="shared" ref="R15:R78" si="6">IF($B15="","",IF($S14,IF($G15=$N$10,1,0),IF($G15=$N$10,$R14+1,$R14)))</f>
        <v>2</v>
      </c>
      <c r="S15" s="67" t="b">
        <v>0</v>
      </c>
      <c r="T15" s="40">
        <f t="shared" ref="T15:T78" si="7">IF($B15="","",IF($U14,IF($G15=$T$10,$T14+1,$T14),IF($G15=$T$10,1,0)))</f>
        <v>0</v>
      </c>
      <c r="U15" s="70" t="b">
        <v>0</v>
      </c>
      <c r="V15" s="3">
        <f t="shared" ref="V15:V78" si="8">IF($B15="","",IF($W14,IF($G15=$T$10,1,0),IF($G15=$T$10,$V14+1,$V14)))</f>
        <v>0</v>
      </c>
      <c r="W15" s="70" t="b">
        <v>0</v>
      </c>
      <c r="X15" s="3">
        <f t="shared" ref="X15:X78" si="9">IF($B15="","",IF($Y14,IF($G15=$T$10,1,0),IF($G15=$T$10,$X14+1,$X14)))</f>
        <v>19</v>
      </c>
      <c r="Y15" s="73" t="b">
        <v>0</v>
      </c>
      <c r="Z15" s="36"/>
    </row>
    <row r="16" spans="1:26" ht="15" x14ac:dyDescent="0.4">
      <c r="A16" s="3">
        <f t="shared" si="0"/>
        <v>3</v>
      </c>
      <c r="B16" s="32">
        <v>45596</v>
      </c>
      <c r="C16" s="33" t="s">
        <v>5</v>
      </c>
      <c r="D16" s="3" cm="1">
        <f t="array" aca="1" ref="D16" ca="1">IF($C16="","",COUNTIF(_xlfn.TAKE(OFFSET($C$14, 0, 0, COUNTA($C$14:$C$113),1),$A16),$C16))</f>
        <v>3</v>
      </c>
      <c r="E16" s="48"/>
      <c r="F16" s="48"/>
      <c r="G16" s="35" t="s">
        <v>40</v>
      </c>
      <c r="H16" s="40">
        <f t="shared" si="1"/>
        <v>0</v>
      </c>
      <c r="I16" s="70" t="b">
        <v>0</v>
      </c>
      <c r="J16" s="3">
        <f t="shared" si="2"/>
        <v>0</v>
      </c>
      <c r="K16" s="70" t="b">
        <v>0</v>
      </c>
      <c r="L16" s="3">
        <f t="shared" si="3"/>
        <v>0</v>
      </c>
      <c r="M16" s="67" t="b">
        <v>0</v>
      </c>
      <c r="N16" s="40">
        <f t="shared" si="4"/>
        <v>3</v>
      </c>
      <c r="O16" s="70" t="b">
        <v>0</v>
      </c>
      <c r="P16" s="3">
        <f t="shared" si="5"/>
        <v>3</v>
      </c>
      <c r="Q16" s="70" t="b">
        <v>0</v>
      </c>
      <c r="R16" s="3">
        <f t="shared" si="6"/>
        <v>3</v>
      </c>
      <c r="S16" s="67" t="b">
        <v>0</v>
      </c>
      <c r="T16" s="40">
        <f t="shared" si="7"/>
        <v>0</v>
      </c>
      <c r="U16" s="70" t="b">
        <v>0</v>
      </c>
      <c r="V16" s="3">
        <f t="shared" si="8"/>
        <v>0</v>
      </c>
      <c r="W16" s="70" t="b">
        <v>0</v>
      </c>
      <c r="X16" s="3">
        <f t="shared" si="9"/>
        <v>19</v>
      </c>
      <c r="Y16" s="73" t="b">
        <v>0</v>
      </c>
      <c r="Z16" s="36"/>
    </row>
    <row r="17" spans="1:26" ht="15" x14ac:dyDescent="0.4">
      <c r="A17" s="3">
        <f t="shared" si="0"/>
        <v>4</v>
      </c>
      <c r="B17" s="32">
        <v>45603</v>
      </c>
      <c r="C17" s="33" t="s">
        <v>5</v>
      </c>
      <c r="D17" s="3" cm="1">
        <f t="array" aca="1" ref="D17" ca="1">IF($C17="","",COUNTIF(_xlfn.TAKE(OFFSET($C$14, 0, 0, COUNTA($C$14:$C$113),1),$A17),$C17))</f>
        <v>4</v>
      </c>
      <c r="E17" s="48">
        <v>7305</v>
      </c>
      <c r="F17" s="48">
        <v>2316</v>
      </c>
      <c r="G17" s="35" t="s">
        <v>40</v>
      </c>
      <c r="H17" s="40">
        <f t="shared" si="1"/>
        <v>0</v>
      </c>
      <c r="I17" s="70" t="b">
        <v>0</v>
      </c>
      <c r="J17" s="3">
        <f t="shared" si="2"/>
        <v>0</v>
      </c>
      <c r="K17" s="70" t="b">
        <v>0</v>
      </c>
      <c r="L17" s="3">
        <f t="shared" si="3"/>
        <v>0</v>
      </c>
      <c r="M17" s="67" t="b">
        <v>0</v>
      </c>
      <c r="N17" s="40">
        <f t="shared" si="4"/>
        <v>4</v>
      </c>
      <c r="O17" s="70" t="b">
        <v>0</v>
      </c>
      <c r="P17" s="3">
        <f t="shared" si="5"/>
        <v>4</v>
      </c>
      <c r="Q17" s="70" t="b">
        <v>0</v>
      </c>
      <c r="R17" s="3">
        <f t="shared" si="6"/>
        <v>4</v>
      </c>
      <c r="S17" s="67" t="b">
        <v>0</v>
      </c>
      <c r="T17" s="40">
        <f t="shared" si="7"/>
        <v>0</v>
      </c>
      <c r="U17" s="70" t="b">
        <v>0</v>
      </c>
      <c r="V17" s="3">
        <f t="shared" si="8"/>
        <v>0</v>
      </c>
      <c r="W17" s="70" t="b">
        <v>0</v>
      </c>
      <c r="X17" s="3">
        <f t="shared" si="9"/>
        <v>19</v>
      </c>
      <c r="Y17" s="73" t="b">
        <v>0</v>
      </c>
      <c r="Z17" s="36"/>
    </row>
    <row r="18" spans="1:26" ht="15" x14ac:dyDescent="0.4">
      <c r="A18" s="3">
        <f t="shared" si="0"/>
        <v>5</v>
      </c>
      <c r="B18" s="32">
        <v>45604</v>
      </c>
      <c r="C18" s="33" t="s">
        <v>5</v>
      </c>
      <c r="D18" s="3" cm="1">
        <f t="array" aca="1" ref="D18" ca="1">IF($C18="","",COUNTIF(_xlfn.TAKE(OFFSET($C$14, 0, 0, COUNTA($C$14:$C$113),1),$A18),$C18))</f>
        <v>5</v>
      </c>
      <c r="E18" s="48">
        <v>4500</v>
      </c>
      <c r="F18" s="48">
        <v>1099</v>
      </c>
      <c r="G18" s="35" t="s">
        <v>40</v>
      </c>
      <c r="H18" s="40">
        <f t="shared" si="1"/>
        <v>0</v>
      </c>
      <c r="I18" s="70" t="b">
        <v>0</v>
      </c>
      <c r="J18" s="3">
        <f t="shared" si="2"/>
        <v>0</v>
      </c>
      <c r="K18" s="70" t="b">
        <v>0</v>
      </c>
      <c r="L18" s="3">
        <f t="shared" si="3"/>
        <v>0</v>
      </c>
      <c r="M18" s="67" t="b">
        <v>0</v>
      </c>
      <c r="N18" s="40">
        <f t="shared" si="4"/>
        <v>5</v>
      </c>
      <c r="O18" s="70" t="b">
        <v>0</v>
      </c>
      <c r="P18" s="3">
        <f t="shared" si="5"/>
        <v>5</v>
      </c>
      <c r="Q18" s="70" t="b">
        <v>0</v>
      </c>
      <c r="R18" s="3">
        <f t="shared" si="6"/>
        <v>5</v>
      </c>
      <c r="S18" s="67" t="b">
        <v>0</v>
      </c>
      <c r="T18" s="40">
        <f t="shared" si="7"/>
        <v>0</v>
      </c>
      <c r="U18" s="70" t="b">
        <v>0</v>
      </c>
      <c r="V18" s="3">
        <f t="shared" si="8"/>
        <v>0</v>
      </c>
      <c r="W18" s="70" t="b">
        <v>0</v>
      </c>
      <c r="X18" s="3">
        <f t="shared" si="9"/>
        <v>19</v>
      </c>
      <c r="Y18" s="73" t="b">
        <v>0</v>
      </c>
      <c r="Z18" s="36"/>
    </row>
    <row r="19" spans="1:26" ht="15" x14ac:dyDescent="0.4">
      <c r="A19" s="3">
        <f t="shared" si="0"/>
        <v>6</v>
      </c>
      <c r="B19" s="32">
        <v>45605</v>
      </c>
      <c r="C19" s="33" t="s">
        <v>5</v>
      </c>
      <c r="D19" s="3" cm="1">
        <f t="array" aca="1" ref="D19" ca="1">IF($C19="","",COUNTIF(_xlfn.TAKE(OFFSET($C$14, 0, 0, COUNTA($C$14:$C$113),1),$A19),$C19))</f>
        <v>6</v>
      </c>
      <c r="E19" s="48">
        <v>5765</v>
      </c>
      <c r="F19" s="48">
        <v>1337</v>
      </c>
      <c r="G19" s="35" t="s">
        <v>40</v>
      </c>
      <c r="H19" s="40">
        <f t="shared" si="1"/>
        <v>0</v>
      </c>
      <c r="I19" s="70" t="b">
        <v>0</v>
      </c>
      <c r="J19" s="3">
        <f t="shared" si="2"/>
        <v>0</v>
      </c>
      <c r="K19" s="70" t="b">
        <v>0</v>
      </c>
      <c r="L19" s="3">
        <f t="shared" si="3"/>
        <v>0</v>
      </c>
      <c r="M19" s="67" t="b">
        <v>0</v>
      </c>
      <c r="N19" s="40">
        <f t="shared" si="4"/>
        <v>6</v>
      </c>
      <c r="O19" s="70" t="b">
        <v>0</v>
      </c>
      <c r="P19" s="3">
        <f t="shared" si="5"/>
        <v>6</v>
      </c>
      <c r="Q19" s="70" t="b">
        <v>0</v>
      </c>
      <c r="R19" s="3">
        <f t="shared" si="6"/>
        <v>6</v>
      </c>
      <c r="S19" s="67" t="b">
        <v>0</v>
      </c>
      <c r="T19" s="40">
        <f t="shared" si="7"/>
        <v>0</v>
      </c>
      <c r="U19" s="70" t="b">
        <f>TRUE</f>
        <v>1</v>
      </c>
      <c r="V19" s="3">
        <f t="shared" si="8"/>
        <v>0</v>
      </c>
      <c r="W19" s="70" t="b">
        <f>TRUE</f>
        <v>1</v>
      </c>
      <c r="X19" s="3">
        <f t="shared" si="9"/>
        <v>19</v>
      </c>
      <c r="Y19" s="73" t="b">
        <v>0</v>
      </c>
      <c r="Z19" s="36"/>
    </row>
    <row r="20" spans="1:26" ht="15" x14ac:dyDescent="0.4">
      <c r="A20" s="3">
        <f t="shared" si="0"/>
        <v>7</v>
      </c>
      <c r="B20" s="32">
        <v>45624</v>
      </c>
      <c r="C20" s="33" t="s">
        <v>5</v>
      </c>
      <c r="D20" s="3" cm="1">
        <f t="array" aca="1" ref="D20" ca="1">IF($C20="","",COUNTIF(_xlfn.TAKE(OFFSET($C$14, 0, 0, COUNTA($C$14:$C$113),1),$A20),$C20))</f>
        <v>7</v>
      </c>
      <c r="E20" s="48">
        <v>3675</v>
      </c>
      <c r="F20" s="48">
        <v>1178</v>
      </c>
      <c r="G20" s="35" t="s">
        <v>40</v>
      </c>
      <c r="H20" s="40">
        <f t="shared" si="1"/>
        <v>0</v>
      </c>
      <c r="I20" s="70" t="b">
        <v>0</v>
      </c>
      <c r="J20" s="3">
        <f t="shared" si="2"/>
        <v>0</v>
      </c>
      <c r="K20" s="70" t="b">
        <v>0</v>
      </c>
      <c r="L20" s="3">
        <f t="shared" si="3"/>
        <v>0</v>
      </c>
      <c r="M20" s="67" t="b">
        <v>0</v>
      </c>
      <c r="N20" s="40">
        <f t="shared" si="4"/>
        <v>7</v>
      </c>
      <c r="O20" s="70" t="b">
        <v>0</v>
      </c>
      <c r="P20" s="3">
        <f t="shared" si="5"/>
        <v>7</v>
      </c>
      <c r="Q20" s="70" t="b">
        <v>0</v>
      </c>
      <c r="R20" s="3">
        <f t="shared" si="6"/>
        <v>7</v>
      </c>
      <c r="S20" s="67" t="b">
        <v>0</v>
      </c>
      <c r="T20" s="40">
        <f t="shared" si="7"/>
        <v>0</v>
      </c>
      <c r="U20" s="70" t="b">
        <v>0</v>
      </c>
      <c r="V20" s="3">
        <f t="shared" si="8"/>
        <v>0</v>
      </c>
      <c r="W20" s="70" t="b">
        <v>0</v>
      </c>
      <c r="X20" s="3">
        <f t="shared" si="9"/>
        <v>19</v>
      </c>
      <c r="Y20" s="73" t="b">
        <v>0</v>
      </c>
      <c r="Z20" s="36"/>
    </row>
    <row r="21" spans="1:26" ht="15" x14ac:dyDescent="0.4">
      <c r="A21" s="3">
        <f t="shared" si="0"/>
        <v>8</v>
      </c>
      <c r="B21" s="32">
        <v>45625</v>
      </c>
      <c r="C21" s="33" t="s">
        <v>5</v>
      </c>
      <c r="D21" s="3" cm="1">
        <f t="array" aca="1" ref="D21" ca="1">IF($C21="","",COUNTIF(_xlfn.TAKE(OFFSET($C$14, 0, 0, COUNTA($C$14:$C$113),1),$A21),$C21))</f>
        <v>8</v>
      </c>
      <c r="E21" s="48">
        <v>3905</v>
      </c>
      <c r="F21" s="48">
        <v>755</v>
      </c>
      <c r="G21" s="35" t="s">
        <v>40</v>
      </c>
      <c r="H21" s="40">
        <f t="shared" si="1"/>
        <v>0</v>
      </c>
      <c r="I21" s="70" t="b">
        <v>0</v>
      </c>
      <c r="J21" s="3">
        <f t="shared" si="2"/>
        <v>0</v>
      </c>
      <c r="K21" s="70" t="b">
        <v>0</v>
      </c>
      <c r="L21" s="3">
        <f t="shared" si="3"/>
        <v>0</v>
      </c>
      <c r="M21" s="67" t="b">
        <v>0</v>
      </c>
      <c r="N21" s="40">
        <f t="shared" si="4"/>
        <v>8</v>
      </c>
      <c r="O21" s="70" t="b">
        <v>0</v>
      </c>
      <c r="P21" s="3">
        <f t="shared" si="5"/>
        <v>8</v>
      </c>
      <c r="Q21" s="70" t="b">
        <v>0</v>
      </c>
      <c r="R21" s="3">
        <f t="shared" si="6"/>
        <v>8</v>
      </c>
      <c r="S21" s="67" t="b">
        <v>0</v>
      </c>
      <c r="T21" s="40">
        <f t="shared" si="7"/>
        <v>0</v>
      </c>
      <c r="U21" s="70" t="b">
        <v>0</v>
      </c>
      <c r="V21" s="3">
        <f t="shared" si="8"/>
        <v>0</v>
      </c>
      <c r="W21" s="70" t="b">
        <v>0</v>
      </c>
      <c r="X21" s="3">
        <f t="shared" si="9"/>
        <v>19</v>
      </c>
      <c r="Y21" s="73" t="b">
        <v>0</v>
      </c>
      <c r="Z21" s="36"/>
    </row>
    <row r="22" spans="1:26" ht="15" x14ac:dyDescent="0.4">
      <c r="A22" s="3">
        <f t="shared" si="0"/>
        <v>9</v>
      </c>
      <c r="B22" s="32">
        <v>45626</v>
      </c>
      <c r="C22" s="33" t="s">
        <v>5</v>
      </c>
      <c r="D22" s="3" cm="1">
        <f t="array" aca="1" ref="D22" ca="1">IF($C22="","",COUNTIF(_xlfn.TAKE(OFFSET($C$14, 0, 0, COUNTA($C$14:$C$113),1),$A22),$C22))</f>
        <v>9</v>
      </c>
      <c r="E22" s="48">
        <v>6730</v>
      </c>
      <c r="F22" s="48">
        <v>925</v>
      </c>
      <c r="G22" s="35" t="s">
        <v>40</v>
      </c>
      <c r="H22" s="40">
        <f t="shared" si="1"/>
        <v>0</v>
      </c>
      <c r="I22" s="70" t="b">
        <v>0</v>
      </c>
      <c r="J22" s="3">
        <f t="shared" si="2"/>
        <v>0</v>
      </c>
      <c r="K22" s="70" t="b">
        <v>0</v>
      </c>
      <c r="L22" s="3">
        <f t="shared" si="3"/>
        <v>0</v>
      </c>
      <c r="M22" s="67" t="b">
        <v>0</v>
      </c>
      <c r="N22" s="40">
        <f t="shared" si="4"/>
        <v>9</v>
      </c>
      <c r="O22" s="70" t="b">
        <v>0</v>
      </c>
      <c r="P22" s="3">
        <f t="shared" si="5"/>
        <v>9</v>
      </c>
      <c r="Q22" s="70" t="b">
        <v>0</v>
      </c>
      <c r="R22" s="3">
        <f t="shared" si="6"/>
        <v>9</v>
      </c>
      <c r="S22" s="67" t="b">
        <v>0</v>
      </c>
      <c r="T22" s="40">
        <f t="shared" si="7"/>
        <v>0</v>
      </c>
      <c r="U22" s="70" t="b">
        <f>TRUE</f>
        <v>1</v>
      </c>
      <c r="V22" s="3">
        <f t="shared" si="8"/>
        <v>0</v>
      </c>
      <c r="W22" s="70" t="b">
        <f>TRUE</f>
        <v>1</v>
      </c>
      <c r="X22" s="3">
        <f t="shared" si="9"/>
        <v>19</v>
      </c>
      <c r="Y22" s="73" t="b">
        <f>TRUE</f>
        <v>1</v>
      </c>
      <c r="Z22" s="36"/>
    </row>
    <row r="23" spans="1:26" ht="15" x14ac:dyDescent="0.4">
      <c r="A23" s="3">
        <f t="shared" si="0"/>
        <v>10</v>
      </c>
      <c r="B23" s="32">
        <v>45636</v>
      </c>
      <c r="C23" s="33" t="s">
        <v>13</v>
      </c>
      <c r="D23" s="3" cm="1">
        <f t="array" aca="1" ref="D23" ca="1">IF($C23="","",COUNTIF(_xlfn.TAKE(OFFSET($C$14, 0, 0, COUNTA($C$14:$C$113),1),$A23),$C23))</f>
        <v>1</v>
      </c>
      <c r="E23" s="48">
        <v>7230</v>
      </c>
      <c r="F23" s="48">
        <v>1293</v>
      </c>
      <c r="G23" s="35" t="s">
        <v>40</v>
      </c>
      <c r="H23" s="40">
        <f t="shared" si="1"/>
        <v>0</v>
      </c>
      <c r="I23" s="70" t="b">
        <v>0</v>
      </c>
      <c r="J23" s="3">
        <f t="shared" si="2"/>
        <v>0</v>
      </c>
      <c r="K23" s="70" t="b">
        <v>0</v>
      </c>
      <c r="L23" s="3">
        <f t="shared" si="3"/>
        <v>0</v>
      </c>
      <c r="M23" s="67" t="b">
        <v>0</v>
      </c>
      <c r="N23" s="40">
        <f t="shared" si="4"/>
        <v>10</v>
      </c>
      <c r="O23" s="70" t="b">
        <v>0</v>
      </c>
      <c r="P23" s="3">
        <f t="shared" si="5"/>
        <v>10</v>
      </c>
      <c r="Q23" s="70" t="b">
        <v>0</v>
      </c>
      <c r="R23" s="3">
        <f t="shared" si="6"/>
        <v>10</v>
      </c>
      <c r="S23" s="67" t="b">
        <v>0</v>
      </c>
      <c r="T23" s="40">
        <f t="shared" si="7"/>
        <v>0</v>
      </c>
      <c r="U23" s="70" t="b">
        <v>0</v>
      </c>
      <c r="V23" s="3">
        <f t="shared" si="8"/>
        <v>0</v>
      </c>
      <c r="W23" s="70" t="b">
        <v>0</v>
      </c>
      <c r="X23" s="3">
        <f t="shared" si="9"/>
        <v>0</v>
      </c>
      <c r="Y23" s="73" t="b">
        <v>0</v>
      </c>
      <c r="Z23" s="36"/>
    </row>
    <row r="24" spans="1:26" ht="15" x14ac:dyDescent="0.4">
      <c r="A24" s="3">
        <f t="shared" si="0"/>
        <v>11</v>
      </c>
      <c r="B24" s="32">
        <v>45637</v>
      </c>
      <c r="C24" s="33" t="s">
        <v>13</v>
      </c>
      <c r="D24" s="3" cm="1">
        <f t="array" aca="1" ref="D24" ca="1">IF($C24="","",COUNTIF(_xlfn.TAKE(OFFSET($C$14, 0, 0, COUNTA($C$14:$C$113),1),$A24),$C24))</f>
        <v>2</v>
      </c>
      <c r="E24" s="48">
        <v>7950</v>
      </c>
      <c r="F24" s="48">
        <v>1143</v>
      </c>
      <c r="G24" s="35" t="s">
        <v>40</v>
      </c>
      <c r="H24" s="40">
        <f t="shared" si="1"/>
        <v>0</v>
      </c>
      <c r="I24" s="70" t="b">
        <v>0</v>
      </c>
      <c r="J24" s="3">
        <f t="shared" si="2"/>
        <v>0</v>
      </c>
      <c r="K24" s="70" t="b">
        <v>0</v>
      </c>
      <c r="L24" s="3">
        <f t="shared" si="3"/>
        <v>0</v>
      </c>
      <c r="M24" s="67" t="b">
        <v>0</v>
      </c>
      <c r="N24" s="40">
        <f t="shared" si="4"/>
        <v>11</v>
      </c>
      <c r="O24" s="70" t="b">
        <v>0</v>
      </c>
      <c r="P24" s="3">
        <f t="shared" si="5"/>
        <v>11</v>
      </c>
      <c r="Q24" s="70" t="b">
        <v>0</v>
      </c>
      <c r="R24" s="3">
        <f t="shared" si="6"/>
        <v>11</v>
      </c>
      <c r="S24" s="67" t="b">
        <v>0</v>
      </c>
      <c r="T24" s="40">
        <f t="shared" si="7"/>
        <v>0</v>
      </c>
      <c r="U24" s="70" t="b">
        <v>0</v>
      </c>
      <c r="V24" s="3">
        <f t="shared" si="8"/>
        <v>0</v>
      </c>
      <c r="W24" s="70" t="b">
        <v>0</v>
      </c>
      <c r="X24" s="3">
        <f t="shared" si="9"/>
        <v>0</v>
      </c>
      <c r="Y24" s="73" t="b">
        <v>0</v>
      </c>
      <c r="Z24" s="36"/>
    </row>
    <row r="25" spans="1:26" ht="15" x14ac:dyDescent="0.4">
      <c r="A25" s="3">
        <f t="shared" si="0"/>
        <v>12</v>
      </c>
      <c r="B25" s="32">
        <v>45638</v>
      </c>
      <c r="C25" s="33" t="s">
        <v>13</v>
      </c>
      <c r="D25" s="3" cm="1">
        <f t="array" aca="1" ref="D25" ca="1">IF($C25="","",COUNTIF(_xlfn.TAKE(OFFSET($C$14, 0, 0, COUNTA($C$14:$C$113),1),$A25),$C25))</f>
        <v>3</v>
      </c>
      <c r="E25" s="48">
        <v>6825</v>
      </c>
      <c r="F25" s="48">
        <v>1378</v>
      </c>
      <c r="G25" s="35" t="s">
        <v>40</v>
      </c>
      <c r="H25" s="40">
        <f t="shared" si="1"/>
        <v>0</v>
      </c>
      <c r="I25" s="70" t="b">
        <v>0</v>
      </c>
      <c r="J25" s="3">
        <f t="shared" si="2"/>
        <v>0</v>
      </c>
      <c r="K25" s="70" t="b">
        <v>0</v>
      </c>
      <c r="L25" s="3">
        <f t="shared" si="3"/>
        <v>0</v>
      </c>
      <c r="M25" s="67" t="b">
        <v>0</v>
      </c>
      <c r="N25" s="40">
        <f t="shared" si="4"/>
        <v>12</v>
      </c>
      <c r="O25" s="70" t="b">
        <v>0</v>
      </c>
      <c r="P25" s="3">
        <f t="shared" si="5"/>
        <v>12</v>
      </c>
      <c r="Q25" s="70" t="b">
        <v>0</v>
      </c>
      <c r="R25" s="3">
        <f t="shared" si="6"/>
        <v>12</v>
      </c>
      <c r="S25" s="67" t="b">
        <v>0</v>
      </c>
      <c r="T25" s="40">
        <f t="shared" si="7"/>
        <v>0</v>
      </c>
      <c r="U25" s="70" t="b">
        <v>0</v>
      </c>
      <c r="V25" s="3">
        <f t="shared" si="8"/>
        <v>0</v>
      </c>
      <c r="W25" s="70" t="b">
        <v>0</v>
      </c>
      <c r="X25" s="3">
        <f t="shared" si="9"/>
        <v>0</v>
      </c>
      <c r="Y25" s="73" t="b">
        <v>0</v>
      </c>
      <c r="Z25" s="36"/>
    </row>
    <row r="26" spans="1:26" ht="15" x14ac:dyDescent="0.4">
      <c r="A26" s="3">
        <f t="shared" si="0"/>
        <v>13</v>
      </c>
      <c r="B26" s="32">
        <v>45639</v>
      </c>
      <c r="C26" s="33" t="s">
        <v>13</v>
      </c>
      <c r="D26" s="3" cm="1">
        <f t="array" aca="1" ref="D26" ca="1">IF($C26="","",COUNTIF(_xlfn.TAKE(OFFSET($C$14, 0, 0, COUNTA($C$14:$C$113),1),$A26),$C26))</f>
        <v>4</v>
      </c>
      <c r="E26" s="48">
        <v>7365</v>
      </c>
      <c r="F26" s="48">
        <v>1200</v>
      </c>
      <c r="G26" s="35" t="s">
        <v>40</v>
      </c>
      <c r="H26" s="40">
        <f t="shared" si="1"/>
        <v>0</v>
      </c>
      <c r="I26" s="70" t="b">
        <v>0</v>
      </c>
      <c r="J26" s="3">
        <f t="shared" si="2"/>
        <v>0</v>
      </c>
      <c r="K26" s="70" t="b">
        <v>0</v>
      </c>
      <c r="L26" s="3">
        <f t="shared" si="3"/>
        <v>0</v>
      </c>
      <c r="M26" s="67" t="b">
        <v>0</v>
      </c>
      <c r="N26" s="40">
        <f t="shared" si="4"/>
        <v>13</v>
      </c>
      <c r="O26" s="70" t="b">
        <v>0</v>
      </c>
      <c r="P26" s="3">
        <f t="shared" si="5"/>
        <v>13</v>
      </c>
      <c r="Q26" s="70" t="b">
        <v>0</v>
      </c>
      <c r="R26" s="3">
        <f t="shared" si="6"/>
        <v>13</v>
      </c>
      <c r="S26" s="67" t="b">
        <v>0</v>
      </c>
      <c r="T26" s="40">
        <f t="shared" si="7"/>
        <v>0</v>
      </c>
      <c r="U26" s="70" t="b">
        <v>0</v>
      </c>
      <c r="V26" s="3">
        <f t="shared" si="8"/>
        <v>0</v>
      </c>
      <c r="W26" s="70" t="b">
        <v>0</v>
      </c>
      <c r="X26" s="3">
        <f t="shared" si="9"/>
        <v>0</v>
      </c>
      <c r="Y26" s="73" t="b">
        <v>0</v>
      </c>
      <c r="Z26" s="36"/>
    </row>
    <row r="27" spans="1:26" ht="15" x14ac:dyDescent="0.4">
      <c r="A27" s="3">
        <f t="shared" si="0"/>
        <v>14</v>
      </c>
      <c r="B27" s="32">
        <v>45640</v>
      </c>
      <c r="C27" s="33" t="s">
        <v>13</v>
      </c>
      <c r="D27" s="3" cm="1">
        <f t="array" aca="1" ref="D27" ca="1">IF($C27="","",COUNTIF(_xlfn.TAKE(OFFSET($C$14, 0, 0, COUNTA($C$14:$C$113),1),$A27),$C27))</f>
        <v>5</v>
      </c>
      <c r="E27" s="48">
        <v>5985</v>
      </c>
      <c r="F27" s="48">
        <v>1640</v>
      </c>
      <c r="G27" s="35" t="s">
        <v>40</v>
      </c>
      <c r="H27" s="40">
        <f t="shared" si="1"/>
        <v>0</v>
      </c>
      <c r="I27" s="70" t="b">
        <v>0</v>
      </c>
      <c r="J27" s="3">
        <f t="shared" si="2"/>
        <v>0</v>
      </c>
      <c r="K27" s="70" t="b">
        <v>0</v>
      </c>
      <c r="L27" s="3">
        <f t="shared" si="3"/>
        <v>0</v>
      </c>
      <c r="M27" s="67" t="b">
        <v>0</v>
      </c>
      <c r="N27" s="40">
        <f t="shared" si="4"/>
        <v>14</v>
      </c>
      <c r="O27" s="70" t="b">
        <v>0</v>
      </c>
      <c r="P27" s="3">
        <f t="shared" si="5"/>
        <v>14</v>
      </c>
      <c r="Q27" s="70" t="b">
        <v>0</v>
      </c>
      <c r="R27" s="3">
        <f t="shared" si="6"/>
        <v>14</v>
      </c>
      <c r="S27" s="67" t="b">
        <v>0</v>
      </c>
      <c r="T27" s="40">
        <f t="shared" si="7"/>
        <v>0</v>
      </c>
      <c r="U27" s="70" t="b">
        <f>TRUE</f>
        <v>1</v>
      </c>
      <c r="V27" s="3">
        <f t="shared" si="8"/>
        <v>0</v>
      </c>
      <c r="W27" s="70" t="b">
        <f>TRUE</f>
        <v>1</v>
      </c>
      <c r="X27" s="3">
        <f t="shared" si="9"/>
        <v>0</v>
      </c>
      <c r="Y27" s="73" t="b">
        <v>0</v>
      </c>
      <c r="Z27" s="36"/>
    </row>
    <row r="28" spans="1:26" ht="15" x14ac:dyDescent="0.4">
      <c r="A28" s="3">
        <f t="shared" si="0"/>
        <v>15</v>
      </c>
      <c r="B28" s="32">
        <v>45641</v>
      </c>
      <c r="C28" s="33" t="s">
        <v>13</v>
      </c>
      <c r="D28" s="3" cm="1">
        <f t="array" aca="1" ref="D28" ca="1">IF($C28="","",COUNTIF(_xlfn.TAKE(OFFSET($C$14, 0, 0, COUNTA($C$14:$C$113),1),$A28),$C28))</f>
        <v>6</v>
      </c>
      <c r="E28" s="48">
        <v>6230</v>
      </c>
      <c r="F28" s="48">
        <v>1190</v>
      </c>
      <c r="G28" s="35" t="s">
        <v>40</v>
      </c>
      <c r="H28" s="40">
        <f t="shared" si="1"/>
        <v>0</v>
      </c>
      <c r="I28" s="70" t="b">
        <v>0</v>
      </c>
      <c r="J28" s="3">
        <f t="shared" si="2"/>
        <v>0</v>
      </c>
      <c r="K28" s="70" t="b">
        <v>0</v>
      </c>
      <c r="L28" s="3">
        <f t="shared" si="3"/>
        <v>0</v>
      </c>
      <c r="M28" s="67" t="b">
        <v>0</v>
      </c>
      <c r="N28" s="40">
        <f t="shared" si="4"/>
        <v>15</v>
      </c>
      <c r="O28" s="70" t="b">
        <v>0</v>
      </c>
      <c r="P28" s="3">
        <f t="shared" si="5"/>
        <v>15</v>
      </c>
      <c r="Q28" s="70" t="b">
        <v>0</v>
      </c>
      <c r="R28" s="3">
        <f t="shared" si="6"/>
        <v>15</v>
      </c>
      <c r="S28" s="67" t="b">
        <v>0</v>
      </c>
      <c r="T28" s="40">
        <f t="shared" si="7"/>
        <v>0</v>
      </c>
      <c r="U28" s="70" t="b">
        <v>0</v>
      </c>
      <c r="V28" s="3">
        <f t="shared" si="8"/>
        <v>0</v>
      </c>
      <c r="W28" s="70" t="b">
        <v>0</v>
      </c>
      <c r="X28" s="3">
        <f t="shared" si="9"/>
        <v>0</v>
      </c>
      <c r="Y28" s="73" t="b">
        <v>0</v>
      </c>
      <c r="Z28" s="36"/>
    </row>
    <row r="29" spans="1:26" ht="15" x14ac:dyDescent="0.4">
      <c r="A29" s="3">
        <f t="shared" si="0"/>
        <v>16</v>
      </c>
      <c r="B29" s="32">
        <v>45642</v>
      </c>
      <c r="C29" s="33" t="s">
        <v>13</v>
      </c>
      <c r="D29" s="3" cm="1">
        <f t="array" aca="1" ref="D29" ca="1">IF($C29="","",COUNTIF(_xlfn.TAKE(OFFSET($C$14, 0, 0, COUNTA($C$14:$C$113),1),$A29),$C29))</f>
        <v>7</v>
      </c>
      <c r="E29" s="48">
        <v>8480</v>
      </c>
      <c r="F29" s="48">
        <v>1096</v>
      </c>
      <c r="G29" s="35" t="s">
        <v>40</v>
      </c>
      <c r="H29" s="40">
        <f t="shared" si="1"/>
        <v>0</v>
      </c>
      <c r="I29" s="70" t="b">
        <v>0</v>
      </c>
      <c r="J29" s="3">
        <f t="shared" si="2"/>
        <v>0</v>
      </c>
      <c r="K29" s="70" t="b">
        <v>0</v>
      </c>
      <c r="L29" s="3">
        <f t="shared" si="3"/>
        <v>0</v>
      </c>
      <c r="M29" s="67" t="b">
        <v>0</v>
      </c>
      <c r="N29" s="40">
        <f t="shared" si="4"/>
        <v>16</v>
      </c>
      <c r="O29" s="70" t="b">
        <v>0</v>
      </c>
      <c r="P29" s="3">
        <f t="shared" si="5"/>
        <v>16</v>
      </c>
      <c r="Q29" s="70" t="b">
        <v>0</v>
      </c>
      <c r="R29" s="3">
        <f t="shared" si="6"/>
        <v>16</v>
      </c>
      <c r="S29" s="67" t="b">
        <v>0</v>
      </c>
      <c r="T29" s="40">
        <f t="shared" si="7"/>
        <v>0</v>
      </c>
      <c r="U29" s="70" t="b">
        <v>0</v>
      </c>
      <c r="V29" s="3">
        <f t="shared" si="8"/>
        <v>0</v>
      </c>
      <c r="W29" s="70" t="b">
        <v>0</v>
      </c>
      <c r="X29" s="3">
        <f t="shared" si="9"/>
        <v>0</v>
      </c>
      <c r="Y29" s="73" t="b">
        <v>0</v>
      </c>
      <c r="Z29" s="36"/>
    </row>
    <row r="30" spans="1:26" ht="15" x14ac:dyDescent="0.4">
      <c r="A30" s="3">
        <f t="shared" si="0"/>
        <v>17</v>
      </c>
      <c r="B30" s="32">
        <v>45663</v>
      </c>
      <c r="C30" s="33" t="s">
        <v>6</v>
      </c>
      <c r="D30" s="3" cm="1">
        <f t="array" aca="1" ref="D30" ca="1">IF($C30="","",COUNTIF(_xlfn.TAKE(OFFSET($C$14, 0, 0, COUNTA($C$14:$C$113),1),$A30),$C30))</f>
        <v>1</v>
      </c>
      <c r="E30" s="48">
        <v>6065</v>
      </c>
      <c r="F30" s="48">
        <v>1589</v>
      </c>
      <c r="G30" s="35" t="s">
        <v>40</v>
      </c>
      <c r="H30" s="40">
        <f t="shared" si="1"/>
        <v>0</v>
      </c>
      <c r="I30" s="70" t="b">
        <v>0</v>
      </c>
      <c r="J30" s="3">
        <f t="shared" si="2"/>
        <v>0</v>
      </c>
      <c r="K30" s="70" t="b">
        <v>0</v>
      </c>
      <c r="L30" s="3">
        <f t="shared" si="3"/>
        <v>0</v>
      </c>
      <c r="M30" s="67" t="b">
        <v>0</v>
      </c>
      <c r="N30" s="40">
        <f t="shared" si="4"/>
        <v>17</v>
      </c>
      <c r="O30" s="70" t="b">
        <v>0</v>
      </c>
      <c r="P30" s="3">
        <f t="shared" si="5"/>
        <v>17</v>
      </c>
      <c r="Q30" s="70" t="b">
        <v>0</v>
      </c>
      <c r="R30" s="3">
        <f t="shared" si="6"/>
        <v>17</v>
      </c>
      <c r="S30" s="67" t="b">
        <v>0</v>
      </c>
      <c r="T30" s="40">
        <f t="shared" si="7"/>
        <v>0</v>
      </c>
      <c r="U30" s="70" t="b">
        <v>0</v>
      </c>
      <c r="V30" s="3">
        <f t="shared" si="8"/>
        <v>0</v>
      </c>
      <c r="W30" s="70" t="b">
        <v>0</v>
      </c>
      <c r="X30" s="3">
        <f t="shared" si="9"/>
        <v>0</v>
      </c>
      <c r="Y30" s="73" t="b">
        <v>0</v>
      </c>
      <c r="Z30" s="36"/>
    </row>
    <row r="31" spans="1:26" ht="15" x14ac:dyDescent="0.4">
      <c r="A31" s="3">
        <f t="shared" si="0"/>
        <v>18</v>
      </c>
      <c r="B31" s="32">
        <v>45664</v>
      </c>
      <c r="C31" s="33" t="s">
        <v>6</v>
      </c>
      <c r="D31" s="3" cm="1">
        <f t="array" aca="1" ref="D31" ca="1">IF($C31="","",COUNTIF(_xlfn.TAKE(OFFSET($C$14, 0, 0, COUNTA($C$14:$C$113),1),$A31),$C31))</f>
        <v>2</v>
      </c>
      <c r="E31" s="48">
        <v>10735</v>
      </c>
      <c r="F31" s="48">
        <v>1062</v>
      </c>
      <c r="G31" s="35" t="s">
        <v>40</v>
      </c>
      <c r="H31" s="40">
        <f t="shared" si="1"/>
        <v>0</v>
      </c>
      <c r="I31" s="70" t="b">
        <v>0</v>
      </c>
      <c r="J31" s="3">
        <f t="shared" si="2"/>
        <v>0</v>
      </c>
      <c r="K31" s="70" t="b">
        <v>0</v>
      </c>
      <c r="L31" s="3">
        <f t="shared" si="3"/>
        <v>0</v>
      </c>
      <c r="M31" s="67" t="b">
        <v>0</v>
      </c>
      <c r="N31" s="40">
        <f t="shared" si="4"/>
        <v>18</v>
      </c>
      <c r="O31" s="70" t="b">
        <v>0</v>
      </c>
      <c r="P31" s="3">
        <f t="shared" si="5"/>
        <v>18</v>
      </c>
      <c r="Q31" s="70" t="b">
        <v>0</v>
      </c>
      <c r="R31" s="3">
        <f t="shared" si="6"/>
        <v>18</v>
      </c>
      <c r="S31" s="67" t="b">
        <v>0</v>
      </c>
      <c r="T31" s="40">
        <f t="shared" si="7"/>
        <v>0</v>
      </c>
      <c r="U31" s="70" t="b">
        <v>0</v>
      </c>
      <c r="V31" s="3">
        <f t="shared" si="8"/>
        <v>0</v>
      </c>
      <c r="W31" s="70" t="b">
        <v>0</v>
      </c>
      <c r="X31" s="3">
        <f t="shared" si="9"/>
        <v>0</v>
      </c>
      <c r="Y31" s="73" t="b">
        <v>0</v>
      </c>
      <c r="Z31" s="36"/>
    </row>
    <row r="32" spans="1:26" ht="15" x14ac:dyDescent="0.4">
      <c r="A32" s="3">
        <f t="shared" si="0"/>
        <v>19</v>
      </c>
      <c r="B32" s="32">
        <v>45666</v>
      </c>
      <c r="C32" s="33" t="s">
        <v>6</v>
      </c>
      <c r="D32" s="3" cm="1">
        <f t="array" aca="1" ref="D32" ca="1">IF($C32="","",COUNTIF(_xlfn.TAKE(OFFSET($C$14, 0, 0, COUNTA($C$14:$C$113),1),$A32),$C32))</f>
        <v>3</v>
      </c>
      <c r="E32" s="48">
        <v>12445</v>
      </c>
      <c r="F32" s="48">
        <v>1229</v>
      </c>
      <c r="G32" s="35" t="s">
        <v>40</v>
      </c>
      <c r="H32" s="40">
        <f t="shared" si="1"/>
        <v>0</v>
      </c>
      <c r="I32" s="70" t="b">
        <v>0</v>
      </c>
      <c r="J32" s="3">
        <f t="shared" si="2"/>
        <v>0</v>
      </c>
      <c r="K32" s="70" t="b">
        <v>0</v>
      </c>
      <c r="L32" s="3">
        <f t="shared" si="3"/>
        <v>0</v>
      </c>
      <c r="M32" s="67" t="b">
        <v>0</v>
      </c>
      <c r="N32" s="40">
        <f t="shared" si="4"/>
        <v>19</v>
      </c>
      <c r="O32" s="70" t="b">
        <v>0</v>
      </c>
      <c r="P32" s="3">
        <f t="shared" si="5"/>
        <v>19</v>
      </c>
      <c r="Q32" s="70" t="b">
        <v>0</v>
      </c>
      <c r="R32" s="3">
        <f t="shared" si="6"/>
        <v>19</v>
      </c>
      <c r="S32" s="67" t="b">
        <v>0</v>
      </c>
      <c r="T32" s="40">
        <f t="shared" si="7"/>
        <v>0</v>
      </c>
      <c r="U32" s="70" t="b">
        <f>TRUE</f>
        <v>1</v>
      </c>
      <c r="V32" s="3">
        <f t="shared" si="8"/>
        <v>0</v>
      </c>
      <c r="W32" s="70" t="b">
        <f>TRUE</f>
        <v>1</v>
      </c>
      <c r="X32" s="3">
        <f t="shared" si="9"/>
        <v>0</v>
      </c>
      <c r="Y32" s="73" t="b">
        <v>0</v>
      </c>
      <c r="Z32" s="36"/>
    </row>
    <row r="33" spans="1:26" ht="15" x14ac:dyDescent="0.4">
      <c r="A33" s="3">
        <f t="shared" si="0"/>
        <v>20</v>
      </c>
      <c r="B33" s="32">
        <v>45667</v>
      </c>
      <c r="C33" s="33" t="s">
        <v>6</v>
      </c>
      <c r="D33" s="3" cm="1">
        <f t="array" aca="1" ref="D33" ca="1">IF($C33="","",COUNTIF(_xlfn.TAKE(OFFSET($C$14, 0, 0, COUNTA($C$14:$C$113),1),$A33),$C33))</f>
        <v>4</v>
      </c>
      <c r="E33" s="48">
        <v>4275</v>
      </c>
      <c r="F33" s="48">
        <v>687</v>
      </c>
      <c r="G33" s="35" t="s">
        <v>40</v>
      </c>
      <c r="H33" s="40">
        <f t="shared" si="1"/>
        <v>0</v>
      </c>
      <c r="I33" s="70" t="b">
        <v>0</v>
      </c>
      <c r="J33" s="3">
        <f t="shared" si="2"/>
        <v>0</v>
      </c>
      <c r="K33" s="70" t="b">
        <v>0</v>
      </c>
      <c r="L33" s="3">
        <f t="shared" si="3"/>
        <v>0</v>
      </c>
      <c r="M33" s="67" t="b">
        <v>0</v>
      </c>
      <c r="N33" s="40">
        <f t="shared" si="4"/>
        <v>20</v>
      </c>
      <c r="O33" s="70" t="b">
        <v>0</v>
      </c>
      <c r="P33" s="3">
        <f t="shared" si="5"/>
        <v>20</v>
      </c>
      <c r="Q33" s="70" t="b">
        <v>0</v>
      </c>
      <c r="R33" s="3">
        <f t="shared" si="6"/>
        <v>20</v>
      </c>
      <c r="S33" s="67" t="b">
        <v>0</v>
      </c>
      <c r="T33" s="40">
        <f t="shared" si="7"/>
        <v>0</v>
      </c>
      <c r="U33" s="70" t="b">
        <v>0</v>
      </c>
      <c r="V33" s="3">
        <f t="shared" si="8"/>
        <v>0</v>
      </c>
      <c r="W33" s="70" t="b">
        <v>0</v>
      </c>
      <c r="X33" s="3">
        <f t="shared" si="9"/>
        <v>0</v>
      </c>
      <c r="Y33" s="73" t="b">
        <v>0</v>
      </c>
      <c r="Z33" s="36"/>
    </row>
    <row r="34" spans="1:26" ht="15" x14ac:dyDescent="0.4">
      <c r="A34" s="3">
        <f t="shared" si="0"/>
        <v>21</v>
      </c>
      <c r="B34" s="32">
        <v>45668</v>
      </c>
      <c r="C34" s="33" t="s">
        <v>6</v>
      </c>
      <c r="D34" s="3" cm="1">
        <f t="array" aca="1" ref="D34" ca="1">IF($C34="","",COUNTIF(_xlfn.TAKE(OFFSET($C$14, 0, 0, COUNTA($C$14:$C$113),1),$A34),$C34))</f>
        <v>5</v>
      </c>
      <c r="E34" s="48">
        <v>7855</v>
      </c>
      <c r="F34" s="48">
        <v>2268</v>
      </c>
      <c r="G34" s="35" t="s">
        <v>40</v>
      </c>
      <c r="H34" s="40">
        <f t="shared" si="1"/>
        <v>0</v>
      </c>
      <c r="I34" s="70" t="b">
        <v>0</v>
      </c>
      <c r="J34" s="3">
        <f t="shared" si="2"/>
        <v>0</v>
      </c>
      <c r="K34" s="70" t="b">
        <v>0</v>
      </c>
      <c r="L34" s="3">
        <f t="shared" si="3"/>
        <v>0</v>
      </c>
      <c r="M34" s="67" t="b">
        <v>0</v>
      </c>
      <c r="N34" s="40">
        <f t="shared" si="4"/>
        <v>21</v>
      </c>
      <c r="O34" s="70" t="b">
        <v>0</v>
      </c>
      <c r="P34" s="3">
        <f t="shared" si="5"/>
        <v>21</v>
      </c>
      <c r="Q34" s="70" t="b">
        <v>0</v>
      </c>
      <c r="R34" s="3">
        <f t="shared" si="6"/>
        <v>21</v>
      </c>
      <c r="S34" s="67" t="b">
        <v>0</v>
      </c>
      <c r="T34" s="40">
        <f t="shared" si="7"/>
        <v>0</v>
      </c>
      <c r="U34" s="70" t="b">
        <v>0</v>
      </c>
      <c r="V34" s="3">
        <f t="shared" si="8"/>
        <v>0</v>
      </c>
      <c r="W34" s="70" t="b">
        <v>0</v>
      </c>
      <c r="X34" s="3">
        <f t="shared" si="9"/>
        <v>0</v>
      </c>
      <c r="Y34" s="73" t="b">
        <v>0</v>
      </c>
      <c r="Z34" s="36"/>
    </row>
    <row r="35" spans="1:26" ht="15" x14ac:dyDescent="0.4">
      <c r="A35" s="3">
        <f t="shared" si="0"/>
        <v>22</v>
      </c>
      <c r="B35" s="32">
        <v>45669</v>
      </c>
      <c r="C35" s="33" t="s">
        <v>6</v>
      </c>
      <c r="D35" s="3" cm="1">
        <f t="array" aca="1" ref="D35" ca="1">IF($C35="","",COUNTIF(_xlfn.TAKE(OFFSET($C$14, 0, 0, COUNTA($C$14:$C$113),1),$A35),$C35))</f>
        <v>6</v>
      </c>
      <c r="E35" s="48">
        <v>7845</v>
      </c>
      <c r="F35" s="48">
        <v>1867</v>
      </c>
      <c r="G35" s="35" t="s">
        <v>40</v>
      </c>
      <c r="H35" s="40">
        <f t="shared" si="1"/>
        <v>0</v>
      </c>
      <c r="I35" s="70" t="b">
        <v>0</v>
      </c>
      <c r="J35" s="3">
        <f t="shared" si="2"/>
        <v>0</v>
      </c>
      <c r="K35" s="70" t="b">
        <v>0</v>
      </c>
      <c r="L35" s="3">
        <f t="shared" si="3"/>
        <v>0</v>
      </c>
      <c r="M35" s="67" t="b">
        <v>0</v>
      </c>
      <c r="N35" s="40">
        <f t="shared" si="4"/>
        <v>22</v>
      </c>
      <c r="O35" s="70" t="b">
        <v>0</v>
      </c>
      <c r="P35" s="3">
        <f t="shared" si="5"/>
        <v>22</v>
      </c>
      <c r="Q35" s="70" t="b">
        <v>0</v>
      </c>
      <c r="R35" s="3">
        <f t="shared" si="6"/>
        <v>22</v>
      </c>
      <c r="S35" s="67" t="b">
        <v>0</v>
      </c>
      <c r="T35" s="40">
        <f t="shared" si="7"/>
        <v>0</v>
      </c>
      <c r="U35" s="70" t="b">
        <v>0</v>
      </c>
      <c r="V35" s="3">
        <f t="shared" si="8"/>
        <v>0</v>
      </c>
      <c r="W35" s="70" t="b">
        <v>0</v>
      </c>
      <c r="X35" s="3">
        <f t="shared" si="9"/>
        <v>0</v>
      </c>
      <c r="Y35" s="73" t="b">
        <v>0</v>
      </c>
      <c r="Z35" s="36"/>
    </row>
    <row r="36" spans="1:26" ht="15" x14ac:dyDescent="0.4">
      <c r="A36" s="3">
        <f t="shared" si="0"/>
        <v>23</v>
      </c>
      <c r="B36" s="32">
        <v>45670</v>
      </c>
      <c r="C36" s="33" t="s">
        <v>9</v>
      </c>
      <c r="D36" s="3" cm="1">
        <f t="array" aca="1" ref="D36" ca="1">IF($C36="","",COUNTIF(_xlfn.TAKE(OFFSET($C$14, 0, 0, COUNTA($C$14:$C$113),1),$A36),$C36))</f>
        <v>1</v>
      </c>
      <c r="E36" s="48">
        <v>13205</v>
      </c>
      <c r="F36" s="48">
        <v>2145</v>
      </c>
      <c r="G36" s="35" t="s">
        <v>40</v>
      </c>
      <c r="H36" s="40">
        <f t="shared" si="1"/>
        <v>0</v>
      </c>
      <c r="I36" s="70" t="b">
        <v>0</v>
      </c>
      <c r="J36" s="3">
        <f t="shared" si="2"/>
        <v>0</v>
      </c>
      <c r="K36" s="70" t="b">
        <v>0</v>
      </c>
      <c r="L36" s="3">
        <f t="shared" si="3"/>
        <v>0</v>
      </c>
      <c r="M36" s="67" t="b">
        <v>0</v>
      </c>
      <c r="N36" s="40">
        <f t="shared" si="4"/>
        <v>23</v>
      </c>
      <c r="O36" s="70" t="b">
        <v>0</v>
      </c>
      <c r="P36" s="3">
        <f t="shared" si="5"/>
        <v>23</v>
      </c>
      <c r="Q36" s="70" t="b">
        <v>0</v>
      </c>
      <c r="R36" s="3">
        <f t="shared" si="6"/>
        <v>23</v>
      </c>
      <c r="S36" s="67" t="b">
        <v>0</v>
      </c>
      <c r="T36" s="40">
        <f t="shared" si="7"/>
        <v>0</v>
      </c>
      <c r="U36" s="70" t="b">
        <f>TRUE</f>
        <v>1</v>
      </c>
      <c r="V36" s="3">
        <f t="shared" si="8"/>
        <v>0</v>
      </c>
      <c r="W36" s="70" t="b">
        <v>0</v>
      </c>
      <c r="X36" s="3">
        <f t="shared" si="9"/>
        <v>0</v>
      </c>
      <c r="Y36" s="73" t="b">
        <v>0</v>
      </c>
      <c r="Z36" s="36"/>
    </row>
    <row r="37" spans="1:26" ht="15" x14ac:dyDescent="0.4">
      <c r="A37" s="3">
        <f t="shared" si="0"/>
        <v>24</v>
      </c>
      <c r="B37" s="32">
        <v>45672</v>
      </c>
      <c r="C37" s="33" t="s">
        <v>9</v>
      </c>
      <c r="D37" s="3" cm="1">
        <f t="array" aca="1" ref="D37" ca="1">IF($C37="","",COUNTIF(_xlfn.TAKE(OFFSET($C$14, 0, 0, COUNTA($C$14:$C$113),1),$A37),$C37))</f>
        <v>2</v>
      </c>
      <c r="E37" s="48">
        <v>12065</v>
      </c>
      <c r="F37" s="48">
        <v>1365</v>
      </c>
      <c r="G37" s="35" t="s">
        <v>40</v>
      </c>
      <c r="H37" s="40">
        <f t="shared" si="1"/>
        <v>0</v>
      </c>
      <c r="I37" s="70" t="b">
        <v>0</v>
      </c>
      <c r="J37" s="3">
        <f t="shared" si="2"/>
        <v>0</v>
      </c>
      <c r="K37" s="70" t="b">
        <v>0</v>
      </c>
      <c r="L37" s="3">
        <f t="shared" si="3"/>
        <v>0</v>
      </c>
      <c r="M37" s="67" t="b">
        <v>0</v>
      </c>
      <c r="N37" s="40">
        <f t="shared" si="4"/>
        <v>24</v>
      </c>
      <c r="O37" s="70" t="b">
        <v>0</v>
      </c>
      <c r="P37" s="3">
        <f t="shared" si="5"/>
        <v>24</v>
      </c>
      <c r="Q37" s="70" t="b">
        <v>0</v>
      </c>
      <c r="R37" s="3">
        <f t="shared" si="6"/>
        <v>24</v>
      </c>
      <c r="S37" s="67" t="b">
        <v>0</v>
      </c>
      <c r="T37" s="40">
        <f t="shared" si="7"/>
        <v>0</v>
      </c>
      <c r="U37" s="70" t="b">
        <v>0</v>
      </c>
      <c r="V37" s="3">
        <f t="shared" si="8"/>
        <v>0</v>
      </c>
      <c r="W37" s="70" t="b">
        <v>0</v>
      </c>
      <c r="X37" s="3">
        <f t="shared" si="9"/>
        <v>0</v>
      </c>
      <c r="Y37" s="73" t="b">
        <v>0</v>
      </c>
      <c r="Z37" s="36"/>
    </row>
    <row r="38" spans="1:26" ht="15" x14ac:dyDescent="0.4">
      <c r="A38" s="3">
        <f t="shared" si="0"/>
        <v>25</v>
      </c>
      <c r="B38" s="32">
        <v>45673</v>
      </c>
      <c r="C38" s="33" t="s">
        <v>9</v>
      </c>
      <c r="D38" s="3" cm="1">
        <f t="array" aca="1" ref="D38" ca="1">IF($C38="","",COUNTIF(_xlfn.TAKE(OFFSET($C$14, 0, 0, COUNTA($C$14:$C$113),1),$A38),$C38))</f>
        <v>3</v>
      </c>
      <c r="E38" s="48">
        <v>7085</v>
      </c>
      <c r="F38" s="48">
        <v>1197</v>
      </c>
      <c r="G38" s="35" t="s">
        <v>40</v>
      </c>
      <c r="H38" s="40">
        <f t="shared" si="1"/>
        <v>0</v>
      </c>
      <c r="I38" s="70" t="b">
        <v>0</v>
      </c>
      <c r="J38" s="3">
        <f t="shared" si="2"/>
        <v>0</v>
      </c>
      <c r="K38" s="70" t="b">
        <v>0</v>
      </c>
      <c r="L38" s="3">
        <f t="shared" si="3"/>
        <v>0</v>
      </c>
      <c r="M38" s="67" t="b">
        <v>0</v>
      </c>
      <c r="N38" s="40">
        <f t="shared" si="4"/>
        <v>25</v>
      </c>
      <c r="O38" s="70" t="b">
        <v>0</v>
      </c>
      <c r="P38" s="3">
        <f t="shared" si="5"/>
        <v>25</v>
      </c>
      <c r="Q38" s="70" t="b">
        <v>0</v>
      </c>
      <c r="R38" s="3">
        <f t="shared" si="6"/>
        <v>25</v>
      </c>
      <c r="S38" s="67" t="b">
        <v>0</v>
      </c>
      <c r="T38" s="40">
        <f t="shared" si="7"/>
        <v>0</v>
      </c>
      <c r="U38" s="70" t="b">
        <v>0</v>
      </c>
      <c r="V38" s="3">
        <f t="shared" si="8"/>
        <v>0</v>
      </c>
      <c r="W38" s="70" t="b">
        <v>0</v>
      </c>
      <c r="X38" s="3">
        <f t="shared" si="9"/>
        <v>0</v>
      </c>
      <c r="Y38" s="73" t="b">
        <v>0</v>
      </c>
      <c r="Z38" s="36"/>
    </row>
    <row r="39" spans="1:26" ht="15" x14ac:dyDescent="0.4">
      <c r="A39" s="3">
        <f t="shared" si="0"/>
        <v>26</v>
      </c>
      <c r="B39" s="32">
        <v>45674</v>
      </c>
      <c r="C39" s="33" t="s">
        <v>19</v>
      </c>
      <c r="D39" s="3" cm="1">
        <f t="array" aca="1" ref="D39" ca="1">IF($C39="","",COUNTIF(_xlfn.TAKE(OFFSET($C$14, 0, 0, COUNTA($C$14:$C$113),1),$A39),$C39))</f>
        <v>1</v>
      </c>
      <c r="E39" s="48">
        <v>8050</v>
      </c>
      <c r="F39" s="48">
        <v>967</v>
      </c>
      <c r="G39" s="35" t="s">
        <v>40</v>
      </c>
      <c r="H39" s="40">
        <f t="shared" si="1"/>
        <v>0</v>
      </c>
      <c r="I39" s="70" t="b">
        <v>0</v>
      </c>
      <c r="J39" s="3">
        <f t="shared" si="2"/>
        <v>0</v>
      </c>
      <c r="K39" s="70" t="b">
        <v>0</v>
      </c>
      <c r="L39" s="3">
        <f t="shared" si="3"/>
        <v>0</v>
      </c>
      <c r="M39" s="67" t="b">
        <v>0</v>
      </c>
      <c r="N39" s="40">
        <f t="shared" si="4"/>
        <v>26</v>
      </c>
      <c r="O39" s="70" t="b">
        <v>0</v>
      </c>
      <c r="P39" s="3">
        <f t="shared" si="5"/>
        <v>26</v>
      </c>
      <c r="Q39" s="70" t="b">
        <v>0</v>
      </c>
      <c r="R39" s="3">
        <f t="shared" si="6"/>
        <v>26</v>
      </c>
      <c r="S39" s="67" t="b">
        <v>0</v>
      </c>
      <c r="T39" s="40">
        <f t="shared" si="7"/>
        <v>0</v>
      </c>
      <c r="U39" s="70" t="b">
        <v>0</v>
      </c>
      <c r="V39" s="3">
        <f t="shared" si="8"/>
        <v>0</v>
      </c>
      <c r="W39" s="70" t="b">
        <v>0</v>
      </c>
      <c r="X39" s="3">
        <f t="shared" si="9"/>
        <v>0</v>
      </c>
      <c r="Y39" s="73" t="b">
        <v>0</v>
      </c>
      <c r="Z39" s="36"/>
    </row>
    <row r="40" spans="1:26" ht="15" x14ac:dyDescent="0.4">
      <c r="A40" s="3">
        <f t="shared" si="0"/>
        <v>27</v>
      </c>
      <c r="B40" s="32">
        <v>45675</v>
      </c>
      <c r="C40" s="33" t="s">
        <v>19</v>
      </c>
      <c r="D40" s="3" cm="1">
        <f t="array" aca="1" ref="D40" ca="1">IF($C40="","",COUNTIF(_xlfn.TAKE(OFFSET($C$14, 0, 0, COUNTA($C$14:$C$113),1),$A40),$C40))</f>
        <v>2</v>
      </c>
      <c r="E40" s="48">
        <v>7230</v>
      </c>
      <c r="F40" s="48">
        <v>1079</v>
      </c>
      <c r="G40" s="35" t="s">
        <v>40</v>
      </c>
      <c r="H40" s="40">
        <f t="shared" si="1"/>
        <v>0</v>
      </c>
      <c r="I40" s="70" t="b">
        <v>0</v>
      </c>
      <c r="J40" s="3">
        <f t="shared" si="2"/>
        <v>0</v>
      </c>
      <c r="K40" s="70" t="b">
        <v>0</v>
      </c>
      <c r="L40" s="3">
        <f t="shared" si="3"/>
        <v>0</v>
      </c>
      <c r="M40" s="67" t="b">
        <v>0</v>
      </c>
      <c r="N40" s="40">
        <f t="shared" si="4"/>
        <v>27</v>
      </c>
      <c r="O40" s="70" t="b">
        <v>0</v>
      </c>
      <c r="P40" s="3">
        <f t="shared" si="5"/>
        <v>27</v>
      </c>
      <c r="Q40" s="70" t="b">
        <v>0</v>
      </c>
      <c r="R40" s="3">
        <f t="shared" si="6"/>
        <v>27</v>
      </c>
      <c r="S40" s="67" t="b">
        <v>0</v>
      </c>
      <c r="T40" s="40">
        <f t="shared" si="7"/>
        <v>0</v>
      </c>
      <c r="U40" s="70" t="b">
        <v>0</v>
      </c>
      <c r="V40" s="3">
        <f t="shared" si="8"/>
        <v>0</v>
      </c>
      <c r="W40" s="70" t="b">
        <v>0</v>
      </c>
      <c r="X40" s="3">
        <f t="shared" si="9"/>
        <v>0</v>
      </c>
      <c r="Y40" s="73" t="b">
        <v>0</v>
      </c>
      <c r="Z40" s="36"/>
    </row>
    <row r="41" spans="1:26" ht="15" x14ac:dyDescent="0.4">
      <c r="A41" s="3">
        <f t="shared" si="0"/>
        <v>28</v>
      </c>
      <c r="B41" s="32">
        <v>45677</v>
      </c>
      <c r="C41" s="33" t="s">
        <v>19</v>
      </c>
      <c r="D41" s="3" cm="1">
        <f t="array" aca="1" ref="D41" ca="1">IF($C41="","",COUNTIF(_xlfn.TAKE(OFFSET($C$14, 0, 0, COUNTA($C$14:$C$113),1),$A41),$C41))</f>
        <v>3</v>
      </c>
      <c r="E41" s="48">
        <v>7100</v>
      </c>
      <c r="F41" s="48">
        <v>1464</v>
      </c>
      <c r="G41" s="35" t="s">
        <v>40</v>
      </c>
      <c r="H41" s="40">
        <f t="shared" si="1"/>
        <v>0</v>
      </c>
      <c r="I41" s="70" t="b">
        <v>0</v>
      </c>
      <c r="J41" s="3">
        <f t="shared" si="2"/>
        <v>0</v>
      </c>
      <c r="K41" s="70" t="b">
        <v>0</v>
      </c>
      <c r="L41" s="3">
        <f t="shared" si="3"/>
        <v>0</v>
      </c>
      <c r="M41" s="67" t="b">
        <v>0</v>
      </c>
      <c r="N41" s="40">
        <f t="shared" si="4"/>
        <v>28</v>
      </c>
      <c r="O41" s="70" t="b">
        <v>0</v>
      </c>
      <c r="P41" s="3">
        <f t="shared" si="5"/>
        <v>28</v>
      </c>
      <c r="Q41" s="70" t="b">
        <v>0</v>
      </c>
      <c r="R41" s="3">
        <f t="shared" si="6"/>
        <v>28</v>
      </c>
      <c r="S41" s="67" t="b">
        <v>0</v>
      </c>
      <c r="T41" s="40">
        <f t="shared" si="7"/>
        <v>0</v>
      </c>
      <c r="U41" s="70" t="b">
        <f>TRUE</f>
        <v>1</v>
      </c>
      <c r="V41" s="3">
        <f t="shared" si="8"/>
        <v>0</v>
      </c>
      <c r="W41" s="70" t="b">
        <v>0</v>
      </c>
      <c r="X41" s="3">
        <f t="shared" si="9"/>
        <v>0</v>
      </c>
      <c r="Y41" s="73" t="b">
        <v>0</v>
      </c>
      <c r="Z41" s="36"/>
    </row>
    <row r="42" spans="1:26" ht="15" x14ac:dyDescent="0.4">
      <c r="A42" s="3">
        <f t="shared" si="0"/>
        <v>29</v>
      </c>
      <c r="B42" s="32">
        <v>45678</v>
      </c>
      <c r="C42" s="33" t="s">
        <v>19</v>
      </c>
      <c r="D42" s="3" cm="1">
        <f t="array" aca="1" ref="D42" ca="1">IF($C42="","",COUNTIF(_xlfn.TAKE(OFFSET($C$14, 0, 0, COUNTA($C$14:$C$113),1),$A42),$C42))</f>
        <v>4</v>
      </c>
      <c r="E42" s="48">
        <v>11700</v>
      </c>
      <c r="F42" s="48">
        <v>1319</v>
      </c>
      <c r="G42" s="35" t="s">
        <v>40</v>
      </c>
      <c r="H42" s="40">
        <f t="shared" si="1"/>
        <v>0</v>
      </c>
      <c r="I42" s="70" t="b">
        <v>0</v>
      </c>
      <c r="J42" s="3">
        <f t="shared" si="2"/>
        <v>0</v>
      </c>
      <c r="K42" s="70" t="b">
        <v>0</v>
      </c>
      <c r="L42" s="3">
        <f t="shared" si="3"/>
        <v>0</v>
      </c>
      <c r="M42" s="67" t="b">
        <v>0</v>
      </c>
      <c r="N42" s="40">
        <f t="shared" si="4"/>
        <v>29</v>
      </c>
      <c r="O42" s="70" t="b">
        <v>0</v>
      </c>
      <c r="P42" s="3">
        <f t="shared" si="5"/>
        <v>29</v>
      </c>
      <c r="Q42" s="70" t="b">
        <v>0</v>
      </c>
      <c r="R42" s="3">
        <f t="shared" si="6"/>
        <v>29</v>
      </c>
      <c r="S42" s="67" t="b">
        <v>0</v>
      </c>
      <c r="T42" s="40">
        <f t="shared" si="7"/>
        <v>0</v>
      </c>
      <c r="U42" s="70" t="b">
        <f>TRUE</f>
        <v>1</v>
      </c>
      <c r="V42" s="3">
        <f t="shared" si="8"/>
        <v>0</v>
      </c>
      <c r="W42" s="70" t="b">
        <v>0</v>
      </c>
      <c r="X42" s="3">
        <f t="shared" si="9"/>
        <v>0</v>
      </c>
      <c r="Y42" s="73" t="b">
        <v>0</v>
      </c>
      <c r="Z42" s="36"/>
    </row>
    <row r="43" spans="1:26" ht="15" x14ac:dyDescent="0.4">
      <c r="A43" s="3">
        <f t="shared" si="0"/>
        <v>30</v>
      </c>
      <c r="B43" s="32">
        <v>45701</v>
      </c>
      <c r="C43" s="33" t="s">
        <v>12</v>
      </c>
      <c r="D43" s="3" cm="1">
        <f t="array" aca="1" ref="D43" ca="1">IF($C43="","",COUNTIF(_xlfn.TAKE(OFFSET($C$14, 0, 0, COUNTA($C$14:$C$113),1),$A43),$C43))</f>
        <v>1</v>
      </c>
      <c r="E43" s="48">
        <v>13720</v>
      </c>
      <c r="F43" s="48">
        <v>1527</v>
      </c>
      <c r="G43" s="35" t="s">
        <v>40</v>
      </c>
      <c r="H43" s="40">
        <f t="shared" si="1"/>
        <v>0</v>
      </c>
      <c r="I43" s="70" t="b">
        <v>0</v>
      </c>
      <c r="J43" s="3">
        <f t="shared" si="2"/>
        <v>0</v>
      </c>
      <c r="K43" s="70" t="b">
        <v>0</v>
      </c>
      <c r="L43" s="3">
        <f t="shared" si="3"/>
        <v>0</v>
      </c>
      <c r="M43" s="67" t="b">
        <v>0</v>
      </c>
      <c r="N43" s="40">
        <f t="shared" si="4"/>
        <v>30</v>
      </c>
      <c r="O43" s="70" t="b">
        <v>0</v>
      </c>
      <c r="P43" s="3">
        <f t="shared" si="5"/>
        <v>30</v>
      </c>
      <c r="Q43" s="70" t="b">
        <v>0</v>
      </c>
      <c r="R43" s="3">
        <f t="shared" si="6"/>
        <v>30</v>
      </c>
      <c r="S43" s="67" t="b">
        <v>0</v>
      </c>
      <c r="T43" s="40">
        <f t="shared" si="7"/>
        <v>0</v>
      </c>
      <c r="U43" s="70" t="b">
        <v>0</v>
      </c>
      <c r="V43" s="3">
        <f t="shared" si="8"/>
        <v>0</v>
      </c>
      <c r="W43" s="70" t="b">
        <v>0</v>
      </c>
      <c r="X43" s="3">
        <f t="shared" si="9"/>
        <v>0</v>
      </c>
      <c r="Y43" s="73" t="b">
        <v>0</v>
      </c>
      <c r="Z43" s="36"/>
    </row>
    <row r="44" spans="1:26" ht="15" x14ac:dyDescent="0.4">
      <c r="A44" s="3">
        <f t="shared" si="0"/>
        <v>31</v>
      </c>
      <c r="B44" s="32">
        <v>45702</v>
      </c>
      <c r="C44" s="33" t="s">
        <v>12</v>
      </c>
      <c r="D44" s="3" cm="1">
        <f t="array" aca="1" ref="D44" ca="1">IF($C44="","",COUNTIF(_xlfn.TAKE(OFFSET($C$14, 0, 0, COUNTA($C$14:$C$113),1),$A44),$C44))</f>
        <v>2</v>
      </c>
      <c r="E44" s="48">
        <v>4560</v>
      </c>
      <c r="F44" s="48">
        <v>612</v>
      </c>
      <c r="G44" s="35" t="s">
        <v>40</v>
      </c>
      <c r="H44" s="40">
        <f t="shared" si="1"/>
        <v>0</v>
      </c>
      <c r="I44" s="70" t="b">
        <v>0</v>
      </c>
      <c r="J44" s="3">
        <f t="shared" si="2"/>
        <v>0</v>
      </c>
      <c r="K44" s="70" t="b">
        <v>0</v>
      </c>
      <c r="L44" s="3">
        <f t="shared" si="3"/>
        <v>0</v>
      </c>
      <c r="M44" s="67" t="b">
        <v>0</v>
      </c>
      <c r="N44" s="40">
        <f t="shared" si="4"/>
        <v>31</v>
      </c>
      <c r="O44" s="70" t="b">
        <v>0</v>
      </c>
      <c r="P44" s="3">
        <f t="shared" si="5"/>
        <v>31</v>
      </c>
      <c r="Q44" s="70" t="b">
        <v>0</v>
      </c>
      <c r="R44" s="3">
        <f t="shared" si="6"/>
        <v>31</v>
      </c>
      <c r="S44" s="67" t="b">
        <v>0</v>
      </c>
      <c r="T44" s="40">
        <f t="shared" si="7"/>
        <v>0</v>
      </c>
      <c r="U44" s="70" t="b">
        <v>0</v>
      </c>
      <c r="V44" s="3">
        <f t="shared" si="8"/>
        <v>0</v>
      </c>
      <c r="W44" s="70" t="b">
        <v>0</v>
      </c>
      <c r="X44" s="3">
        <f t="shared" si="9"/>
        <v>0</v>
      </c>
      <c r="Y44" s="73" t="b">
        <v>0</v>
      </c>
      <c r="Z44" s="36"/>
    </row>
    <row r="45" spans="1:26" ht="15" x14ac:dyDescent="0.4">
      <c r="A45" s="3">
        <f t="shared" si="0"/>
        <v>32</v>
      </c>
      <c r="B45" s="32">
        <v>45703</v>
      </c>
      <c r="C45" s="33" t="s">
        <v>12</v>
      </c>
      <c r="D45" s="3" cm="1">
        <f t="array" aca="1" ref="D45" ca="1">IF($C45="","",COUNTIF(_xlfn.TAKE(OFFSET($C$14, 0, 0, COUNTA($C$14:$C$113),1),$A45),$C45))</f>
        <v>3</v>
      </c>
      <c r="E45" s="48">
        <v>8580</v>
      </c>
      <c r="F45" s="48">
        <v>1233</v>
      </c>
      <c r="G45" s="35" t="s">
        <v>40</v>
      </c>
      <c r="H45" s="40">
        <f t="shared" si="1"/>
        <v>0</v>
      </c>
      <c r="I45" s="70" t="b">
        <v>0</v>
      </c>
      <c r="J45" s="3">
        <f t="shared" si="2"/>
        <v>0</v>
      </c>
      <c r="K45" s="70" t="b">
        <v>0</v>
      </c>
      <c r="L45" s="3">
        <f t="shared" si="3"/>
        <v>0</v>
      </c>
      <c r="M45" s="67" t="b">
        <v>0</v>
      </c>
      <c r="N45" s="40">
        <f t="shared" si="4"/>
        <v>32</v>
      </c>
      <c r="O45" s="70" t="b">
        <v>0</v>
      </c>
      <c r="P45" s="3">
        <f t="shared" si="5"/>
        <v>32</v>
      </c>
      <c r="Q45" s="70" t="b">
        <v>0</v>
      </c>
      <c r="R45" s="3">
        <f t="shared" si="6"/>
        <v>32</v>
      </c>
      <c r="S45" s="67" t="b">
        <v>0</v>
      </c>
      <c r="T45" s="40">
        <f t="shared" si="7"/>
        <v>0</v>
      </c>
      <c r="U45" s="70" t="b">
        <v>0</v>
      </c>
      <c r="V45" s="3">
        <f t="shared" si="8"/>
        <v>0</v>
      </c>
      <c r="W45" s="70" t="b">
        <v>0</v>
      </c>
      <c r="X45" s="3">
        <f t="shared" si="9"/>
        <v>0</v>
      </c>
      <c r="Y45" s="73" t="b">
        <v>0</v>
      </c>
      <c r="Z45" s="36"/>
    </row>
    <row r="46" spans="1:26" ht="15" x14ac:dyDescent="0.4">
      <c r="A46" s="3">
        <f t="shared" si="0"/>
        <v>33</v>
      </c>
      <c r="B46" s="32">
        <v>45704</v>
      </c>
      <c r="C46" s="33" t="s">
        <v>12</v>
      </c>
      <c r="D46" s="3" cm="1">
        <f t="array" aca="1" ref="D46" ca="1">IF($C46="","",COUNTIF(_xlfn.TAKE(OFFSET($C$14, 0, 0, COUNTA($C$14:$C$113),1),$A46),$C46))</f>
        <v>4</v>
      </c>
      <c r="E46" s="48">
        <v>7900</v>
      </c>
      <c r="F46" s="48">
        <v>1068</v>
      </c>
      <c r="G46" s="35" t="s">
        <v>40</v>
      </c>
      <c r="H46" s="40">
        <f t="shared" si="1"/>
        <v>0</v>
      </c>
      <c r="I46" s="70" t="b">
        <v>0</v>
      </c>
      <c r="J46" s="3">
        <f t="shared" si="2"/>
        <v>0</v>
      </c>
      <c r="K46" s="70" t="b">
        <v>0</v>
      </c>
      <c r="L46" s="3">
        <f t="shared" si="3"/>
        <v>0</v>
      </c>
      <c r="M46" s="67" t="b">
        <v>0</v>
      </c>
      <c r="N46" s="40">
        <f t="shared" si="4"/>
        <v>33</v>
      </c>
      <c r="O46" s="70" t="b">
        <v>0</v>
      </c>
      <c r="P46" s="3">
        <f t="shared" si="5"/>
        <v>33</v>
      </c>
      <c r="Q46" s="70" t="b">
        <v>0</v>
      </c>
      <c r="R46" s="3">
        <f t="shared" si="6"/>
        <v>33</v>
      </c>
      <c r="S46" s="67" t="b">
        <v>0</v>
      </c>
      <c r="T46" s="40">
        <f t="shared" si="7"/>
        <v>0</v>
      </c>
      <c r="U46" s="70" t="b">
        <v>0</v>
      </c>
      <c r="V46" s="3">
        <f t="shared" si="8"/>
        <v>0</v>
      </c>
      <c r="W46" s="70" t="b">
        <v>0</v>
      </c>
      <c r="X46" s="3">
        <f t="shared" si="9"/>
        <v>0</v>
      </c>
      <c r="Y46" s="73" t="b">
        <v>0</v>
      </c>
      <c r="Z46" s="36"/>
    </row>
    <row r="47" spans="1:26" ht="15" x14ac:dyDescent="0.4">
      <c r="A47" s="3">
        <f t="shared" si="0"/>
        <v>34</v>
      </c>
      <c r="B47" s="32">
        <v>45706</v>
      </c>
      <c r="C47" s="33" t="s">
        <v>12</v>
      </c>
      <c r="D47" s="3" cm="1">
        <f t="array" aca="1" ref="D47" ca="1">IF($C47="","",COUNTIF(_xlfn.TAKE(OFFSET($C$14, 0, 0, COUNTA($C$14:$C$113),1),$A47),$C47))</f>
        <v>5</v>
      </c>
      <c r="E47" s="48">
        <v>8540</v>
      </c>
      <c r="F47" s="48">
        <v>1470</v>
      </c>
      <c r="G47" s="35" t="s">
        <v>40</v>
      </c>
      <c r="H47" s="40">
        <f t="shared" si="1"/>
        <v>0</v>
      </c>
      <c r="I47" s="70" t="b">
        <v>0</v>
      </c>
      <c r="J47" s="3">
        <f t="shared" si="2"/>
        <v>0</v>
      </c>
      <c r="K47" s="70" t="b">
        <v>0</v>
      </c>
      <c r="L47" s="3">
        <f t="shared" si="3"/>
        <v>0</v>
      </c>
      <c r="M47" s="67" t="b">
        <v>0</v>
      </c>
      <c r="N47" s="40">
        <f t="shared" si="4"/>
        <v>34</v>
      </c>
      <c r="O47" s="70" t="b">
        <v>0</v>
      </c>
      <c r="P47" s="3">
        <f t="shared" si="5"/>
        <v>34</v>
      </c>
      <c r="Q47" s="70" t="b">
        <v>0</v>
      </c>
      <c r="R47" s="3">
        <f t="shared" si="6"/>
        <v>34</v>
      </c>
      <c r="S47" s="67" t="b">
        <v>0</v>
      </c>
      <c r="T47" s="40">
        <f t="shared" si="7"/>
        <v>0</v>
      </c>
      <c r="U47" s="70" t="b">
        <v>0</v>
      </c>
      <c r="V47" s="3">
        <f t="shared" si="8"/>
        <v>0</v>
      </c>
      <c r="W47" s="70" t="b">
        <v>0</v>
      </c>
      <c r="X47" s="3">
        <f t="shared" si="9"/>
        <v>0</v>
      </c>
      <c r="Y47" s="73" t="b">
        <v>0</v>
      </c>
      <c r="Z47" s="36"/>
    </row>
    <row r="48" spans="1:26" ht="15" x14ac:dyDescent="0.4">
      <c r="A48" s="3">
        <f t="shared" si="0"/>
        <v>35</v>
      </c>
      <c r="B48" s="32">
        <v>45707</v>
      </c>
      <c r="C48" s="33" t="s">
        <v>12</v>
      </c>
      <c r="D48" s="3" cm="1">
        <f t="array" aca="1" ref="D48" ca="1">IF($C48="","",COUNTIF(_xlfn.TAKE(OFFSET($C$14, 0, 0, COUNTA($C$14:$C$113),1),$A48),$C48))</f>
        <v>6</v>
      </c>
      <c r="E48" s="48">
        <v>17485</v>
      </c>
      <c r="F48" s="48">
        <v>2867</v>
      </c>
      <c r="G48" s="35" t="s">
        <v>40</v>
      </c>
      <c r="H48" s="40">
        <f t="shared" si="1"/>
        <v>0</v>
      </c>
      <c r="I48" s="70" t="b">
        <v>0</v>
      </c>
      <c r="J48" s="3">
        <f t="shared" si="2"/>
        <v>0</v>
      </c>
      <c r="K48" s="70" t="b">
        <v>0</v>
      </c>
      <c r="L48" s="3">
        <f t="shared" si="3"/>
        <v>0</v>
      </c>
      <c r="M48" s="67" t="b">
        <v>0</v>
      </c>
      <c r="N48" s="40">
        <f t="shared" si="4"/>
        <v>35</v>
      </c>
      <c r="O48" s="70" t="b">
        <v>0</v>
      </c>
      <c r="P48" s="3">
        <f t="shared" si="5"/>
        <v>35</v>
      </c>
      <c r="Q48" s="70" t="b">
        <v>0</v>
      </c>
      <c r="R48" s="3">
        <f t="shared" si="6"/>
        <v>35</v>
      </c>
      <c r="S48" s="67" t="b">
        <v>0</v>
      </c>
      <c r="T48" s="40">
        <f t="shared" si="7"/>
        <v>0</v>
      </c>
      <c r="U48" s="70" t="b">
        <v>0</v>
      </c>
      <c r="V48" s="3">
        <f t="shared" si="8"/>
        <v>0</v>
      </c>
      <c r="W48" s="70" t="b">
        <v>0</v>
      </c>
      <c r="X48" s="3">
        <f t="shared" si="9"/>
        <v>0</v>
      </c>
      <c r="Y48" s="73" t="b">
        <v>0</v>
      </c>
      <c r="Z48" s="36"/>
    </row>
    <row r="49" spans="1:26" ht="15" x14ac:dyDescent="0.4">
      <c r="A49" s="3">
        <f t="shared" si="0"/>
        <v>36</v>
      </c>
      <c r="B49" s="32">
        <v>45708</v>
      </c>
      <c r="C49" s="33" t="s">
        <v>12</v>
      </c>
      <c r="D49" s="3" cm="1">
        <f t="array" aca="1" ref="D49" ca="1">IF($C49="","",COUNTIF(_xlfn.TAKE(OFFSET($C$14, 0, 0, COUNTA($C$14:$C$113),1),$A49),$C49))</f>
        <v>7</v>
      </c>
      <c r="E49" s="48">
        <v>8420</v>
      </c>
      <c r="F49" s="48">
        <v>1215</v>
      </c>
      <c r="G49" s="35" t="s">
        <v>40</v>
      </c>
      <c r="H49" s="40">
        <f t="shared" si="1"/>
        <v>0</v>
      </c>
      <c r="I49" s="70" t="b">
        <v>0</v>
      </c>
      <c r="J49" s="3">
        <f t="shared" si="2"/>
        <v>0</v>
      </c>
      <c r="K49" s="70" t="b">
        <v>0</v>
      </c>
      <c r="L49" s="3">
        <f t="shared" si="3"/>
        <v>0</v>
      </c>
      <c r="M49" s="67" t="b">
        <v>0</v>
      </c>
      <c r="N49" s="40">
        <f t="shared" si="4"/>
        <v>36</v>
      </c>
      <c r="O49" s="70" t="b">
        <v>0</v>
      </c>
      <c r="P49" s="3">
        <f t="shared" si="5"/>
        <v>36</v>
      </c>
      <c r="Q49" s="70" t="b">
        <v>0</v>
      </c>
      <c r="R49" s="3">
        <f t="shared" si="6"/>
        <v>36</v>
      </c>
      <c r="S49" s="67" t="b">
        <v>0</v>
      </c>
      <c r="T49" s="40">
        <f t="shared" si="7"/>
        <v>0</v>
      </c>
      <c r="U49" s="70" t="b">
        <v>0</v>
      </c>
      <c r="V49" s="3">
        <f t="shared" si="8"/>
        <v>0</v>
      </c>
      <c r="W49" s="70" t="b">
        <v>0</v>
      </c>
      <c r="X49" s="3">
        <f t="shared" si="9"/>
        <v>0</v>
      </c>
      <c r="Y49" s="73" t="b">
        <v>0</v>
      </c>
      <c r="Z49" s="36"/>
    </row>
    <row r="50" spans="1:26" ht="15" x14ac:dyDescent="0.4">
      <c r="A50" s="3">
        <f t="shared" si="0"/>
        <v>37</v>
      </c>
      <c r="B50" s="32">
        <v>45709</v>
      </c>
      <c r="C50" s="33" t="s">
        <v>12</v>
      </c>
      <c r="D50" s="3" cm="1">
        <f t="array" aca="1" ref="D50" ca="1">IF($C50="","",COUNTIF(_xlfn.TAKE(OFFSET($C$14, 0, 0, COUNTA($C$14:$C$113),1),$A50),$C50))</f>
        <v>8</v>
      </c>
      <c r="E50" s="48">
        <v>6800</v>
      </c>
      <c r="F50" s="48">
        <v>1077</v>
      </c>
      <c r="G50" s="35" t="s">
        <v>40</v>
      </c>
      <c r="H50" s="40">
        <f t="shared" si="1"/>
        <v>0</v>
      </c>
      <c r="I50" s="70" t="b">
        <v>0</v>
      </c>
      <c r="J50" s="3">
        <f t="shared" si="2"/>
        <v>0</v>
      </c>
      <c r="K50" s="70" t="b">
        <v>0</v>
      </c>
      <c r="L50" s="3">
        <f t="shared" si="3"/>
        <v>0</v>
      </c>
      <c r="M50" s="67" t="b">
        <v>0</v>
      </c>
      <c r="N50" s="40">
        <f t="shared" si="4"/>
        <v>37</v>
      </c>
      <c r="O50" s="70" t="b">
        <v>0</v>
      </c>
      <c r="P50" s="3">
        <f t="shared" si="5"/>
        <v>37</v>
      </c>
      <c r="Q50" s="70" t="b">
        <v>0</v>
      </c>
      <c r="R50" s="3">
        <f t="shared" si="6"/>
        <v>37</v>
      </c>
      <c r="S50" s="67" t="b">
        <v>0</v>
      </c>
      <c r="T50" s="40">
        <f t="shared" si="7"/>
        <v>0</v>
      </c>
      <c r="U50" s="70" t="b">
        <v>0</v>
      </c>
      <c r="V50" s="3">
        <f t="shared" si="8"/>
        <v>0</v>
      </c>
      <c r="W50" s="70" t="b">
        <v>0</v>
      </c>
      <c r="X50" s="3">
        <f t="shared" si="9"/>
        <v>0</v>
      </c>
      <c r="Y50" s="73" t="b">
        <v>0</v>
      </c>
      <c r="Z50" s="36"/>
    </row>
    <row r="51" spans="1:26" ht="15" x14ac:dyDescent="0.4">
      <c r="A51" s="3">
        <f t="shared" si="0"/>
        <v>38</v>
      </c>
      <c r="B51" s="32">
        <v>45710</v>
      </c>
      <c r="C51" s="33" t="s">
        <v>12</v>
      </c>
      <c r="D51" s="3" cm="1">
        <f t="array" aca="1" ref="D51" ca="1">IF($C51="","",COUNTIF(_xlfn.TAKE(OFFSET($C$14, 0, 0, COUNTA($C$14:$C$113),1),$A51),$C51))</f>
        <v>9</v>
      </c>
      <c r="E51" s="48">
        <v>9445</v>
      </c>
      <c r="F51" s="48">
        <v>839</v>
      </c>
      <c r="G51" s="35" t="s">
        <v>40</v>
      </c>
      <c r="H51" s="40">
        <f t="shared" si="1"/>
        <v>0</v>
      </c>
      <c r="I51" s="70" t="b">
        <v>0</v>
      </c>
      <c r="J51" s="3">
        <f t="shared" si="2"/>
        <v>0</v>
      </c>
      <c r="K51" s="70" t="b">
        <v>0</v>
      </c>
      <c r="L51" s="3">
        <f t="shared" si="3"/>
        <v>0</v>
      </c>
      <c r="M51" s="67" t="b">
        <v>0</v>
      </c>
      <c r="N51" s="40">
        <f t="shared" si="4"/>
        <v>38</v>
      </c>
      <c r="O51" s="70" t="b">
        <v>0</v>
      </c>
      <c r="P51" s="3">
        <f t="shared" si="5"/>
        <v>38</v>
      </c>
      <c r="Q51" s="70" t="b">
        <v>0</v>
      </c>
      <c r="R51" s="3">
        <f t="shared" si="6"/>
        <v>38</v>
      </c>
      <c r="S51" s="67" t="b">
        <v>0</v>
      </c>
      <c r="T51" s="40">
        <f t="shared" si="7"/>
        <v>0</v>
      </c>
      <c r="U51" s="70" t="b">
        <v>0</v>
      </c>
      <c r="V51" s="3">
        <f t="shared" si="8"/>
        <v>0</v>
      </c>
      <c r="W51" s="70" t="b">
        <v>0</v>
      </c>
      <c r="X51" s="3">
        <f t="shared" si="9"/>
        <v>0</v>
      </c>
      <c r="Y51" s="73" t="b">
        <v>0</v>
      </c>
      <c r="Z51" s="36"/>
    </row>
    <row r="52" spans="1:26" ht="15" x14ac:dyDescent="0.4">
      <c r="A52" s="3">
        <f t="shared" si="0"/>
        <v>39</v>
      </c>
      <c r="B52" s="32">
        <v>45712</v>
      </c>
      <c r="C52" s="33" t="s">
        <v>12</v>
      </c>
      <c r="D52" s="3" cm="1">
        <f t="array" aca="1" ref="D52" ca="1">IF($C52="","",COUNTIF(_xlfn.TAKE(OFFSET($C$14, 0, 0, COUNTA($C$14:$C$113),1),$A52),$C52))</f>
        <v>10</v>
      </c>
      <c r="E52" s="48">
        <v>10350</v>
      </c>
      <c r="F52" s="48">
        <v>1280</v>
      </c>
      <c r="G52" s="35" t="s">
        <v>40</v>
      </c>
      <c r="H52" s="40">
        <f t="shared" si="1"/>
        <v>0</v>
      </c>
      <c r="I52" s="70" t="b">
        <v>0</v>
      </c>
      <c r="J52" s="3">
        <f t="shared" si="2"/>
        <v>0</v>
      </c>
      <c r="K52" s="70" t="b">
        <v>0</v>
      </c>
      <c r="L52" s="3">
        <f t="shared" si="3"/>
        <v>0</v>
      </c>
      <c r="M52" s="67" t="b">
        <v>0</v>
      </c>
      <c r="N52" s="40">
        <f t="shared" si="4"/>
        <v>39</v>
      </c>
      <c r="O52" s="70" t="b">
        <v>0</v>
      </c>
      <c r="P52" s="3">
        <f t="shared" si="5"/>
        <v>39</v>
      </c>
      <c r="Q52" s="70" t="b">
        <v>0</v>
      </c>
      <c r="R52" s="3">
        <f t="shared" si="6"/>
        <v>39</v>
      </c>
      <c r="S52" s="67" t="b">
        <v>0</v>
      </c>
      <c r="T52" s="40">
        <f t="shared" si="7"/>
        <v>0</v>
      </c>
      <c r="U52" s="70" t="b">
        <f>TRUE</f>
        <v>1</v>
      </c>
      <c r="V52" s="3">
        <f t="shared" si="8"/>
        <v>0</v>
      </c>
      <c r="W52" s="70" t="b">
        <v>0</v>
      </c>
      <c r="X52" s="3">
        <f t="shared" si="9"/>
        <v>0</v>
      </c>
      <c r="Y52" s="73" t="b">
        <v>0</v>
      </c>
      <c r="Z52" s="36"/>
    </row>
    <row r="53" spans="1:26" ht="15" x14ac:dyDescent="0.4">
      <c r="A53" s="3">
        <f t="shared" si="0"/>
        <v>40</v>
      </c>
      <c r="B53" s="32">
        <v>45729</v>
      </c>
      <c r="C53" s="33" t="s">
        <v>17</v>
      </c>
      <c r="D53" s="3" cm="1">
        <f t="array" aca="1" ref="D53" ca="1">IF($C53="","",COUNTIF(_xlfn.TAKE(OFFSET($C$14, 0, 0, COUNTA($C$14:$C$113),1),$A53),$C53))</f>
        <v>1</v>
      </c>
      <c r="E53" s="48">
        <v>7090</v>
      </c>
      <c r="F53" s="48">
        <v>1658</v>
      </c>
      <c r="G53" s="35" t="s">
        <v>40</v>
      </c>
      <c r="H53" s="40">
        <f t="shared" si="1"/>
        <v>0</v>
      </c>
      <c r="I53" s="70" t="b">
        <v>0</v>
      </c>
      <c r="J53" s="3">
        <f t="shared" si="2"/>
        <v>0</v>
      </c>
      <c r="K53" s="70" t="b">
        <v>0</v>
      </c>
      <c r="L53" s="3">
        <f t="shared" si="3"/>
        <v>0</v>
      </c>
      <c r="M53" s="67" t="b">
        <v>0</v>
      </c>
      <c r="N53" s="40">
        <f t="shared" si="4"/>
        <v>40</v>
      </c>
      <c r="O53" s="70" t="b">
        <v>0</v>
      </c>
      <c r="P53" s="3">
        <f t="shared" si="5"/>
        <v>40</v>
      </c>
      <c r="Q53" s="70" t="b">
        <v>0</v>
      </c>
      <c r="R53" s="3">
        <f t="shared" si="6"/>
        <v>40</v>
      </c>
      <c r="S53" s="67" t="b">
        <v>0</v>
      </c>
      <c r="T53" s="40">
        <f t="shared" si="7"/>
        <v>0</v>
      </c>
      <c r="U53" s="70" t="b">
        <v>0</v>
      </c>
      <c r="V53" s="3">
        <f t="shared" si="8"/>
        <v>0</v>
      </c>
      <c r="W53" s="70" t="b">
        <v>0</v>
      </c>
      <c r="X53" s="3">
        <f t="shared" si="9"/>
        <v>0</v>
      </c>
      <c r="Y53" s="73" t="b">
        <v>0</v>
      </c>
      <c r="Z53" s="36"/>
    </row>
    <row r="54" spans="1:26" ht="15" x14ac:dyDescent="0.4">
      <c r="A54" s="3">
        <f t="shared" si="0"/>
        <v>41</v>
      </c>
      <c r="B54" s="32" t="s">
        <v>88</v>
      </c>
      <c r="C54" s="33" t="s">
        <v>11</v>
      </c>
      <c r="D54" s="3" cm="1">
        <f t="array" aca="1" ref="D54" ca="1">IF($C54="","",COUNTIF(_xlfn.TAKE(OFFSET($C$14, 0, 0, COUNTA($C$14:$C$113),1),$A54),$C54))</f>
        <v>1</v>
      </c>
      <c r="E54" s="48">
        <v>5590</v>
      </c>
      <c r="F54" s="48">
        <v>705</v>
      </c>
      <c r="G54" s="35" t="s">
        <v>40</v>
      </c>
      <c r="H54" s="40">
        <f t="shared" si="1"/>
        <v>0</v>
      </c>
      <c r="I54" s="70" t="b">
        <f>TRUE</f>
        <v>1</v>
      </c>
      <c r="J54" s="3">
        <f t="shared" si="2"/>
        <v>0</v>
      </c>
      <c r="K54" s="70" t="b">
        <f>TRUE</f>
        <v>1</v>
      </c>
      <c r="L54" s="3">
        <f t="shared" si="3"/>
        <v>0</v>
      </c>
      <c r="M54" s="67" t="b">
        <f>TRUE</f>
        <v>1</v>
      </c>
      <c r="N54" s="40">
        <f t="shared" si="4"/>
        <v>41</v>
      </c>
      <c r="O54" s="70" t="b">
        <v>0</v>
      </c>
      <c r="P54" s="3">
        <f t="shared" si="5"/>
        <v>41</v>
      </c>
      <c r="Q54" s="70" t="b">
        <v>0</v>
      </c>
      <c r="R54" s="3">
        <f t="shared" si="6"/>
        <v>41</v>
      </c>
      <c r="S54" s="67" t="b">
        <v>0</v>
      </c>
      <c r="T54" s="40">
        <f t="shared" si="7"/>
        <v>0</v>
      </c>
      <c r="U54" s="70" t="b">
        <v>0</v>
      </c>
      <c r="V54" s="3">
        <f t="shared" si="8"/>
        <v>0</v>
      </c>
      <c r="W54" s="70" t="b">
        <v>0</v>
      </c>
      <c r="X54" s="3">
        <f t="shared" si="9"/>
        <v>0</v>
      </c>
      <c r="Y54" s="73" t="b">
        <v>0</v>
      </c>
      <c r="Z54" s="36" t="s">
        <v>65</v>
      </c>
    </row>
    <row r="55" spans="1:26" ht="15" x14ac:dyDescent="0.4">
      <c r="A55" s="3">
        <f t="shared" si="0"/>
        <v>42</v>
      </c>
      <c r="B55" s="32">
        <v>45731</v>
      </c>
      <c r="C55" s="33" t="s">
        <v>38</v>
      </c>
      <c r="D55" s="3" cm="1">
        <f t="array" aca="1" ref="D55" ca="1">IF($C55="","",COUNTIF(_xlfn.TAKE(OFFSET($C$14, 0, 0, COUNTA($C$14:$C$113),1),$A55),$C55))</f>
        <v>1</v>
      </c>
      <c r="E55" s="48">
        <v>8180</v>
      </c>
      <c r="F55" s="48">
        <v>1051</v>
      </c>
      <c r="G55" s="35" t="s">
        <v>41</v>
      </c>
      <c r="H55" s="40">
        <f t="shared" si="1"/>
        <v>0</v>
      </c>
      <c r="I55" s="70" t="b">
        <v>0</v>
      </c>
      <c r="J55" s="3">
        <f t="shared" si="2"/>
        <v>0</v>
      </c>
      <c r="K55" s="70" t="b">
        <v>0</v>
      </c>
      <c r="L55" s="3">
        <f t="shared" si="3"/>
        <v>0</v>
      </c>
      <c r="M55" s="67" t="b">
        <v>0</v>
      </c>
      <c r="N55" s="40">
        <f t="shared" si="4"/>
        <v>41</v>
      </c>
      <c r="O55" s="70" t="b">
        <f>TRUE</f>
        <v>1</v>
      </c>
      <c r="P55" s="3">
        <f t="shared" si="5"/>
        <v>41</v>
      </c>
      <c r="Q55" s="70" t="b">
        <f>TRUE</f>
        <v>1</v>
      </c>
      <c r="R55" s="3">
        <f t="shared" si="6"/>
        <v>41</v>
      </c>
      <c r="S55" s="67" t="b">
        <f>TRUE</f>
        <v>1</v>
      </c>
      <c r="T55" s="40">
        <f t="shared" si="7"/>
        <v>1</v>
      </c>
      <c r="U55" s="70" t="b">
        <v>0</v>
      </c>
      <c r="V55" s="3">
        <f t="shared" si="8"/>
        <v>1</v>
      </c>
      <c r="W55" s="70" t="b">
        <v>0</v>
      </c>
      <c r="X55" s="3">
        <f t="shared" si="9"/>
        <v>1</v>
      </c>
      <c r="Y55" s="73" t="b">
        <v>0</v>
      </c>
      <c r="Z55" s="36" t="s">
        <v>66</v>
      </c>
    </row>
    <row r="56" spans="1:26" ht="15" x14ac:dyDescent="0.4">
      <c r="A56" s="3">
        <f t="shared" si="0"/>
        <v>43</v>
      </c>
      <c r="B56" s="32">
        <v>45733</v>
      </c>
      <c r="C56" s="33" t="s">
        <v>8</v>
      </c>
      <c r="D56" s="3" cm="1">
        <f t="array" aca="1" ref="D56" ca="1">IF($C56="","",COUNTIF(_xlfn.TAKE(OFFSET($C$14, 0, 0, COUNTA($C$14:$C$113),1),$A56),$C56))</f>
        <v>1</v>
      </c>
      <c r="E56" s="48">
        <v>12630</v>
      </c>
      <c r="F56" s="48">
        <v>2030</v>
      </c>
      <c r="G56" s="35" t="s">
        <v>42</v>
      </c>
      <c r="H56" s="40">
        <f t="shared" si="1"/>
        <v>1</v>
      </c>
      <c r="I56" s="70" t="b">
        <v>0</v>
      </c>
      <c r="J56" s="3">
        <f t="shared" si="2"/>
        <v>1</v>
      </c>
      <c r="K56" s="70" t="b">
        <v>0</v>
      </c>
      <c r="L56" s="3">
        <f t="shared" si="3"/>
        <v>1</v>
      </c>
      <c r="M56" s="67" t="b">
        <v>0</v>
      </c>
      <c r="N56" s="40">
        <f t="shared" si="4"/>
        <v>0</v>
      </c>
      <c r="O56" s="70" t="b">
        <v>0</v>
      </c>
      <c r="P56" s="3">
        <f t="shared" si="5"/>
        <v>0</v>
      </c>
      <c r="Q56" s="70" t="b">
        <v>0</v>
      </c>
      <c r="R56" s="3">
        <f t="shared" si="6"/>
        <v>0</v>
      </c>
      <c r="S56" s="67" t="b">
        <v>0</v>
      </c>
      <c r="T56" s="40">
        <f t="shared" si="7"/>
        <v>0</v>
      </c>
      <c r="U56" s="70" t="b">
        <v>0</v>
      </c>
      <c r="V56" s="3">
        <f t="shared" si="8"/>
        <v>1</v>
      </c>
      <c r="W56" s="70" t="b">
        <v>0</v>
      </c>
      <c r="X56" s="3">
        <f t="shared" si="9"/>
        <v>1</v>
      </c>
      <c r="Y56" s="73" t="b">
        <v>0</v>
      </c>
      <c r="Z56" s="36"/>
    </row>
    <row r="57" spans="1:26" ht="15" x14ac:dyDescent="0.4">
      <c r="A57" s="3">
        <f t="shared" si="0"/>
        <v>44</v>
      </c>
      <c r="B57" s="32">
        <v>45734</v>
      </c>
      <c r="C57" s="33" t="s">
        <v>17</v>
      </c>
      <c r="D57" s="3" cm="1">
        <f t="array" aca="1" ref="D57" ca="1">IF($C57="","",COUNTIF(_xlfn.TAKE(OFFSET($C$14, 0, 0, COUNTA($C$14:$C$113),1),$A57),$C57))</f>
        <v>2</v>
      </c>
      <c r="E57" s="48">
        <v>2220</v>
      </c>
      <c r="F57" s="48">
        <v>646</v>
      </c>
      <c r="G57" s="35" t="s">
        <v>41</v>
      </c>
      <c r="H57" s="40">
        <f t="shared" si="1"/>
        <v>1</v>
      </c>
      <c r="I57" s="70" t="b">
        <v>0</v>
      </c>
      <c r="J57" s="3">
        <f t="shared" si="2"/>
        <v>1</v>
      </c>
      <c r="K57" s="70" t="b">
        <v>0</v>
      </c>
      <c r="L57" s="3">
        <f t="shared" si="3"/>
        <v>1</v>
      </c>
      <c r="M57" s="67" t="b">
        <v>0</v>
      </c>
      <c r="N57" s="40">
        <f t="shared" si="4"/>
        <v>0</v>
      </c>
      <c r="O57" s="70" t="b">
        <v>0</v>
      </c>
      <c r="P57" s="3">
        <f t="shared" si="5"/>
        <v>0</v>
      </c>
      <c r="Q57" s="70" t="b">
        <v>0</v>
      </c>
      <c r="R57" s="3">
        <f t="shared" si="6"/>
        <v>0</v>
      </c>
      <c r="S57" s="67" t="b">
        <v>0</v>
      </c>
      <c r="T57" s="40">
        <f t="shared" si="7"/>
        <v>1</v>
      </c>
      <c r="U57" s="70" t="b">
        <v>0</v>
      </c>
      <c r="V57" s="3">
        <f t="shared" si="8"/>
        <v>2</v>
      </c>
      <c r="W57" s="70" t="b">
        <v>0</v>
      </c>
      <c r="X57" s="3">
        <f t="shared" si="9"/>
        <v>2</v>
      </c>
      <c r="Y57" s="73" t="b">
        <v>0</v>
      </c>
      <c r="Z57" s="36"/>
    </row>
    <row r="58" spans="1:26" ht="15" x14ac:dyDescent="0.4">
      <c r="A58" s="3">
        <f t="shared" si="0"/>
        <v>45</v>
      </c>
      <c r="B58" s="32">
        <v>45735</v>
      </c>
      <c r="C58" s="33" t="s">
        <v>17</v>
      </c>
      <c r="D58" s="3" cm="1">
        <f t="array" aca="1" ref="D58" ca="1">IF($C58="","",COUNTIF(_xlfn.TAKE(OFFSET($C$14, 0, 0, COUNTA($C$14:$C$113),1),$A58),$C58))</f>
        <v>3</v>
      </c>
      <c r="E58" s="48">
        <v>6200</v>
      </c>
      <c r="F58" s="48">
        <v>1258</v>
      </c>
      <c r="G58" s="35" t="s">
        <v>41</v>
      </c>
      <c r="H58" s="40">
        <f t="shared" si="1"/>
        <v>1</v>
      </c>
      <c r="I58" s="70" t="b">
        <v>0</v>
      </c>
      <c r="J58" s="3">
        <f t="shared" si="2"/>
        <v>1</v>
      </c>
      <c r="K58" s="70" t="b">
        <v>0</v>
      </c>
      <c r="L58" s="3">
        <f t="shared" si="3"/>
        <v>1</v>
      </c>
      <c r="M58" s="67" t="b">
        <v>0</v>
      </c>
      <c r="N58" s="40">
        <f t="shared" si="4"/>
        <v>0</v>
      </c>
      <c r="O58" s="70" t="b">
        <v>0</v>
      </c>
      <c r="P58" s="3">
        <f t="shared" si="5"/>
        <v>0</v>
      </c>
      <c r="Q58" s="70" t="b">
        <v>0</v>
      </c>
      <c r="R58" s="3">
        <f t="shared" si="6"/>
        <v>0</v>
      </c>
      <c r="S58" s="67" t="b">
        <v>0</v>
      </c>
      <c r="T58" s="40">
        <f t="shared" si="7"/>
        <v>1</v>
      </c>
      <c r="U58" s="70" t="b">
        <v>0</v>
      </c>
      <c r="V58" s="3">
        <f t="shared" si="8"/>
        <v>3</v>
      </c>
      <c r="W58" s="70" t="b">
        <v>0</v>
      </c>
      <c r="X58" s="3">
        <f t="shared" si="9"/>
        <v>3</v>
      </c>
      <c r="Y58" s="73" t="b">
        <v>0</v>
      </c>
      <c r="Z58" s="36"/>
    </row>
    <row r="59" spans="1:26" ht="15" x14ac:dyDescent="0.4">
      <c r="A59" s="3">
        <f t="shared" si="0"/>
        <v>46</v>
      </c>
      <c r="B59" s="32">
        <v>45736</v>
      </c>
      <c r="C59" s="33" t="s">
        <v>38</v>
      </c>
      <c r="D59" s="3" cm="1">
        <f t="array" aca="1" ref="D59" ca="1">IF($C59="","",COUNTIF(_xlfn.TAKE(OFFSET($C$14, 0, 0, COUNTA($C$14:$C$113),1),$A59),$C59))</f>
        <v>2</v>
      </c>
      <c r="E59" s="48">
        <v>8625</v>
      </c>
      <c r="F59" s="48">
        <v>1928</v>
      </c>
      <c r="G59" s="35" t="s">
        <v>42</v>
      </c>
      <c r="H59" s="40">
        <f t="shared" si="1"/>
        <v>2</v>
      </c>
      <c r="I59" s="70" t="b">
        <v>0</v>
      </c>
      <c r="J59" s="3">
        <f t="shared" si="2"/>
        <v>2</v>
      </c>
      <c r="K59" s="70" t="b">
        <v>0</v>
      </c>
      <c r="L59" s="3">
        <f t="shared" si="3"/>
        <v>2</v>
      </c>
      <c r="M59" s="67" t="b">
        <v>0</v>
      </c>
      <c r="N59" s="40">
        <f t="shared" si="4"/>
        <v>0</v>
      </c>
      <c r="O59" s="70" t="b">
        <v>0</v>
      </c>
      <c r="P59" s="3">
        <f t="shared" si="5"/>
        <v>0</v>
      </c>
      <c r="Q59" s="70" t="b">
        <v>0</v>
      </c>
      <c r="R59" s="3">
        <f t="shared" si="6"/>
        <v>0</v>
      </c>
      <c r="S59" s="67" t="b">
        <v>0</v>
      </c>
      <c r="T59" s="40">
        <f t="shared" si="7"/>
        <v>0</v>
      </c>
      <c r="U59" s="70" t="b">
        <v>0</v>
      </c>
      <c r="V59" s="3">
        <f t="shared" si="8"/>
        <v>3</v>
      </c>
      <c r="W59" s="70" t="b">
        <v>0</v>
      </c>
      <c r="X59" s="3">
        <f t="shared" si="9"/>
        <v>3</v>
      </c>
      <c r="Y59" s="73" t="b">
        <v>0</v>
      </c>
      <c r="Z59" s="36"/>
    </row>
    <row r="60" spans="1:26" ht="15" x14ac:dyDescent="0.4">
      <c r="A60" s="3">
        <f t="shared" si="0"/>
        <v>47</v>
      </c>
      <c r="B60" s="32">
        <v>45737</v>
      </c>
      <c r="C60" s="33" t="s">
        <v>17</v>
      </c>
      <c r="D60" s="3" cm="1">
        <f t="array" aca="1" ref="D60" ca="1">IF($C60="","",COUNTIF(_xlfn.TAKE(OFFSET($C$14, 0, 0, COUNTA($C$14:$C$113),1),$A60),$C60))</f>
        <v>4</v>
      </c>
      <c r="E60" s="48">
        <v>7515</v>
      </c>
      <c r="F60" s="48">
        <v>2498</v>
      </c>
      <c r="G60" s="35" t="s">
        <v>42</v>
      </c>
      <c r="H60" s="40">
        <f t="shared" si="1"/>
        <v>3</v>
      </c>
      <c r="I60" s="70" t="b">
        <v>0</v>
      </c>
      <c r="J60" s="3">
        <f t="shared" si="2"/>
        <v>3</v>
      </c>
      <c r="K60" s="70" t="b">
        <v>0</v>
      </c>
      <c r="L60" s="3">
        <f t="shared" si="3"/>
        <v>3</v>
      </c>
      <c r="M60" s="67" t="b">
        <v>0</v>
      </c>
      <c r="N60" s="40">
        <f t="shared" si="4"/>
        <v>0</v>
      </c>
      <c r="O60" s="70" t="b">
        <v>0</v>
      </c>
      <c r="P60" s="3">
        <f t="shared" si="5"/>
        <v>0</v>
      </c>
      <c r="Q60" s="70" t="b">
        <v>0</v>
      </c>
      <c r="R60" s="3">
        <f t="shared" si="6"/>
        <v>0</v>
      </c>
      <c r="S60" s="67" t="b">
        <v>0</v>
      </c>
      <c r="T60" s="40">
        <f t="shared" si="7"/>
        <v>0</v>
      </c>
      <c r="U60" s="70" t="b">
        <v>0</v>
      </c>
      <c r="V60" s="3">
        <f t="shared" si="8"/>
        <v>3</v>
      </c>
      <c r="W60" s="70" t="b">
        <v>0</v>
      </c>
      <c r="X60" s="3">
        <f t="shared" si="9"/>
        <v>3</v>
      </c>
      <c r="Y60" s="73" t="b">
        <v>0</v>
      </c>
      <c r="Z60" s="36"/>
    </row>
    <row r="61" spans="1:26" ht="15" x14ac:dyDescent="0.4">
      <c r="A61" s="3">
        <f t="shared" si="0"/>
        <v>48</v>
      </c>
      <c r="B61" s="32">
        <v>45738</v>
      </c>
      <c r="C61" s="33" t="s">
        <v>11</v>
      </c>
      <c r="D61" s="3" cm="1">
        <f t="array" aca="1" ref="D61" ca="1">IF($C61="","",COUNTIF(_xlfn.TAKE(OFFSET($C$14, 0, 0, COUNTA($C$14:$C$113),1),$A61),$C61))</f>
        <v>2</v>
      </c>
      <c r="E61" s="48">
        <v>3920</v>
      </c>
      <c r="F61" s="48">
        <v>639</v>
      </c>
      <c r="G61" s="35" t="s">
        <v>42</v>
      </c>
      <c r="H61" s="40">
        <f t="shared" si="1"/>
        <v>4</v>
      </c>
      <c r="I61" s="70" t="b">
        <v>0</v>
      </c>
      <c r="J61" s="3">
        <f t="shared" si="2"/>
        <v>4</v>
      </c>
      <c r="K61" s="70" t="b">
        <v>0</v>
      </c>
      <c r="L61" s="3">
        <f t="shared" si="3"/>
        <v>4</v>
      </c>
      <c r="M61" s="67" t="b">
        <v>0</v>
      </c>
      <c r="N61" s="40">
        <f t="shared" si="4"/>
        <v>0</v>
      </c>
      <c r="O61" s="70" t="b">
        <f>TRUE</f>
        <v>1</v>
      </c>
      <c r="P61" s="3">
        <f t="shared" si="5"/>
        <v>0</v>
      </c>
      <c r="Q61" s="70" t="b">
        <v>0</v>
      </c>
      <c r="R61" s="3">
        <f t="shared" si="6"/>
        <v>0</v>
      </c>
      <c r="S61" s="67" t="b">
        <v>0</v>
      </c>
      <c r="T61" s="40">
        <f t="shared" si="7"/>
        <v>0</v>
      </c>
      <c r="U61" s="70" t="b">
        <v>0</v>
      </c>
      <c r="V61" s="3">
        <f t="shared" si="8"/>
        <v>3</v>
      </c>
      <c r="W61" s="70" t="b">
        <v>0</v>
      </c>
      <c r="X61" s="3">
        <f t="shared" si="9"/>
        <v>3</v>
      </c>
      <c r="Y61" s="73" t="b">
        <v>0</v>
      </c>
      <c r="Z61" s="36"/>
    </row>
    <row r="62" spans="1:26" ht="15" x14ac:dyDescent="0.4">
      <c r="A62" s="3">
        <f t="shared" si="0"/>
        <v>49</v>
      </c>
      <c r="B62" s="32">
        <v>45762</v>
      </c>
      <c r="C62" s="33" t="s">
        <v>50</v>
      </c>
      <c r="D62" s="3" cm="1">
        <f t="array" aca="1" ref="D62" ca="1">IF($C62="","",COUNTIF(_xlfn.TAKE(OFFSET($C$14, 0, 0, COUNTA($C$14:$C$113),1),$A62),$C62))</f>
        <v>1</v>
      </c>
      <c r="E62" s="48">
        <v>11290</v>
      </c>
      <c r="F62" s="48">
        <v>1765</v>
      </c>
      <c r="G62" s="35" t="s">
        <v>42</v>
      </c>
      <c r="H62" s="40">
        <f t="shared" si="1"/>
        <v>5</v>
      </c>
      <c r="I62" s="70" t="b">
        <v>0</v>
      </c>
      <c r="J62" s="3">
        <f t="shared" si="2"/>
        <v>5</v>
      </c>
      <c r="K62" s="70" t="b">
        <v>0</v>
      </c>
      <c r="L62" s="3">
        <f t="shared" si="3"/>
        <v>5</v>
      </c>
      <c r="M62" s="67" t="b">
        <v>0</v>
      </c>
      <c r="N62" s="40">
        <f t="shared" si="4"/>
        <v>0</v>
      </c>
      <c r="O62" s="70" t="b">
        <v>0</v>
      </c>
      <c r="P62" s="3">
        <f t="shared" si="5"/>
        <v>0</v>
      </c>
      <c r="Q62" s="70" t="b">
        <v>0</v>
      </c>
      <c r="R62" s="3">
        <f t="shared" si="6"/>
        <v>0</v>
      </c>
      <c r="S62" s="67" t="b">
        <v>0</v>
      </c>
      <c r="T62" s="40">
        <f t="shared" si="7"/>
        <v>0</v>
      </c>
      <c r="U62" s="70" t="b">
        <v>0</v>
      </c>
      <c r="V62" s="3">
        <f t="shared" si="8"/>
        <v>3</v>
      </c>
      <c r="W62" s="70" t="b">
        <v>0</v>
      </c>
      <c r="X62" s="3">
        <f t="shared" si="9"/>
        <v>3</v>
      </c>
      <c r="Y62" s="73" t="b">
        <v>0</v>
      </c>
      <c r="Z62" s="36"/>
    </row>
    <row r="63" spans="1:26" ht="15" x14ac:dyDescent="0.4">
      <c r="A63" s="3">
        <f t="shared" si="0"/>
        <v>50</v>
      </c>
      <c r="B63" s="32">
        <v>45763</v>
      </c>
      <c r="C63" s="33" t="s">
        <v>50</v>
      </c>
      <c r="D63" s="3" cm="1">
        <f t="array" aca="1" ref="D63" ca="1">IF($C63="","",COUNTIF(_xlfn.TAKE(OFFSET($C$14, 0, 0, COUNTA($C$14:$C$113),1),$A63),$C63))</f>
        <v>2</v>
      </c>
      <c r="E63" s="48">
        <v>7895</v>
      </c>
      <c r="F63" s="48">
        <v>1367</v>
      </c>
      <c r="G63" s="35" t="s">
        <v>42</v>
      </c>
      <c r="H63" s="40">
        <f t="shared" si="1"/>
        <v>6</v>
      </c>
      <c r="I63" s="70" t="b">
        <v>0</v>
      </c>
      <c r="J63" s="3">
        <f t="shared" si="2"/>
        <v>6</v>
      </c>
      <c r="K63" s="70" t="b">
        <v>0</v>
      </c>
      <c r="L63" s="3">
        <f t="shared" si="3"/>
        <v>6</v>
      </c>
      <c r="M63" s="67" t="b">
        <v>0</v>
      </c>
      <c r="N63" s="40">
        <f t="shared" si="4"/>
        <v>0</v>
      </c>
      <c r="O63" s="70" t="b">
        <v>0</v>
      </c>
      <c r="P63" s="3">
        <f t="shared" si="5"/>
        <v>0</v>
      </c>
      <c r="Q63" s="70" t="b">
        <v>0</v>
      </c>
      <c r="R63" s="3">
        <f t="shared" si="6"/>
        <v>0</v>
      </c>
      <c r="S63" s="67" t="b">
        <v>0</v>
      </c>
      <c r="T63" s="40">
        <f t="shared" si="7"/>
        <v>0</v>
      </c>
      <c r="U63" s="70" t="b">
        <v>0</v>
      </c>
      <c r="V63" s="3">
        <f t="shared" si="8"/>
        <v>3</v>
      </c>
      <c r="W63" s="70" t="b">
        <v>0</v>
      </c>
      <c r="X63" s="3">
        <f t="shared" si="9"/>
        <v>3</v>
      </c>
      <c r="Y63" s="73" t="b">
        <v>0</v>
      </c>
      <c r="Z63" s="36"/>
    </row>
    <row r="64" spans="1:26" ht="15" x14ac:dyDescent="0.4">
      <c r="A64" s="3">
        <f t="shared" si="0"/>
        <v>51</v>
      </c>
      <c r="B64" s="32">
        <v>45764</v>
      </c>
      <c r="C64" s="33" t="s">
        <v>50</v>
      </c>
      <c r="D64" s="3" cm="1">
        <f t="array" aca="1" ref="D64" ca="1">IF($C64="","",COUNTIF(_xlfn.TAKE(OFFSET($C$14, 0, 0, COUNTA($C$14:$C$113),1),$A64),$C64))</f>
        <v>3</v>
      </c>
      <c r="E64" s="48">
        <v>10795</v>
      </c>
      <c r="F64" s="48">
        <v>1590</v>
      </c>
      <c r="G64" s="35" t="s">
        <v>42</v>
      </c>
      <c r="H64" s="40">
        <f t="shared" si="1"/>
        <v>7</v>
      </c>
      <c r="I64" s="70" t="b">
        <v>0</v>
      </c>
      <c r="J64" s="3">
        <f t="shared" si="2"/>
        <v>7</v>
      </c>
      <c r="K64" s="70" t="b">
        <v>0</v>
      </c>
      <c r="L64" s="3">
        <f t="shared" si="3"/>
        <v>7</v>
      </c>
      <c r="M64" s="67" t="b">
        <v>0</v>
      </c>
      <c r="N64" s="40">
        <f t="shared" si="4"/>
        <v>0</v>
      </c>
      <c r="O64" s="70" t="b">
        <v>0</v>
      </c>
      <c r="P64" s="3">
        <f t="shared" si="5"/>
        <v>0</v>
      </c>
      <c r="Q64" s="70" t="b">
        <v>0</v>
      </c>
      <c r="R64" s="3">
        <f t="shared" si="6"/>
        <v>0</v>
      </c>
      <c r="S64" s="67" t="b">
        <v>0</v>
      </c>
      <c r="T64" s="40">
        <f t="shared" si="7"/>
        <v>0</v>
      </c>
      <c r="U64" s="70" t="b">
        <v>0</v>
      </c>
      <c r="V64" s="3">
        <f t="shared" si="8"/>
        <v>3</v>
      </c>
      <c r="W64" s="70" t="b">
        <v>0</v>
      </c>
      <c r="X64" s="3">
        <f t="shared" si="9"/>
        <v>3</v>
      </c>
      <c r="Y64" s="73" t="b">
        <v>0</v>
      </c>
      <c r="Z64" s="36"/>
    </row>
    <row r="65" spans="1:26" ht="15" x14ac:dyDescent="0.4">
      <c r="A65" s="3" t="str">
        <f t="shared" si="0"/>
        <v/>
      </c>
      <c r="B65" s="32"/>
      <c r="C65" s="33"/>
      <c r="D65" s="3" t="str" cm="1">
        <f t="array" aca="1" ref="D65" ca="1">IF($C65="","",COUNTIF(_xlfn.TAKE(OFFSET($C$14, 0, 0, COUNTA($C$14:$C$113),1),$A65),$C65))</f>
        <v/>
      </c>
      <c r="E65" s="48"/>
      <c r="F65" s="48"/>
      <c r="G65" s="35"/>
      <c r="H65" s="40" t="str">
        <f t="shared" si="1"/>
        <v/>
      </c>
      <c r="I65" s="70" t="b">
        <v>0</v>
      </c>
      <c r="J65" s="3" t="str">
        <f t="shared" si="2"/>
        <v/>
      </c>
      <c r="K65" s="70" t="b">
        <v>0</v>
      </c>
      <c r="L65" s="3" t="str">
        <f t="shared" si="3"/>
        <v/>
      </c>
      <c r="M65" s="67" t="b">
        <v>0</v>
      </c>
      <c r="N65" s="40" t="str">
        <f t="shared" si="4"/>
        <v/>
      </c>
      <c r="O65" s="70" t="b">
        <v>0</v>
      </c>
      <c r="P65" s="3" t="str">
        <f t="shared" si="5"/>
        <v/>
      </c>
      <c r="Q65" s="70" t="b">
        <v>0</v>
      </c>
      <c r="R65" s="3" t="str">
        <f t="shared" si="6"/>
        <v/>
      </c>
      <c r="S65" s="67" t="b">
        <v>0</v>
      </c>
      <c r="T65" s="40" t="str">
        <f t="shared" si="7"/>
        <v/>
      </c>
      <c r="U65" s="70" t="b">
        <v>0</v>
      </c>
      <c r="V65" s="3" t="str">
        <f t="shared" si="8"/>
        <v/>
      </c>
      <c r="W65" s="70" t="b">
        <v>0</v>
      </c>
      <c r="X65" s="3" t="str">
        <f t="shared" si="9"/>
        <v/>
      </c>
      <c r="Y65" s="73" t="b">
        <v>0</v>
      </c>
      <c r="Z65" s="36"/>
    </row>
    <row r="66" spans="1:26" ht="15" hidden="1" x14ac:dyDescent="0.4">
      <c r="A66" s="3" t="str">
        <f t="shared" si="0"/>
        <v/>
      </c>
      <c r="B66" s="32"/>
      <c r="C66" s="33"/>
      <c r="D66" s="3" t="str" cm="1">
        <f t="array" aca="1" ref="D66" ca="1">IF($C66="","",COUNTIF(_xlfn.TAKE(OFFSET($C$14, 0, 0, COUNTA($C$14:$C$113),1),$A66),$C66))</f>
        <v/>
      </c>
      <c r="E66" s="48"/>
      <c r="F66" s="48"/>
      <c r="G66" s="35"/>
      <c r="H66" s="40" t="str">
        <f t="shared" si="1"/>
        <v/>
      </c>
      <c r="I66" s="70" t="b">
        <v>0</v>
      </c>
      <c r="J66" s="3" t="str">
        <f t="shared" si="2"/>
        <v/>
      </c>
      <c r="K66" s="70" t="b">
        <v>0</v>
      </c>
      <c r="L66" s="3" t="str">
        <f t="shared" si="3"/>
        <v/>
      </c>
      <c r="M66" s="67" t="b">
        <v>0</v>
      </c>
      <c r="N66" s="40" t="str">
        <f t="shared" si="4"/>
        <v/>
      </c>
      <c r="O66" s="70" t="b">
        <v>0</v>
      </c>
      <c r="P66" s="3" t="str">
        <f t="shared" si="5"/>
        <v/>
      </c>
      <c r="Q66" s="70" t="b">
        <v>0</v>
      </c>
      <c r="R66" s="3" t="str">
        <f t="shared" si="6"/>
        <v/>
      </c>
      <c r="S66" s="67" t="b">
        <v>0</v>
      </c>
      <c r="T66" s="40" t="str">
        <f t="shared" si="7"/>
        <v/>
      </c>
      <c r="U66" s="70" t="b">
        <v>0</v>
      </c>
      <c r="V66" s="3" t="str">
        <f t="shared" si="8"/>
        <v/>
      </c>
      <c r="W66" s="70" t="b">
        <v>0</v>
      </c>
      <c r="X66" s="3" t="str">
        <f t="shared" si="9"/>
        <v/>
      </c>
      <c r="Y66" s="73" t="b">
        <v>0</v>
      </c>
      <c r="Z66" s="36"/>
    </row>
    <row r="67" spans="1:26" ht="15" hidden="1" x14ac:dyDescent="0.4">
      <c r="A67" s="3" t="str">
        <f t="shared" si="0"/>
        <v/>
      </c>
      <c r="B67" s="32"/>
      <c r="C67" s="33"/>
      <c r="D67" s="3" t="str" cm="1">
        <f t="array" aca="1" ref="D67" ca="1">IF($C67="","",COUNTIF(_xlfn.TAKE(OFFSET($C$14, 0, 0, COUNTA($C$14:$C$113),1),$A67),$C67))</f>
        <v/>
      </c>
      <c r="E67" s="48"/>
      <c r="F67" s="48"/>
      <c r="G67" s="35"/>
      <c r="H67" s="40" t="str">
        <f t="shared" si="1"/>
        <v/>
      </c>
      <c r="I67" s="70" t="b">
        <v>0</v>
      </c>
      <c r="J67" s="3" t="str">
        <f t="shared" si="2"/>
        <v/>
      </c>
      <c r="K67" s="70" t="b">
        <v>0</v>
      </c>
      <c r="L67" s="3" t="str">
        <f t="shared" si="3"/>
        <v/>
      </c>
      <c r="M67" s="67" t="b">
        <v>0</v>
      </c>
      <c r="N67" s="40" t="str">
        <f t="shared" si="4"/>
        <v/>
      </c>
      <c r="O67" s="70" t="b">
        <v>0</v>
      </c>
      <c r="P67" s="3" t="str">
        <f t="shared" si="5"/>
        <v/>
      </c>
      <c r="Q67" s="70" t="b">
        <v>0</v>
      </c>
      <c r="R67" s="3" t="str">
        <f t="shared" si="6"/>
        <v/>
      </c>
      <c r="S67" s="67" t="b">
        <v>0</v>
      </c>
      <c r="T67" s="40" t="str">
        <f t="shared" si="7"/>
        <v/>
      </c>
      <c r="U67" s="70" t="b">
        <v>0</v>
      </c>
      <c r="V67" s="3" t="str">
        <f t="shared" si="8"/>
        <v/>
      </c>
      <c r="W67" s="70" t="b">
        <v>0</v>
      </c>
      <c r="X67" s="3" t="str">
        <f t="shared" si="9"/>
        <v/>
      </c>
      <c r="Y67" s="73" t="b">
        <v>0</v>
      </c>
      <c r="Z67" s="36"/>
    </row>
    <row r="68" spans="1:26" ht="15" hidden="1" x14ac:dyDescent="0.4">
      <c r="A68" s="3" t="str">
        <f t="shared" si="0"/>
        <v/>
      </c>
      <c r="B68" s="32"/>
      <c r="C68" s="33"/>
      <c r="D68" s="3" t="str" cm="1">
        <f t="array" aca="1" ref="D68" ca="1">IF($C68="","",COUNTIF(_xlfn.TAKE(OFFSET($C$14, 0, 0, COUNTA($C$14:$C$113),1),$A68),$C68))</f>
        <v/>
      </c>
      <c r="E68" s="48"/>
      <c r="F68" s="48"/>
      <c r="G68" s="35"/>
      <c r="H68" s="40" t="str">
        <f t="shared" si="1"/>
        <v/>
      </c>
      <c r="I68" s="70" t="b">
        <v>0</v>
      </c>
      <c r="J68" s="3" t="str">
        <f t="shared" si="2"/>
        <v/>
      </c>
      <c r="K68" s="70" t="b">
        <v>0</v>
      </c>
      <c r="L68" s="3" t="str">
        <f t="shared" si="3"/>
        <v/>
      </c>
      <c r="M68" s="67" t="b">
        <v>0</v>
      </c>
      <c r="N68" s="40" t="str">
        <f t="shared" si="4"/>
        <v/>
      </c>
      <c r="O68" s="70" t="b">
        <v>0</v>
      </c>
      <c r="P68" s="3" t="str">
        <f t="shared" si="5"/>
        <v/>
      </c>
      <c r="Q68" s="70" t="b">
        <v>0</v>
      </c>
      <c r="R68" s="3" t="str">
        <f t="shared" si="6"/>
        <v/>
      </c>
      <c r="S68" s="67" t="b">
        <v>0</v>
      </c>
      <c r="T68" s="40" t="str">
        <f t="shared" si="7"/>
        <v/>
      </c>
      <c r="U68" s="70" t="b">
        <v>0</v>
      </c>
      <c r="V68" s="3" t="str">
        <f t="shared" si="8"/>
        <v/>
      </c>
      <c r="W68" s="70" t="b">
        <v>0</v>
      </c>
      <c r="X68" s="3" t="str">
        <f t="shared" si="9"/>
        <v/>
      </c>
      <c r="Y68" s="73" t="b">
        <v>0</v>
      </c>
      <c r="Z68" s="36"/>
    </row>
    <row r="69" spans="1:26" ht="15" hidden="1" x14ac:dyDescent="0.4">
      <c r="A69" s="3" t="str">
        <f t="shared" si="0"/>
        <v/>
      </c>
      <c r="B69" s="32"/>
      <c r="C69" s="33"/>
      <c r="D69" s="3" t="str" cm="1">
        <f t="array" aca="1" ref="D69" ca="1">IF($C69="","",COUNTIF(_xlfn.TAKE(OFFSET($C$14, 0, 0, COUNTA($C$14:$C$113),1),$A69),$C69))</f>
        <v/>
      </c>
      <c r="E69" s="48"/>
      <c r="F69" s="48"/>
      <c r="G69" s="35"/>
      <c r="H69" s="40" t="str">
        <f t="shared" si="1"/>
        <v/>
      </c>
      <c r="I69" s="70" t="b">
        <v>0</v>
      </c>
      <c r="J69" s="3" t="str">
        <f t="shared" si="2"/>
        <v/>
      </c>
      <c r="K69" s="70" t="b">
        <v>0</v>
      </c>
      <c r="L69" s="3" t="str">
        <f t="shared" si="3"/>
        <v/>
      </c>
      <c r="M69" s="67" t="b">
        <v>0</v>
      </c>
      <c r="N69" s="40" t="str">
        <f t="shared" si="4"/>
        <v/>
      </c>
      <c r="O69" s="70" t="b">
        <v>0</v>
      </c>
      <c r="P69" s="3" t="str">
        <f t="shared" si="5"/>
        <v/>
      </c>
      <c r="Q69" s="70" t="b">
        <v>0</v>
      </c>
      <c r="R69" s="3" t="str">
        <f t="shared" si="6"/>
        <v/>
      </c>
      <c r="S69" s="67" t="b">
        <v>0</v>
      </c>
      <c r="T69" s="40" t="str">
        <f t="shared" si="7"/>
        <v/>
      </c>
      <c r="U69" s="70" t="b">
        <v>0</v>
      </c>
      <c r="V69" s="3" t="str">
        <f t="shared" si="8"/>
        <v/>
      </c>
      <c r="W69" s="70" t="b">
        <v>0</v>
      </c>
      <c r="X69" s="3" t="str">
        <f t="shared" si="9"/>
        <v/>
      </c>
      <c r="Y69" s="73" t="b">
        <v>0</v>
      </c>
      <c r="Z69" s="36"/>
    </row>
    <row r="70" spans="1:26" ht="15" hidden="1" x14ac:dyDescent="0.4">
      <c r="A70" s="3" t="str">
        <f t="shared" si="0"/>
        <v/>
      </c>
      <c r="B70" s="32"/>
      <c r="C70" s="33"/>
      <c r="D70" s="3" t="str" cm="1">
        <f t="array" aca="1" ref="D70" ca="1">IF($C70="","",COUNTIF(_xlfn.TAKE(OFFSET($C$14, 0, 0, COUNTA($C$14:$C$113),1),$A70),$C70))</f>
        <v/>
      </c>
      <c r="E70" s="48"/>
      <c r="F70" s="48"/>
      <c r="G70" s="35"/>
      <c r="H70" s="40" t="str">
        <f t="shared" si="1"/>
        <v/>
      </c>
      <c r="I70" s="70" t="b">
        <v>0</v>
      </c>
      <c r="J70" s="3" t="str">
        <f t="shared" si="2"/>
        <v/>
      </c>
      <c r="K70" s="70" t="b">
        <v>0</v>
      </c>
      <c r="L70" s="3" t="str">
        <f t="shared" si="3"/>
        <v/>
      </c>
      <c r="M70" s="67" t="b">
        <v>0</v>
      </c>
      <c r="N70" s="40" t="str">
        <f t="shared" si="4"/>
        <v/>
      </c>
      <c r="O70" s="70" t="b">
        <v>0</v>
      </c>
      <c r="P70" s="3" t="str">
        <f t="shared" si="5"/>
        <v/>
      </c>
      <c r="Q70" s="70" t="b">
        <v>0</v>
      </c>
      <c r="R70" s="3" t="str">
        <f t="shared" si="6"/>
        <v/>
      </c>
      <c r="S70" s="67" t="b">
        <v>0</v>
      </c>
      <c r="T70" s="40" t="str">
        <f t="shared" si="7"/>
        <v/>
      </c>
      <c r="U70" s="70" t="b">
        <v>0</v>
      </c>
      <c r="V70" s="3" t="str">
        <f t="shared" si="8"/>
        <v/>
      </c>
      <c r="W70" s="70" t="b">
        <v>0</v>
      </c>
      <c r="X70" s="3" t="str">
        <f t="shared" si="9"/>
        <v/>
      </c>
      <c r="Y70" s="73" t="b">
        <v>0</v>
      </c>
      <c r="Z70" s="36"/>
    </row>
    <row r="71" spans="1:26" ht="15" hidden="1" x14ac:dyDescent="0.4">
      <c r="A71" s="3" t="str">
        <f t="shared" si="0"/>
        <v/>
      </c>
      <c r="B71" s="32"/>
      <c r="C71" s="33"/>
      <c r="D71" s="3" t="str" cm="1">
        <f t="array" aca="1" ref="D71" ca="1">IF($C71="","",COUNTIF(_xlfn.TAKE(OFFSET($C$14, 0, 0, COUNTA($C$14:$C$113),1),$A71),$C71))</f>
        <v/>
      </c>
      <c r="E71" s="48"/>
      <c r="F71" s="48"/>
      <c r="G71" s="35"/>
      <c r="H71" s="40" t="str">
        <f t="shared" si="1"/>
        <v/>
      </c>
      <c r="I71" s="70" t="b">
        <v>0</v>
      </c>
      <c r="J71" s="3" t="str">
        <f t="shared" si="2"/>
        <v/>
      </c>
      <c r="K71" s="70" t="b">
        <v>0</v>
      </c>
      <c r="L71" s="3" t="str">
        <f t="shared" si="3"/>
        <v/>
      </c>
      <c r="M71" s="67" t="b">
        <v>0</v>
      </c>
      <c r="N71" s="40" t="str">
        <f t="shared" si="4"/>
        <v/>
      </c>
      <c r="O71" s="70" t="b">
        <v>0</v>
      </c>
      <c r="P71" s="3" t="str">
        <f t="shared" si="5"/>
        <v/>
      </c>
      <c r="Q71" s="70" t="b">
        <v>0</v>
      </c>
      <c r="R71" s="3" t="str">
        <f t="shared" si="6"/>
        <v/>
      </c>
      <c r="S71" s="67" t="b">
        <v>0</v>
      </c>
      <c r="T71" s="40" t="str">
        <f t="shared" si="7"/>
        <v/>
      </c>
      <c r="U71" s="70" t="b">
        <v>0</v>
      </c>
      <c r="V71" s="3" t="str">
        <f t="shared" si="8"/>
        <v/>
      </c>
      <c r="W71" s="70" t="b">
        <v>0</v>
      </c>
      <c r="X71" s="3" t="str">
        <f t="shared" si="9"/>
        <v/>
      </c>
      <c r="Y71" s="73" t="b">
        <v>0</v>
      </c>
      <c r="Z71" s="36"/>
    </row>
    <row r="72" spans="1:26" ht="15" hidden="1" x14ac:dyDescent="0.4">
      <c r="A72" s="3" t="str">
        <f t="shared" si="0"/>
        <v/>
      </c>
      <c r="B72" s="32"/>
      <c r="C72" s="33"/>
      <c r="D72" s="3" t="str" cm="1">
        <f t="array" aca="1" ref="D72" ca="1">IF($C72="","",COUNTIF(_xlfn.TAKE(OFFSET($C$14, 0, 0, COUNTA($C$14:$C$113),1),$A72),$C72))</f>
        <v/>
      </c>
      <c r="E72" s="48"/>
      <c r="F72" s="48"/>
      <c r="G72" s="35"/>
      <c r="H72" s="40" t="str">
        <f t="shared" si="1"/>
        <v/>
      </c>
      <c r="I72" s="70" t="b">
        <v>0</v>
      </c>
      <c r="J72" s="3" t="str">
        <f t="shared" si="2"/>
        <v/>
      </c>
      <c r="K72" s="70" t="b">
        <v>0</v>
      </c>
      <c r="L72" s="3" t="str">
        <f t="shared" si="3"/>
        <v/>
      </c>
      <c r="M72" s="67" t="b">
        <v>0</v>
      </c>
      <c r="N72" s="40" t="str">
        <f t="shared" si="4"/>
        <v/>
      </c>
      <c r="O72" s="70" t="b">
        <v>0</v>
      </c>
      <c r="P72" s="3" t="str">
        <f t="shared" si="5"/>
        <v/>
      </c>
      <c r="Q72" s="70" t="b">
        <v>0</v>
      </c>
      <c r="R72" s="3" t="str">
        <f t="shared" si="6"/>
        <v/>
      </c>
      <c r="S72" s="67" t="b">
        <v>0</v>
      </c>
      <c r="T72" s="40" t="str">
        <f t="shared" si="7"/>
        <v/>
      </c>
      <c r="U72" s="70" t="b">
        <v>0</v>
      </c>
      <c r="V72" s="3" t="str">
        <f t="shared" si="8"/>
        <v/>
      </c>
      <c r="W72" s="70" t="b">
        <v>0</v>
      </c>
      <c r="X72" s="3" t="str">
        <f t="shared" si="9"/>
        <v/>
      </c>
      <c r="Y72" s="73" t="b">
        <v>0</v>
      </c>
      <c r="Z72" s="36"/>
    </row>
    <row r="73" spans="1:26" ht="15" hidden="1" x14ac:dyDescent="0.4">
      <c r="A73" s="3" t="str">
        <f t="shared" si="0"/>
        <v/>
      </c>
      <c r="B73" s="32"/>
      <c r="C73" s="33"/>
      <c r="D73" s="3" t="str" cm="1">
        <f t="array" aca="1" ref="D73" ca="1">IF($C73="","",COUNTIF(_xlfn.TAKE(OFFSET($C$14, 0, 0, COUNTA($C$14:$C$113),1),$A73),$C73))</f>
        <v/>
      </c>
      <c r="E73" s="48"/>
      <c r="F73" s="48"/>
      <c r="G73" s="35"/>
      <c r="H73" s="40" t="str">
        <f t="shared" si="1"/>
        <v/>
      </c>
      <c r="I73" s="70" t="b">
        <v>0</v>
      </c>
      <c r="J73" s="3" t="str">
        <f t="shared" si="2"/>
        <v/>
      </c>
      <c r="K73" s="70" t="b">
        <v>0</v>
      </c>
      <c r="L73" s="3" t="str">
        <f t="shared" si="3"/>
        <v/>
      </c>
      <c r="M73" s="67" t="b">
        <v>0</v>
      </c>
      <c r="N73" s="40" t="str">
        <f t="shared" si="4"/>
        <v/>
      </c>
      <c r="O73" s="70" t="b">
        <v>0</v>
      </c>
      <c r="P73" s="3" t="str">
        <f t="shared" si="5"/>
        <v/>
      </c>
      <c r="Q73" s="70" t="b">
        <v>0</v>
      </c>
      <c r="R73" s="3" t="str">
        <f t="shared" si="6"/>
        <v/>
      </c>
      <c r="S73" s="67" t="b">
        <v>0</v>
      </c>
      <c r="T73" s="40" t="str">
        <f t="shared" si="7"/>
        <v/>
      </c>
      <c r="U73" s="70" t="b">
        <v>0</v>
      </c>
      <c r="V73" s="3" t="str">
        <f t="shared" si="8"/>
        <v/>
      </c>
      <c r="W73" s="70" t="b">
        <v>0</v>
      </c>
      <c r="X73" s="3" t="str">
        <f t="shared" si="9"/>
        <v/>
      </c>
      <c r="Y73" s="73" t="b">
        <v>0</v>
      </c>
      <c r="Z73" s="36"/>
    </row>
    <row r="74" spans="1:26" ht="15" hidden="1" x14ac:dyDescent="0.4">
      <c r="A74" s="3" t="str">
        <f t="shared" si="0"/>
        <v/>
      </c>
      <c r="B74" s="32"/>
      <c r="C74" s="33"/>
      <c r="D74" s="3" t="str" cm="1">
        <f t="array" aca="1" ref="D74" ca="1">IF($C74="","",COUNTIF(_xlfn.TAKE(OFFSET($C$14, 0, 0, COUNTA($C$14:$C$113),1),$A74),$C74))</f>
        <v/>
      </c>
      <c r="E74" s="48"/>
      <c r="F74" s="48"/>
      <c r="G74" s="35"/>
      <c r="H74" s="40" t="str">
        <f t="shared" si="1"/>
        <v/>
      </c>
      <c r="I74" s="70" t="b">
        <v>0</v>
      </c>
      <c r="J74" s="3" t="str">
        <f t="shared" si="2"/>
        <v/>
      </c>
      <c r="K74" s="70" t="b">
        <v>0</v>
      </c>
      <c r="L74" s="3" t="str">
        <f t="shared" si="3"/>
        <v/>
      </c>
      <c r="M74" s="67" t="b">
        <v>0</v>
      </c>
      <c r="N74" s="40" t="str">
        <f t="shared" si="4"/>
        <v/>
      </c>
      <c r="O74" s="70" t="b">
        <v>0</v>
      </c>
      <c r="P74" s="3" t="str">
        <f t="shared" si="5"/>
        <v/>
      </c>
      <c r="Q74" s="70" t="b">
        <v>0</v>
      </c>
      <c r="R74" s="3" t="str">
        <f t="shared" si="6"/>
        <v/>
      </c>
      <c r="S74" s="67" t="b">
        <v>0</v>
      </c>
      <c r="T74" s="40" t="str">
        <f t="shared" si="7"/>
        <v/>
      </c>
      <c r="U74" s="70" t="b">
        <v>0</v>
      </c>
      <c r="V74" s="3" t="str">
        <f t="shared" si="8"/>
        <v/>
      </c>
      <c r="W74" s="70" t="b">
        <v>0</v>
      </c>
      <c r="X74" s="3" t="str">
        <f t="shared" si="9"/>
        <v/>
      </c>
      <c r="Y74" s="73" t="b">
        <v>0</v>
      </c>
      <c r="Z74" s="36"/>
    </row>
    <row r="75" spans="1:26" ht="15" hidden="1" x14ac:dyDescent="0.4">
      <c r="A75" s="3" t="str">
        <f t="shared" si="0"/>
        <v/>
      </c>
      <c r="B75" s="32"/>
      <c r="C75" s="33"/>
      <c r="D75" s="3" t="str" cm="1">
        <f t="array" aca="1" ref="D75" ca="1">IF($C75="","",COUNTIF(_xlfn.TAKE(OFFSET($C$14, 0, 0, COUNTA($C$14:$C$113),1),$A75),$C75))</f>
        <v/>
      </c>
      <c r="E75" s="48"/>
      <c r="F75" s="48"/>
      <c r="G75" s="35"/>
      <c r="H75" s="40" t="str">
        <f t="shared" si="1"/>
        <v/>
      </c>
      <c r="I75" s="70" t="b">
        <v>0</v>
      </c>
      <c r="J75" s="3" t="str">
        <f t="shared" si="2"/>
        <v/>
      </c>
      <c r="K75" s="70" t="b">
        <v>0</v>
      </c>
      <c r="L75" s="3" t="str">
        <f t="shared" si="3"/>
        <v/>
      </c>
      <c r="M75" s="67" t="b">
        <v>0</v>
      </c>
      <c r="N75" s="40" t="str">
        <f t="shared" si="4"/>
        <v/>
      </c>
      <c r="O75" s="70" t="b">
        <v>0</v>
      </c>
      <c r="P75" s="3" t="str">
        <f t="shared" si="5"/>
        <v/>
      </c>
      <c r="Q75" s="70" t="b">
        <v>0</v>
      </c>
      <c r="R75" s="3" t="str">
        <f t="shared" si="6"/>
        <v/>
      </c>
      <c r="S75" s="67" t="b">
        <v>0</v>
      </c>
      <c r="T75" s="40" t="str">
        <f t="shared" si="7"/>
        <v/>
      </c>
      <c r="U75" s="70" t="b">
        <v>0</v>
      </c>
      <c r="V75" s="3" t="str">
        <f t="shared" si="8"/>
        <v/>
      </c>
      <c r="W75" s="70" t="b">
        <v>0</v>
      </c>
      <c r="X75" s="3" t="str">
        <f t="shared" si="9"/>
        <v/>
      </c>
      <c r="Y75" s="73" t="b">
        <v>0</v>
      </c>
      <c r="Z75" s="36"/>
    </row>
    <row r="76" spans="1:26" ht="15" hidden="1" x14ac:dyDescent="0.4">
      <c r="A76" s="3" t="str">
        <f t="shared" si="0"/>
        <v/>
      </c>
      <c r="B76" s="32"/>
      <c r="C76" s="33"/>
      <c r="D76" s="3" t="str" cm="1">
        <f t="array" aca="1" ref="D76" ca="1">IF($C76="","",COUNTIF(_xlfn.TAKE(OFFSET($C$14, 0, 0, COUNTA($C$14:$C$113),1),$A76),$C76))</f>
        <v/>
      </c>
      <c r="E76" s="48"/>
      <c r="F76" s="48"/>
      <c r="G76" s="35"/>
      <c r="H76" s="40" t="str">
        <f t="shared" si="1"/>
        <v/>
      </c>
      <c r="I76" s="70" t="b">
        <v>0</v>
      </c>
      <c r="J76" s="3" t="str">
        <f t="shared" si="2"/>
        <v/>
      </c>
      <c r="K76" s="70" t="b">
        <v>0</v>
      </c>
      <c r="L76" s="3" t="str">
        <f t="shared" si="3"/>
        <v/>
      </c>
      <c r="M76" s="67" t="b">
        <v>0</v>
      </c>
      <c r="N76" s="40" t="str">
        <f t="shared" si="4"/>
        <v/>
      </c>
      <c r="O76" s="70" t="b">
        <v>0</v>
      </c>
      <c r="P76" s="3" t="str">
        <f t="shared" si="5"/>
        <v/>
      </c>
      <c r="Q76" s="70" t="b">
        <v>0</v>
      </c>
      <c r="R76" s="3" t="str">
        <f t="shared" si="6"/>
        <v/>
      </c>
      <c r="S76" s="67" t="b">
        <v>0</v>
      </c>
      <c r="T76" s="40" t="str">
        <f t="shared" si="7"/>
        <v/>
      </c>
      <c r="U76" s="70" t="b">
        <v>0</v>
      </c>
      <c r="V76" s="3" t="str">
        <f t="shared" si="8"/>
        <v/>
      </c>
      <c r="W76" s="70" t="b">
        <v>0</v>
      </c>
      <c r="X76" s="3" t="str">
        <f t="shared" si="9"/>
        <v/>
      </c>
      <c r="Y76" s="73" t="b">
        <v>0</v>
      </c>
      <c r="Z76" s="36"/>
    </row>
    <row r="77" spans="1:26" ht="15" hidden="1" x14ac:dyDescent="0.4">
      <c r="A77" s="3" t="str">
        <f t="shared" si="0"/>
        <v/>
      </c>
      <c r="B77" s="32"/>
      <c r="C77" s="33"/>
      <c r="D77" s="3" t="str" cm="1">
        <f t="array" aca="1" ref="D77" ca="1">IF($C77="","",COUNTIF(_xlfn.TAKE(OFFSET($C$14, 0, 0, COUNTA($C$14:$C$113),1),$A77),$C77))</f>
        <v/>
      </c>
      <c r="E77" s="48"/>
      <c r="F77" s="48"/>
      <c r="G77" s="35"/>
      <c r="H77" s="40" t="str">
        <f t="shared" si="1"/>
        <v/>
      </c>
      <c r="I77" s="70" t="b">
        <v>0</v>
      </c>
      <c r="J77" s="3" t="str">
        <f t="shared" si="2"/>
        <v/>
      </c>
      <c r="K77" s="70" t="b">
        <v>0</v>
      </c>
      <c r="L77" s="3" t="str">
        <f t="shared" si="3"/>
        <v/>
      </c>
      <c r="M77" s="67" t="b">
        <v>0</v>
      </c>
      <c r="N77" s="40" t="str">
        <f t="shared" si="4"/>
        <v/>
      </c>
      <c r="O77" s="70" t="b">
        <v>0</v>
      </c>
      <c r="P77" s="3" t="str">
        <f t="shared" si="5"/>
        <v/>
      </c>
      <c r="Q77" s="70" t="b">
        <v>0</v>
      </c>
      <c r="R77" s="3" t="str">
        <f t="shared" si="6"/>
        <v/>
      </c>
      <c r="S77" s="67" t="b">
        <v>0</v>
      </c>
      <c r="T77" s="40" t="str">
        <f t="shared" si="7"/>
        <v/>
      </c>
      <c r="U77" s="70" t="b">
        <v>0</v>
      </c>
      <c r="V77" s="3" t="str">
        <f t="shared" si="8"/>
        <v/>
      </c>
      <c r="W77" s="70" t="b">
        <v>0</v>
      </c>
      <c r="X77" s="3" t="str">
        <f t="shared" si="9"/>
        <v/>
      </c>
      <c r="Y77" s="73" t="b">
        <v>0</v>
      </c>
      <c r="Z77" s="36"/>
    </row>
    <row r="78" spans="1:26" ht="15" hidden="1" x14ac:dyDescent="0.4">
      <c r="A78" s="3" t="str">
        <f t="shared" si="0"/>
        <v/>
      </c>
      <c r="B78" s="32"/>
      <c r="C78" s="33"/>
      <c r="D78" s="3" t="str" cm="1">
        <f t="array" aca="1" ref="D78" ca="1">IF($C78="","",COUNTIF(_xlfn.TAKE(OFFSET($C$14, 0, 0, COUNTA($C$14:$C$113),1),$A78),$C78))</f>
        <v/>
      </c>
      <c r="E78" s="48"/>
      <c r="F78" s="48"/>
      <c r="G78" s="35"/>
      <c r="H78" s="40" t="str">
        <f t="shared" si="1"/>
        <v/>
      </c>
      <c r="I78" s="70" t="b">
        <v>0</v>
      </c>
      <c r="J78" s="3" t="str">
        <f t="shared" si="2"/>
        <v/>
      </c>
      <c r="K78" s="70" t="b">
        <v>0</v>
      </c>
      <c r="L78" s="3" t="str">
        <f t="shared" si="3"/>
        <v/>
      </c>
      <c r="M78" s="67" t="b">
        <v>0</v>
      </c>
      <c r="N78" s="40" t="str">
        <f t="shared" si="4"/>
        <v/>
      </c>
      <c r="O78" s="70" t="b">
        <v>0</v>
      </c>
      <c r="P78" s="3" t="str">
        <f t="shared" si="5"/>
        <v/>
      </c>
      <c r="Q78" s="70" t="b">
        <v>0</v>
      </c>
      <c r="R78" s="3" t="str">
        <f t="shared" si="6"/>
        <v/>
      </c>
      <c r="S78" s="67" t="b">
        <v>0</v>
      </c>
      <c r="T78" s="40" t="str">
        <f t="shared" si="7"/>
        <v/>
      </c>
      <c r="U78" s="70" t="b">
        <v>0</v>
      </c>
      <c r="V78" s="3" t="str">
        <f t="shared" si="8"/>
        <v/>
      </c>
      <c r="W78" s="70" t="b">
        <v>0</v>
      </c>
      <c r="X78" s="3" t="str">
        <f t="shared" si="9"/>
        <v/>
      </c>
      <c r="Y78" s="73" t="b">
        <v>0</v>
      </c>
      <c r="Z78" s="36"/>
    </row>
    <row r="79" spans="1:26" ht="15" hidden="1" x14ac:dyDescent="0.4">
      <c r="A79" s="3" t="str">
        <f t="shared" ref="A79:A113" si="10">IF($B79="","",A78+1)</f>
        <v/>
      </c>
      <c r="B79" s="32"/>
      <c r="C79" s="33"/>
      <c r="D79" s="3" t="str" cm="1">
        <f t="array" aca="1" ref="D79" ca="1">IF($C79="","",COUNTIF(_xlfn.TAKE(OFFSET($C$14, 0, 0, COUNTA($C$14:$C$113),1),$A79),$C79))</f>
        <v/>
      </c>
      <c r="E79" s="48"/>
      <c r="F79" s="48"/>
      <c r="G79" s="35"/>
      <c r="H79" s="40" t="str">
        <f t="shared" ref="H79:H113" si="11">IF($B79="","",IF($I78,IF($G79=$H$10,1,0), IF($G79=$H$10,$H78+1,$H78)))</f>
        <v/>
      </c>
      <c r="I79" s="70" t="b">
        <v>0</v>
      </c>
      <c r="J79" s="3" t="str">
        <f t="shared" ref="J79:J113" si="12">IF($B79="","",IF($K78,IF($G79=$H$10,1,0),IF($G79=$H$10,$J78+1,$J78)))</f>
        <v/>
      </c>
      <c r="K79" s="70" t="b">
        <v>0</v>
      </c>
      <c r="L79" s="3" t="str">
        <f t="shared" ref="L79:L113" si="13">IF($B79="","",IF($M78,IF($G79=$H$10,1,0),IF($G79=$H$10,$L78+1,$L78)))</f>
        <v/>
      </c>
      <c r="M79" s="67" t="b">
        <v>0</v>
      </c>
      <c r="N79" s="40" t="str">
        <f t="shared" ref="N79:N113" si="14">IF($B79="","",IF($O78,IF($G79=$N$10,1,0),IF($G79=$N$10,$N78+1,$N78)))</f>
        <v/>
      </c>
      <c r="O79" s="70" t="b">
        <v>0</v>
      </c>
      <c r="P79" s="3" t="str">
        <f t="shared" ref="P79:P113" si="15">IF($B79="","",IF($Q78,IF($G79=$N$10,1,0),IF($G79=$N$10,$P78+1,$P78)))</f>
        <v/>
      </c>
      <c r="Q79" s="70" t="b">
        <v>0</v>
      </c>
      <c r="R79" s="3" t="str">
        <f t="shared" ref="R79:R113" si="16">IF($B79="","",IF($S78,IF($G79=$N$10,1,0),IF($G79=$N$10,$R78+1,$R78)))</f>
        <v/>
      </c>
      <c r="S79" s="67" t="b">
        <v>0</v>
      </c>
      <c r="T79" s="40" t="str">
        <f t="shared" ref="T79:T113" si="17">IF($B79="","",IF($U78,IF($G79=$T$10,$T78+1,$T78),IF($G79=$T$10,1,0)))</f>
        <v/>
      </c>
      <c r="U79" s="70" t="b">
        <v>0</v>
      </c>
      <c r="V79" s="3" t="str">
        <f t="shared" ref="V79:V113" si="18">IF($B79="","",IF($W78,IF($G79=$T$10,1,0),IF($G79=$T$10,$V78+1,$V78)))</f>
        <v/>
      </c>
      <c r="W79" s="70" t="b">
        <v>0</v>
      </c>
      <c r="X79" s="3" t="str">
        <f t="shared" ref="X79:X113" si="19">IF($B79="","",IF($Y78,IF($G79=$T$10,1,0),IF($G79=$T$10,$X78+1,$X78)))</f>
        <v/>
      </c>
      <c r="Y79" s="73" t="b">
        <v>0</v>
      </c>
      <c r="Z79" s="36"/>
    </row>
    <row r="80" spans="1:26" ht="15" hidden="1" x14ac:dyDescent="0.4">
      <c r="A80" s="3" t="str">
        <f t="shared" si="10"/>
        <v/>
      </c>
      <c r="B80" s="32"/>
      <c r="C80" s="33"/>
      <c r="D80" s="3" t="str" cm="1">
        <f t="array" aca="1" ref="D80" ca="1">IF($C80="","",COUNTIF(_xlfn.TAKE(OFFSET($C$14, 0, 0, COUNTA($C$14:$C$113),1),$A80),$C80))</f>
        <v/>
      </c>
      <c r="E80" s="48"/>
      <c r="F80" s="48"/>
      <c r="G80" s="35"/>
      <c r="H80" s="40" t="str">
        <f t="shared" si="11"/>
        <v/>
      </c>
      <c r="I80" s="70" t="b">
        <v>0</v>
      </c>
      <c r="J80" s="3" t="str">
        <f t="shared" si="12"/>
        <v/>
      </c>
      <c r="K80" s="70" t="b">
        <v>0</v>
      </c>
      <c r="L80" s="3" t="str">
        <f t="shared" si="13"/>
        <v/>
      </c>
      <c r="M80" s="67" t="b">
        <v>0</v>
      </c>
      <c r="N80" s="40" t="str">
        <f t="shared" si="14"/>
        <v/>
      </c>
      <c r="O80" s="70" t="b">
        <v>0</v>
      </c>
      <c r="P80" s="3" t="str">
        <f t="shared" si="15"/>
        <v/>
      </c>
      <c r="Q80" s="70" t="b">
        <v>0</v>
      </c>
      <c r="R80" s="3" t="str">
        <f t="shared" si="16"/>
        <v/>
      </c>
      <c r="S80" s="67" t="b">
        <v>0</v>
      </c>
      <c r="T80" s="40" t="str">
        <f t="shared" si="17"/>
        <v/>
      </c>
      <c r="U80" s="70" t="b">
        <v>0</v>
      </c>
      <c r="V80" s="3" t="str">
        <f t="shared" si="18"/>
        <v/>
      </c>
      <c r="W80" s="70" t="b">
        <v>0</v>
      </c>
      <c r="X80" s="3" t="str">
        <f t="shared" si="19"/>
        <v/>
      </c>
      <c r="Y80" s="73" t="b">
        <v>0</v>
      </c>
      <c r="Z80" s="36"/>
    </row>
    <row r="81" spans="1:26" ht="15" hidden="1" x14ac:dyDescent="0.4">
      <c r="A81" s="3" t="str">
        <f t="shared" si="10"/>
        <v/>
      </c>
      <c r="B81" s="32"/>
      <c r="C81" s="33"/>
      <c r="D81" s="3" t="str" cm="1">
        <f t="array" aca="1" ref="D81" ca="1">IF($C81="","",COUNTIF(_xlfn.TAKE(OFFSET($C$14, 0, 0, COUNTA($C$14:$C$113),1),$A81),$C81))</f>
        <v/>
      </c>
      <c r="E81" s="48"/>
      <c r="F81" s="48"/>
      <c r="G81" s="35"/>
      <c r="H81" s="40" t="str">
        <f t="shared" si="11"/>
        <v/>
      </c>
      <c r="I81" s="70" t="b">
        <v>0</v>
      </c>
      <c r="J81" s="3" t="str">
        <f t="shared" si="12"/>
        <v/>
      </c>
      <c r="K81" s="70" t="b">
        <v>0</v>
      </c>
      <c r="L81" s="3" t="str">
        <f t="shared" si="13"/>
        <v/>
      </c>
      <c r="M81" s="67" t="b">
        <v>0</v>
      </c>
      <c r="N81" s="40" t="str">
        <f t="shared" si="14"/>
        <v/>
      </c>
      <c r="O81" s="70" t="b">
        <v>0</v>
      </c>
      <c r="P81" s="3" t="str">
        <f t="shared" si="15"/>
        <v/>
      </c>
      <c r="Q81" s="70" t="b">
        <v>0</v>
      </c>
      <c r="R81" s="3" t="str">
        <f t="shared" si="16"/>
        <v/>
      </c>
      <c r="S81" s="67" t="b">
        <v>0</v>
      </c>
      <c r="T81" s="40" t="str">
        <f t="shared" si="17"/>
        <v/>
      </c>
      <c r="U81" s="70" t="b">
        <v>0</v>
      </c>
      <c r="V81" s="3" t="str">
        <f t="shared" si="18"/>
        <v/>
      </c>
      <c r="W81" s="70" t="b">
        <v>0</v>
      </c>
      <c r="X81" s="3" t="str">
        <f t="shared" si="19"/>
        <v/>
      </c>
      <c r="Y81" s="73" t="b">
        <v>0</v>
      </c>
      <c r="Z81" s="36"/>
    </row>
    <row r="82" spans="1:26" ht="15" hidden="1" x14ac:dyDescent="0.4">
      <c r="A82" s="3" t="str">
        <f t="shared" si="10"/>
        <v/>
      </c>
      <c r="B82" s="32"/>
      <c r="C82" s="33"/>
      <c r="D82" s="3" t="str" cm="1">
        <f t="array" aca="1" ref="D82" ca="1">IF($C82="","",COUNTIF(_xlfn.TAKE(OFFSET($C$14, 0, 0, COUNTA($C$14:$C$113),1),$A82),$C82))</f>
        <v/>
      </c>
      <c r="E82" s="48"/>
      <c r="F82" s="48"/>
      <c r="G82" s="35"/>
      <c r="H82" s="40" t="str">
        <f t="shared" si="11"/>
        <v/>
      </c>
      <c r="I82" s="70" t="b">
        <v>0</v>
      </c>
      <c r="J82" s="3" t="str">
        <f t="shared" si="12"/>
        <v/>
      </c>
      <c r="K82" s="70" t="b">
        <v>0</v>
      </c>
      <c r="L82" s="3" t="str">
        <f t="shared" si="13"/>
        <v/>
      </c>
      <c r="M82" s="67" t="b">
        <v>0</v>
      </c>
      <c r="N82" s="40" t="str">
        <f t="shared" si="14"/>
        <v/>
      </c>
      <c r="O82" s="70" t="b">
        <v>0</v>
      </c>
      <c r="P82" s="3" t="str">
        <f t="shared" si="15"/>
        <v/>
      </c>
      <c r="Q82" s="70" t="b">
        <v>0</v>
      </c>
      <c r="R82" s="3" t="str">
        <f t="shared" si="16"/>
        <v/>
      </c>
      <c r="S82" s="67" t="b">
        <v>0</v>
      </c>
      <c r="T82" s="40" t="str">
        <f t="shared" si="17"/>
        <v/>
      </c>
      <c r="U82" s="70" t="b">
        <v>0</v>
      </c>
      <c r="V82" s="3" t="str">
        <f t="shared" si="18"/>
        <v/>
      </c>
      <c r="W82" s="70" t="b">
        <v>0</v>
      </c>
      <c r="X82" s="3" t="str">
        <f t="shared" si="19"/>
        <v/>
      </c>
      <c r="Y82" s="73" t="b">
        <v>0</v>
      </c>
      <c r="Z82" s="36"/>
    </row>
    <row r="83" spans="1:26" ht="15" hidden="1" x14ac:dyDescent="0.4">
      <c r="A83" s="3" t="str">
        <f t="shared" si="10"/>
        <v/>
      </c>
      <c r="B83" s="32"/>
      <c r="C83" s="33"/>
      <c r="D83" s="3" t="str" cm="1">
        <f t="array" aca="1" ref="D83" ca="1">IF($C83="","",COUNTIF(_xlfn.TAKE(OFFSET($C$14, 0, 0, COUNTA($C$14:$C$113),1),$A83),$C83))</f>
        <v/>
      </c>
      <c r="E83" s="48"/>
      <c r="F83" s="48"/>
      <c r="G83" s="35"/>
      <c r="H83" s="40" t="str">
        <f t="shared" si="11"/>
        <v/>
      </c>
      <c r="I83" s="70" t="b">
        <v>0</v>
      </c>
      <c r="J83" s="3" t="str">
        <f t="shared" si="12"/>
        <v/>
      </c>
      <c r="K83" s="70" t="b">
        <v>0</v>
      </c>
      <c r="L83" s="3" t="str">
        <f t="shared" si="13"/>
        <v/>
      </c>
      <c r="M83" s="67" t="b">
        <v>0</v>
      </c>
      <c r="N83" s="40" t="str">
        <f t="shared" si="14"/>
        <v/>
      </c>
      <c r="O83" s="70" t="b">
        <v>0</v>
      </c>
      <c r="P83" s="3" t="str">
        <f t="shared" si="15"/>
        <v/>
      </c>
      <c r="Q83" s="70" t="b">
        <v>0</v>
      </c>
      <c r="R83" s="3" t="str">
        <f t="shared" si="16"/>
        <v/>
      </c>
      <c r="S83" s="67" t="b">
        <v>0</v>
      </c>
      <c r="T83" s="40" t="str">
        <f t="shared" si="17"/>
        <v/>
      </c>
      <c r="U83" s="70" t="b">
        <v>0</v>
      </c>
      <c r="V83" s="3" t="str">
        <f t="shared" si="18"/>
        <v/>
      </c>
      <c r="W83" s="70" t="b">
        <v>0</v>
      </c>
      <c r="X83" s="3" t="str">
        <f t="shared" si="19"/>
        <v/>
      </c>
      <c r="Y83" s="73" t="b">
        <v>0</v>
      </c>
      <c r="Z83" s="36"/>
    </row>
    <row r="84" spans="1:26" ht="15" hidden="1" x14ac:dyDescent="0.4">
      <c r="A84" s="3" t="str">
        <f t="shared" si="10"/>
        <v/>
      </c>
      <c r="B84" s="32"/>
      <c r="C84" s="33"/>
      <c r="D84" s="3" t="str" cm="1">
        <f t="array" aca="1" ref="D84" ca="1">IF($C84="","",COUNTIF(_xlfn.TAKE(OFFSET($C$14, 0, 0, COUNTA($C$14:$C$113),1),$A84),$C84))</f>
        <v/>
      </c>
      <c r="E84" s="48"/>
      <c r="F84" s="48"/>
      <c r="G84" s="35"/>
      <c r="H84" s="40" t="str">
        <f t="shared" si="11"/>
        <v/>
      </c>
      <c r="I84" s="70" t="b">
        <v>0</v>
      </c>
      <c r="J84" s="3" t="str">
        <f t="shared" si="12"/>
        <v/>
      </c>
      <c r="K84" s="70" t="b">
        <v>0</v>
      </c>
      <c r="L84" s="3" t="str">
        <f t="shared" si="13"/>
        <v/>
      </c>
      <c r="M84" s="67" t="b">
        <v>0</v>
      </c>
      <c r="N84" s="40" t="str">
        <f t="shared" si="14"/>
        <v/>
      </c>
      <c r="O84" s="70" t="b">
        <v>0</v>
      </c>
      <c r="P84" s="3" t="str">
        <f t="shared" si="15"/>
        <v/>
      </c>
      <c r="Q84" s="70" t="b">
        <v>0</v>
      </c>
      <c r="R84" s="3" t="str">
        <f t="shared" si="16"/>
        <v/>
      </c>
      <c r="S84" s="67" t="b">
        <v>0</v>
      </c>
      <c r="T84" s="40" t="str">
        <f t="shared" si="17"/>
        <v/>
      </c>
      <c r="U84" s="70" t="b">
        <v>0</v>
      </c>
      <c r="V84" s="3" t="str">
        <f t="shared" si="18"/>
        <v/>
      </c>
      <c r="W84" s="70" t="b">
        <v>0</v>
      </c>
      <c r="X84" s="3" t="str">
        <f t="shared" si="19"/>
        <v/>
      </c>
      <c r="Y84" s="73" t="b">
        <v>0</v>
      </c>
      <c r="Z84" s="36"/>
    </row>
    <row r="85" spans="1:26" ht="15" hidden="1" x14ac:dyDescent="0.4">
      <c r="A85" s="3" t="str">
        <f t="shared" si="10"/>
        <v/>
      </c>
      <c r="B85" s="32"/>
      <c r="C85" s="33"/>
      <c r="D85" s="3" t="str" cm="1">
        <f t="array" aca="1" ref="D85" ca="1">IF($C85="","",COUNTIF(_xlfn.TAKE(OFFSET($C$14, 0, 0, COUNTA($C$14:$C$113),1),$A85),$C85))</f>
        <v/>
      </c>
      <c r="E85" s="48"/>
      <c r="F85" s="48"/>
      <c r="G85" s="35"/>
      <c r="H85" s="40" t="str">
        <f t="shared" si="11"/>
        <v/>
      </c>
      <c r="I85" s="70" t="b">
        <v>0</v>
      </c>
      <c r="J85" s="3" t="str">
        <f t="shared" si="12"/>
        <v/>
      </c>
      <c r="K85" s="70" t="b">
        <v>0</v>
      </c>
      <c r="L85" s="3" t="str">
        <f t="shared" si="13"/>
        <v/>
      </c>
      <c r="M85" s="67" t="b">
        <v>0</v>
      </c>
      <c r="N85" s="40" t="str">
        <f t="shared" si="14"/>
        <v/>
      </c>
      <c r="O85" s="70" t="b">
        <v>0</v>
      </c>
      <c r="P85" s="3" t="str">
        <f t="shared" si="15"/>
        <v/>
      </c>
      <c r="Q85" s="70" t="b">
        <v>0</v>
      </c>
      <c r="R85" s="3" t="str">
        <f t="shared" si="16"/>
        <v/>
      </c>
      <c r="S85" s="67" t="b">
        <v>0</v>
      </c>
      <c r="T85" s="40" t="str">
        <f t="shared" si="17"/>
        <v/>
      </c>
      <c r="U85" s="70" t="b">
        <v>0</v>
      </c>
      <c r="V85" s="3" t="str">
        <f t="shared" si="18"/>
        <v/>
      </c>
      <c r="W85" s="70" t="b">
        <v>0</v>
      </c>
      <c r="X85" s="3" t="str">
        <f t="shared" si="19"/>
        <v/>
      </c>
      <c r="Y85" s="73" t="b">
        <v>0</v>
      </c>
      <c r="Z85" s="36"/>
    </row>
    <row r="86" spans="1:26" ht="15" hidden="1" x14ac:dyDescent="0.4">
      <c r="A86" s="3" t="str">
        <f t="shared" si="10"/>
        <v/>
      </c>
      <c r="B86" s="32"/>
      <c r="C86" s="33"/>
      <c r="D86" s="3" t="str" cm="1">
        <f t="array" aca="1" ref="D86" ca="1">IF($C86="","",COUNTIF(_xlfn.TAKE(OFFSET($C$14, 0, 0, COUNTA($C$14:$C$113),1),$A86),$C86))</f>
        <v/>
      </c>
      <c r="E86" s="48"/>
      <c r="F86" s="48"/>
      <c r="G86" s="35"/>
      <c r="H86" s="40" t="str">
        <f t="shared" si="11"/>
        <v/>
      </c>
      <c r="I86" s="70" t="b">
        <v>0</v>
      </c>
      <c r="J86" s="3" t="str">
        <f t="shared" si="12"/>
        <v/>
      </c>
      <c r="K86" s="70" t="b">
        <v>0</v>
      </c>
      <c r="L86" s="3" t="str">
        <f t="shared" si="13"/>
        <v/>
      </c>
      <c r="M86" s="67" t="b">
        <v>0</v>
      </c>
      <c r="N86" s="40" t="str">
        <f t="shared" si="14"/>
        <v/>
      </c>
      <c r="O86" s="70" t="b">
        <v>0</v>
      </c>
      <c r="P86" s="3" t="str">
        <f t="shared" si="15"/>
        <v/>
      </c>
      <c r="Q86" s="70" t="b">
        <v>0</v>
      </c>
      <c r="R86" s="3" t="str">
        <f t="shared" si="16"/>
        <v/>
      </c>
      <c r="S86" s="67" t="b">
        <v>0</v>
      </c>
      <c r="T86" s="40" t="str">
        <f t="shared" si="17"/>
        <v/>
      </c>
      <c r="U86" s="70" t="b">
        <v>0</v>
      </c>
      <c r="V86" s="3" t="str">
        <f t="shared" si="18"/>
        <v/>
      </c>
      <c r="W86" s="70" t="b">
        <v>0</v>
      </c>
      <c r="X86" s="3" t="str">
        <f t="shared" si="19"/>
        <v/>
      </c>
      <c r="Y86" s="73" t="b">
        <v>0</v>
      </c>
      <c r="Z86" s="36"/>
    </row>
    <row r="87" spans="1:26" ht="15" hidden="1" x14ac:dyDescent="0.4">
      <c r="A87" s="3" t="str">
        <f t="shared" si="10"/>
        <v/>
      </c>
      <c r="B87" s="32"/>
      <c r="C87" s="33"/>
      <c r="D87" s="3" t="str" cm="1">
        <f t="array" aca="1" ref="D87" ca="1">IF($C87="","",COUNTIF(_xlfn.TAKE(OFFSET($C$14, 0, 0, COUNTA($C$14:$C$113),1),$A87),$C87))</f>
        <v/>
      </c>
      <c r="E87" s="48"/>
      <c r="F87" s="48"/>
      <c r="G87" s="35"/>
      <c r="H87" s="40" t="str">
        <f t="shared" si="11"/>
        <v/>
      </c>
      <c r="I87" s="70" t="b">
        <v>0</v>
      </c>
      <c r="J87" s="3" t="str">
        <f t="shared" si="12"/>
        <v/>
      </c>
      <c r="K87" s="70" t="b">
        <v>0</v>
      </c>
      <c r="L87" s="3" t="str">
        <f t="shared" si="13"/>
        <v/>
      </c>
      <c r="M87" s="67" t="b">
        <v>0</v>
      </c>
      <c r="N87" s="40" t="str">
        <f t="shared" si="14"/>
        <v/>
      </c>
      <c r="O87" s="70" t="b">
        <v>0</v>
      </c>
      <c r="P87" s="3" t="str">
        <f t="shared" si="15"/>
        <v/>
      </c>
      <c r="Q87" s="70" t="b">
        <v>0</v>
      </c>
      <c r="R87" s="3" t="str">
        <f t="shared" si="16"/>
        <v/>
      </c>
      <c r="S87" s="67" t="b">
        <v>0</v>
      </c>
      <c r="T87" s="40" t="str">
        <f t="shared" si="17"/>
        <v/>
      </c>
      <c r="U87" s="70" t="b">
        <v>0</v>
      </c>
      <c r="V87" s="3" t="str">
        <f t="shared" si="18"/>
        <v/>
      </c>
      <c r="W87" s="70" t="b">
        <v>0</v>
      </c>
      <c r="X87" s="3" t="str">
        <f t="shared" si="19"/>
        <v/>
      </c>
      <c r="Y87" s="73" t="b">
        <v>0</v>
      </c>
      <c r="Z87" s="36"/>
    </row>
    <row r="88" spans="1:26" ht="15" hidden="1" x14ac:dyDescent="0.4">
      <c r="A88" s="3" t="str">
        <f t="shared" si="10"/>
        <v/>
      </c>
      <c r="B88" s="32"/>
      <c r="C88" s="33"/>
      <c r="D88" s="3" t="str" cm="1">
        <f t="array" aca="1" ref="D88" ca="1">IF($C88="","",COUNTIF(_xlfn.TAKE(OFFSET($C$14, 0, 0, COUNTA($C$14:$C$113),1),$A88),$C88))</f>
        <v/>
      </c>
      <c r="E88" s="48"/>
      <c r="F88" s="48"/>
      <c r="G88" s="35"/>
      <c r="H88" s="40" t="str">
        <f t="shared" si="11"/>
        <v/>
      </c>
      <c r="I88" s="70" t="b">
        <v>0</v>
      </c>
      <c r="J88" s="3" t="str">
        <f t="shared" si="12"/>
        <v/>
      </c>
      <c r="K88" s="70" t="b">
        <v>0</v>
      </c>
      <c r="L88" s="3" t="str">
        <f t="shared" si="13"/>
        <v/>
      </c>
      <c r="M88" s="67" t="b">
        <v>0</v>
      </c>
      <c r="N88" s="40" t="str">
        <f t="shared" si="14"/>
        <v/>
      </c>
      <c r="O88" s="70" t="b">
        <v>0</v>
      </c>
      <c r="P88" s="3" t="str">
        <f t="shared" si="15"/>
        <v/>
      </c>
      <c r="Q88" s="70" t="b">
        <v>0</v>
      </c>
      <c r="R88" s="3" t="str">
        <f t="shared" si="16"/>
        <v/>
      </c>
      <c r="S88" s="67" t="b">
        <v>0</v>
      </c>
      <c r="T88" s="40" t="str">
        <f t="shared" si="17"/>
        <v/>
      </c>
      <c r="U88" s="70" t="b">
        <v>0</v>
      </c>
      <c r="V88" s="3" t="str">
        <f t="shared" si="18"/>
        <v/>
      </c>
      <c r="W88" s="70" t="b">
        <v>0</v>
      </c>
      <c r="X88" s="3" t="str">
        <f t="shared" si="19"/>
        <v/>
      </c>
      <c r="Y88" s="73" t="b">
        <v>0</v>
      </c>
      <c r="Z88" s="36"/>
    </row>
    <row r="89" spans="1:26" ht="15" hidden="1" x14ac:dyDescent="0.4">
      <c r="A89" s="3" t="str">
        <f t="shared" si="10"/>
        <v/>
      </c>
      <c r="B89" s="32"/>
      <c r="C89" s="33"/>
      <c r="D89" s="3" t="str" cm="1">
        <f t="array" aca="1" ref="D89" ca="1">IF($C89="","",COUNTIF(_xlfn.TAKE(OFFSET($C$14, 0, 0, COUNTA($C$14:$C$113),1),$A89),$C89))</f>
        <v/>
      </c>
      <c r="E89" s="48"/>
      <c r="F89" s="48"/>
      <c r="G89" s="35"/>
      <c r="H89" s="40" t="str">
        <f t="shared" si="11"/>
        <v/>
      </c>
      <c r="I89" s="70" t="b">
        <v>0</v>
      </c>
      <c r="J89" s="3" t="str">
        <f t="shared" si="12"/>
        <v/>
      </c>
      <c r="K89" s="70" t="b">
        <v>0</v>
      </c>
      <c r="L89" s="3" t="str">
        <f t="shared" si="13"/>
        <v/>
      </c>
      <c r="M89" s="67" t="b">
        <v>0</v>
      </c>
      <c r="N89" s="40" t="str">
        <f t="shared" si="14"/>
        <v/>
      </c>
      <c r="O89" s="70" t="b">
        <v>0</v>
      </c>
      <c r="P89" s="3" t="str">
        <f t="shared" si="15"/>
        <v/>
      </c>
      <c r="Q89" s="70" t="b">
        <v>0</v>
      </c>
      <c r="R89" s="3" t="str">
        <f t="shared" si="16"/>
        <v/>
      </c>
      <c r="S89" s="67" t="b">
        <v>0</v>
      </c>
      <c r="T89" s="40" t="str">
        <f t="shared" si="17"/>
        <v/>
      </c>
      <c r="U89" s="70" t="b">
        <v>0</v>
      </c>
      <c r="V89" s="3" t="str">
        <f t="shared" si="18"/>
        <v/>
      </c>
      <c r="W89" s="70" t="b">
        <v>0</v>
      </c>
      <c r="X89" s="3" t="str">
        <f t="shared" si="19"/>
        <v/>
      </c>
      <c r="Y89" s="73" t="b">
        <v>0</v>
      </c>
      <c r="Z89" s="36"/>
    </row>
    <row r="90" spans="1:26" ht="15" hidden="1" x14ac:dyDescent="0.4">
      <c r="A90" s="3" t="str">
        <f t="shared" si="10"/>
        <v/>
      </c>
      <c r="B90" s="32"/>
      <c r="C90" s="33"/>
      <c r="D90" s="3" t="str" cm="1">
        <f t="array" aca="1" ref="D90" ca="1">IF($C90="","",COUNTIF(_xlfn.TAKE(OFFSET($C$14, 0, 0, COUNTA($C$14:$C$113),1),$A90),$C90))</f>
        <v/>
      </c>
      <c r="E90" s="48"/>
      <c r="F90" s="48"/>
      <c r="G90" s="35"/>
      <c r="H90" s="40" t="str">
        <f t="shared" si="11"/>
        <v/>
      </c>
      <c r="I90" s="70" t="b">
        <v>0</v>
      </c>
      <c r="J90" s="3" t="str">
        <f t="shared" si="12"/>
        <v/>
      </c>
      <c r="K90" s="70" t="b">
        <v>0</v>
      </c>
      <c r="L90" s="3" t="str">
        <f t="shared" si="13"/>
        <v/>
      </c>
      <c r="M90" s="67" t="b">
        <v>0</v>
      </c>
      <c r="N90" s="40" t="str">
        <f t="shared" si="14"/>
        <v/>
      </c>
      <c r="O90" s="70" t="b">
        <v>0</v>
      </c>
      <c r="P90" s="3" t="str">
        <f t="shared" si="15"/>
        <v/>
      </c>
      <c r="Q90" s="70" t="b">
        <v>0</v>
      </c>
      <c r="R90" s="3" t="str">
        <f t="shared" si="16"/>
        <v/>
      </c>
      <c r="S90" s="67" t="b">
        <v>0</v>
      </c>
      <c r="T90" s="40" t="str">
        <f t="shared" si="17"/>
        <v/>
      </c>
      <c r="U90" s="70" t="b">
        <v>0</v>
      </c>
      <c r="V90" s="3" t="str">
        <f t="shared" si="18"/>
        <v/>
      </c>
      <c r="W90" s="70" t="b">
        <v>0</v>
      </c>
      <c r="X90" s="3" t="str">
        <f t="shared" si="19"/>
        <v/>
      </c>
      <c r="Y90" s="73" t="b">
        <v>0</v>
      </c>
      <c r="Z90" s="36"/>
    </row>
    <row r="91" spans="1:26" ht="15" hidden="1" x14ac:dyDescent="0.4">
      <c r="A91" s="3" t="str">
        <f t="shared" si="10"/>
        <v/>
      </c>
      <c r="B91" s="32"/>
      <c r="C91" s="33"/>
      <c r="D91" s="3" t="str" cm="1">
        <f t="array" aca="1" ref="D91" ca="1">IF($C91="","",COUNTIF(_xlfn.TAKE(OFFSET($C$14, 0, 0, COUNTA($C$14:$C$113),1),$A91),$C91))</f>
        <v/>
      </c>
      <c r="E91" s="48"/>
      <c r="F91" s="48"/>
      <c r="G91" s="35"/>
      <c r="H91" s="40" t="str">
        <f t="shared" si="11"/>
        <v/>
      </c>
      <c r="I91" s="70" t="b">
        <v>0</v>
      </c>
      <c r="J91" s="3" t="str">
        <f t="shared" si="12"/>
        <v/>
      </c>
      <c r="K91" s="70" t="b">
        <v>0</v>
      </c>
      <c r="L91" s="3" t="str">
        <f t="shared" si="13"/>
        <v/>
      </c>
      <c r="M91" s="67" t="b">
        <v>0</v>
      </c>
      <c r="N91" s="40" t="str">
        <f t="shared" si="14"/>
        <v/>
      </c>
      <c r="O91" s="70" t="b">
        <v>0</v>
      </c>
      <c r="P91" s="3" t="str">
        <f t="shared" si="15"/>
        <v/>
      </c>
      <c r="Q91" s="70" t="b">
        <v>0</v>
      </c>
      <c r="R91" s="3" t="str">
        <f t="shared" si="16"/>
        <v/>
      </c>
      <c r="S91" s="67" t="b">
        <v>0</v>
      </c>
      <c r="T91" s="40" t="str">
        <f t="shared" si="17"/>
        <v/>
      </c>
      <c r="U91" s="70" t="b">
        <v>0</v>
      </c>
      <c r="V91" s="3" t="str">
        <f t="shared" si="18"/>
        <v/>
      </c>
      <c r="W91" s="70" t="b">
        <v>0</v>
      </c>
      <c r="X91" s="3" t="str">
        <f t="shared" si="19"/>
        <v/>
      </c>
      <c r="Y91" s="73" t="b">
        <v>0</v>
      </c>
      <c r="Z91" s="36"/>
    </row>
    <row r="92" spans="1:26" ht="15" hidden="1" x14ac:dyDescent="0.4">
      <c r="A92" s="3" t="str">
        <f t="shared" si="10"/>
        <v/>
      </c>
      <c r="B92" s="32"/>
      <c r="C92" s="33"/>
      <c r="D92" s="3" t="str" cm="1">
        <f t="array" aca="1" ref="D92" ca="1">IF($C92="","",COUNTIF(_xlfn.TAKE(OFFSET($C$14, 0, 0, COUNTA($C$14:$C$113),1),$A92),$C92))</f>
        <v/>
      </c>
      <c r="E92" s="48"/>
      <c r="F92" s="48"/>
      <c r="G92" s="35"/>
      <c r="H92" s="40" t="str">
        <f t="shared" si="11"/>
        <v/>
      </c>
      <c r="I92" s="70" t="b">
        <v>0</v>
      </c>
      <c r="J92" s="3" t="str">
        <f t="shared" si="12"/>
        <v/>
      </c>
      <c r="K92" s="70" t="b">
        <v>0</v>
      </c>
      <c r="L92" s="3" t="str">
        <f t="shared" si="13"/>
        <v/>
      </c>
      <c r="M92" s="67" t="b">
        <v>0</v>
      </c>
      <c r="N92" s="40" t="str">
        <f t="shared" si="14"/>
        <v/>
      </c>
      <c r="O92" s="70" t="b">
        <v>0</v>
      </c>
      <c r="P92" s="3" t="str">
        <f t="shared" si="15"/>
        <v/>
      </c>
      <c r="Q92" s="70" t="b">
        <v>0</v>
      </c>
      <c r="R92" s="3" t="str">
        <f t="shared" si="16"/>
        <v/>
      </c>
      <c r="S92" s="67" t="b">
        <v>0</v>
      </c>
      <c r="T92" s="40" t="str">
        <f t="shared" si="17"/>
        <v/>
      </c>
      <c r="U92" s="70" t="b">
        <v>0</v>
      </c>
      <c r="V92" s="3" t="str">
        <f t="shared" si="18"/>
        <v/>
      </c>
      <c r="W92" s="70" t="b">
        <v>0</v>
      </c>
      <c r="X92" s="3" t="str">
        <f t="shared" si="19"/>
        <v/>
      </c>
      <c r="Y92" s="73" t="b">
        <v>0</v>
      </c>
      <c r="Z92" s="36"/>
    </row>
    <row r="93" spans="1:26" ht="15" hidden="1" x14ac:dyDescent="0.4">
      <c r="A93" s="3" t="str">
        <f t="shared" si="10"/>
        <v/>
      </c>
      <c r="B93" s="32"/>
      <c r="C93" s="33"/>
      <c r="D93" s="3" t="str" cm="1">
        <f t="array" aca="1" ref="D93" ca="1">IF($C93="","",COUNTIF(_xlfn.TAKE(OFFSET($C$14, 0, 0, COUNTA($C$14:$C$113),1),$A93),$C93))</f>
        <v/>
      </c>
      <c r="E93" s="48"/>
      <c r="F93" s="48"/>
      <c r="G93" s="35"/>
      <c r="H93" s="40" t="str">
        <f t="shared" si="11"/>
        <v/>
      </c>
      <c r="I93" s="70" t="b">
        <v>0</v>
      </c>
      <c r="J93" s="3" t="str">
        <f t="shared" si="12"/>
        <v/>
      </c>
      <c r="K93" s="70" t="b">
        <v>0</v>
      </c>
      <c r="L93" s="3" t="str">
        <f t="shared" si="13"/>
        <v/>
      </c>
      <c r="M93" s="67" t="b">
        <v>0</v>
      </c>
      <c r="N93" s="40" t="str">
        <f t="shared" si="14"/>
        <v/>
      </c>
      <c r="O93" s="70" t="b">
        <v>0</v>
      </c>
      <c r="P93" s="3" t="str">
        <f t="shared" si="15"/>
        <v/>
      </c>
      <c r="Q93" s="70" t="b">
        <v>0</v>
      </c>
      <c r="R93" s="3" t="str">
        <f t="shared" si="16"/>
        <v/>
      </c>
      <c r="S93" s="67" t="b">
        <v>0</v>
      </c>
      <c r="T93" s="40" t="str">
        <f t="shared" si="17"/>
        <v/>
      </c>
      <c r="U93" s="70" t="b">
        <v>0</v>
      </c>
      <c r="V93" s="3" t="str">
        <f t="shared" si="18"/>
        <v/>
      </c>
      <c r="W93" s="70" t="b">
        <v>0</v>
      </c>
      <c r="X93" s="3" t="str">
        <f t="shared" si="19"/>
        <v/>
      </c>
      <c r="Y93" s="73" t="b">
        <v>0</v>
      </c>
      <c r="Z93" s="36"/>
    </row>
    <row r="94" spans="1:26" ht="15" hidden="1" x14ac:dyDescent="0.4">
      <c r="A94" s="3" t="str">
        <f t="shared" si="10"/>
        <v/>
      </c>
      <c r="B94" s="32"/>
      <c r="C94" s="33"/>
      <c r="D94" s="3" t="str" cm="1">
        <f t="array" aca="1" ref="D94" ca="1">IF($C94="","",COUNTIF(_xlfn.TAKE(OFFSET($C$14, 0, 0, COUNTA($C$14:$C$113),1),$A94),$C94))</f>
        <v/>
      </c>
      <c r="E94" s="48"/>
      <c r="F94" s="48"/>
      <c r="G94" s="35"/>
      <c r="H94" s="40" t="str">
        <f t="shared" si="11"/>
        <v/>
      </c>
      <c r="I94" s="70" t="b">
        <v>0</v>
      </c>
      <c r="J94" s="3" t="str">
        <f t="shared" si="12"/>
        <v/>
      </c>
      <c r="K94" s="70" t="b">
        <v>0</v>
      </c>
      <c r="L94" s="3" t="str">
        <f t="shared" si="13"/>
        <v/>
      </c>
      <c r="M94" s="67" t="b">
        <v>0</v>
      </c>
      <c r="N94" s="40" t="str">
        <f t="shared" si="14"/>
        <v/>
      </c>
      <c r="O94" s="70" t="b">
        <v>0</v>
      </c>
      <c r="P94" s="3" t="str">
        <f t="shared" si="15"/>
        <v/>
      </c>
      <c r="Q94" s="70" t="b">
        <v>0</v>
      </c>
      <c r="R94" s="3" t="str">
        <f t="shared" si="16"/>
        <v/>
      </c>
      <c r="S94" s="67" t="b">
        <v>0</v>
      </c>
      <c r="T94" s="40" t="str">
        <f t="shared" si="17"/>
        <v/>
      </c>
      <c r="U94" s="70" t="b">
        <v>0</v>
      </c>
      <c r="V94" s="3" t="str">
        <f t="shared" si="18"/>
        <v/>
      </c>
      <c r="W94" s="70" t="b">
        <v>0</v>
      </c>
      <c r="X94" s="3" t="str">
        <f t="shared" si="19"/>
        <v/>
      </c>
      <c r="Y94" s="73" t="b">
        <v>0</v>
      </c>
      <c r="Z94" s="36"/>
    </row>
    <row r="95" spans="1:26" ht="15" hidden="1" x14ac:dyDescent="0.4">
      <c r="A95" s="3" t="str">
        <f t="shared" si="10"/>
        <v/>
      </c>
      <c r="B95" s="32"/>
      <c r="C95" s="33"/>
      <c r="D95" s="3" t="str" cm="1">
        <f t="array" aca="1" ref="D95" ca="1">IF($C95="","",COUNTIF(_xlfn.TAKE(OFFSET($C$14, 0, 0, COUNTA($C$14:$C$113),1),$A95),$C95))</f>
        <v/>
      </c>
      <c r="E95" s="48"/>
      <c r="F95" s="48"/>
      <c r="G95" s="35"/>
      <c r="H95" s="40" t="str">
        <f t="shared" si="11"/>
        <v/>
      </c>
      <c r="I95" s="70" t="b">
        <v>0</v>
      </c>
      <c r="J95" s="3" t="str">
        <f t="shared" si="12"/>
        <v/>
      </c>
      <c r="K95" s="70" t="b">
        <v>0</v>
      </c>
      <c r="L95" s="3" t="str">
        <f t="shared" si="13"/>
        <v/>
      </c>
      <c r="M95" s="67" t="b">
        <v>0</v>
      </c>
      <c r="N95" s="40" t="str">
        <f t="shared" si="14"/>
        <v/>
      </c>
      <c r="O95" s="70" t="b">
        <v>0</v>
      </c>
      <c r="P95" s="3" t="str">
        <f t="shared" si="15"/>
        <v/>
      </c>
      <c r="Q95" s="70" t="b">
        <v>0</v>
      </c>
      <c r="R95" s="3" t="str">
        <f t="shared" si="16"/>
        <v/>
      </c>
      <c r="S95" s="67" t="b">
        <v>0</v>
      </c>
      <c r="T95" s="40" t="str">
        <f t="shared" si="17"/>
        <v/>
      </c>
      <c r="U95" s="70" t="b">
        <v>0</v>
      </c>
      <c r="V95" s="3" t="str">
        <f t="shared" si="18"/>
        <v/>
      </c>
      <c r="W95" s="70" t="b">
        <v>0</v>
      </c>
      <c r="X95" s="3" t="str">
        <f t="shared" si="19"/>
        <v/>
      </c>
      <c r="Y95" s="73" t="b">
        <v>0</v>
      </c>
      <c r="Z95" s="36"/>
    </row>
    <row r="96" spans="1:26" ht="15" hidden="1" x14ac:dyDescent="0.4">
      <c r="A96" s="3" t="str">
        <f t="shared" si="10"/>
        <v/>
      </c>
      <c r="B96" s="32"/>
      <c r="C96" s="33"/>
      <c r="D96" s="3" t="str" cm="1">
        <f t="array" aca="1" ref="D96" ca="1">IF($C96="","",COUNTIF(_xlfn.TAKE(OFFSET($C$14, 0, 0, COUNTA($C$14:$C$113),1),$A96),$C96))</f>
        <v/>
      </c>
      <c r="E96" s="48"/>
      <c r="F96" s="48"/>
      <c r="G96" s="35"/>
      <c r="H96" s="40" t="str">
        <f t="shared" si="11"/>
        <v/>
      </c>
      <c r="I96" s="70" t="b">
        <v>0</v>
      </c>
      <c r="J96" s="3" t="str">
        <f t="shared" si="12"/>
        <v/>
      </c>
      <c r="K96" s="70" t="b">
        <v>0</v>
      </c>
      <c r="L96" s="3" t="str">
        <f t="shared" si="13"/>
        <v/>
      </c>
      <c r="M96" s="67" t="b">
        <v>0</v>
      </c>
      <c r="N96" s="40" t="str">
        <f t="shared" si="14"/>
        <v/>
      </c>
      <c r="O96" s="70" t="b">
        <v>0</v>
      </c>
      <c r="P96" s="3" t="str">
        <f t="shared" si="15"/>
        <v/>
      </c>
      <c r="Q96" s="70" t="b">
        <v>0</v>
      </c>
      <c r="R96" s="3" t="str">
        <f t="shared" si="16"/>
        <v/>
      </c>
      <c r="S96" s="67" t="b">
        <v>0</v>
      </c>
      <c r="T96" s="40" t="str">
        <f t="shared" si="17"/>
        <v/>
      </c>
      <c r="U96" s="70" t="b">
        <v>0</v>
      </c>
      <c r="V96" s="3" t="str">
        <f t="shared" si="18"/>
        <v/>
      </c>
      <c r="W96" s="70" t="b">
        <v>0</v>
      </c>
      <c r="X96" s="3" t="str">
        <f t="shared" si="19"/>
        <v/>
      </c>
      <c r="Y96" s="73" t="b">
        <v>0</v>
      </c>
      <c r="Z96" s="36"/>
    </row>
    <row r="97" spans="1:26" ht="15" hidden="1" x14ac:dyDescent="0.4">
      <c r="A97" s="3" t="str">
        <f t="shared" si="10"/>
        <v/>
      </c>
      <c r="B97" s="32"/>
      <c r="C97" s="33"/>
      <c r="D97" s="3" t="str" cm="1">
        <f t="array" aca="1" ref="D97" ca="1">IF($C97="","",COUNTIF(_xlfn.TAKE(OFFSET($C$14, 0, 0, COUNTA($C$14:$C$113),1),$A97),$C97))</f>
        <v/>
      </c>
      <c r="E97" s="48"/>
      <c r="F97" s="48"/>
      <c r="G97" s="35"/>
      <c r="H97" s="40" t="str">
        <f t="shared" si="11"/>
        <v/>
      </c>
      <c r="I97" s="70" t="b">
        <v>0</v>
      </c>
      <c r="J97" s="3" t="str">
        <f t="shared" si="12"/>
        <v/>
      </c>
      <c r="K97" s="70" t="b">
        <v>0</v>
      </c>
      <c r="L97" s="3" t="str">
        <f t="shared" si="13"/>
        <v/>
      </c>
      <c r="M97" s="67" t="b">
        <v>0</v>
      </c>
      <c r="N97" s="40" t="str">
        <f t="shared" si="14"/>
        <v/>
      </c>
      <c r="O97" s="70" t="b">
        <v>0</v>
      </c>
      <c r="P97" s="3" t="str">
        <f t="shared" si="15"/>
        <v/>
      </c>
      <c r="Q97" s="70" t="b">
        <v>0</v>
      </c>
      <c r="R97" s="3" t="str">
        <f t="shared" si="16"/>
        <v/>
      </c>
      <c r="S97" s="67" t="b">
        <v>0</v>
      </c>
      <c r="T97" s="40" t="str">
        <f t="shared" si="17"/>
        <v/>
      </c>
      <c r="U97" s="70" t="b">
        <v>0</v>
      </c>
      <c r="V97" s="3" t="str">
        <f t="shared" si="18"/>
        <v/>
      </c>
      <c r="W97" s="70" t="b">
        <v>0</v>
      </c>
      <c r="X97" s="3" t="str">
        <f t="shared" si="19"/>
        <v/>
      </c>
      <c r="Y97" s="73" t="b">
        <v>0</v>
      </c>
      <c r="Z97" s="36"/>
    </row>
    <row r="98" spans="1:26" ht="15" hidden="1" x14ac:dyDescent="0.4">
      <c r="A98" s="3" t="str">
        <f t="shared" si="10"/>
        <v/>
      </c>
      <c r="B98" s="32"/>
      <c r="C98" s="33"/>
      <c r="D98" s="3" t="str" cm="1">
        <f t="array" aca="1" ref="D98" ca="1">IF($C98="","",COUNTIF(_xlfn.TAKE(OFFSET($C$14, 0, 0, COUNTA($C$14:$C$113),1),$A98),$C98))</f>
        <v/>
      </c>
      <c r="E98" s="48"/>
      <c r="F98" s="48"/>
      <c r="G98" s="35"/>
      <c r="H98" s="40" t="str">
        <f t="shared" si="11"/>
        <v/>
      </c>
      <c r="I98" s="70" t="b">
        <v>0</v>
      </c>
      <c r="J98" s="3" t="str">
        <f t="shared" si="12"/>
        <v/>
      </c>
      <c r="K98" s="70" t="b">
        <v>0</v>
      </c>
      <c r="L98" s="3" t="str">
        <f t="shared" si="13"/>
        <v/>
      </c>
      <c r="M98" s="67" t="b">
        <v>0</v>
      </c>
      <c r="N98" s="40" t="str">
        <f t="shared" si="14"/>
        <v/>
      </c>
      <c r="O98" s="70" t="b">
        <v>0</v>
      </c>
      <c r="P98" s="3" t="str">
        <f t="shared" si="15"/>
        <v/>
      </c>
      <c r="Q98" s="70" t="b">
        <v>0</v>
      </c>
      <c r="R98" s="3" t="str">
        <f t="shared" si="16"/>
        <v/>
      </c>
      <c r="S98" s="67" t="b">
        <v>0</v>
      </c>
      <c r="T98" s="40" t="str">
        <f t="shared" si="17"/>
        <v/>
      </c>
      <c r="U98" s="70" t="b">
        <v>0</v>
      </c>
      <c r="V98" s="3" t="str">
        <f t="shared" si="18"/>
        <v/>
      </c>
      <c r="W98" s="70" t="b">
        <v>0</v>
      </c>
      <c r="X98" s="3" t="str">
        <f t="shared" si="19"/>
        <v/>
      </c>
      <c r="Y98" s="73" t="b">
        <v>0</v>
      </c>
      <c r="Z98" s="36"/>
    </row>
    <row r="99" spans="1:26" ht="15" hidden="1" x14ac:dyDescent="0.4">
      <c r="A99" s="3" t="str">
        <f t="shared" si="10"/>
        <v/>
      </c>
      <c r="B99" s="32"/>
      <c r="C99" s="33"/>
      <c r="D99" s="3" t="str" cm="1">
        <f t="array" aca="1" ref="D99" ca="1">IF($C99="","",COUNTIF(_xlfn.TAKE(OFFSET($C$14, 0, 0, COUNTA($C$14:$C$113),1),$A99),$C99))</f>
        <v/>
      </c>
      <c r="E99" s="48"/>
      <c r="F99" s="48"/>
      <c r="G99" s="35"/>
      <c r="H99" s="40" t="str">
        <f t="shared" si="11"/>
        <v/>
      </c>
      <c r="I99" s="70" t="b">
        <v>0</v>
      </c>
      <c r="J99" s="3" t="str">
        <f t="shared" si="12"/>
        <v/>
      </c>
      <c r="K99" s="70" t="b">
        <v>0</v>
      </c>
      <c r="L99" s="3" t="str">
        <f t="shared" si="13"/>
        <v/>
      </c>
      <c r="M99" s="67" t="b">
        <v>0</v>
      </c>
      <c r="N99" s="40" t="str">
        <f t="shared" si="14"/>
        <v/>
      </c>
      <c r="O99" s="70" t="b">
        <v>0</v>
      </c>
      <c r="P99" s="3" t="str">
        <f t="shared" si="15"/>
        <v/>
      </c>
      <c r="Q99" s="70" t="b">
        <v>0</v>
      </c>
      <c r="R99" s="3" t="str">
        <f t="shared" si="16"/>
        <v/>
      </c>
      <c r="S99" s="67" t="b">
        <v>0</v>
      </c>
      <c r="T99" s="40" t="str">
        <f t="shared" si="17"/>
        <v/>
      </c>
      <c r="U99" s="70" t="b">
        <v>0</v>
      </c>
      <c r="V99" s="3" t="str">
        <f t="shared" si="18"/>
        <v/>
      </c>
      <c r="W99" s="70" t="b">
        <v>0</v>
      </c>
      <c r="X99" s="3" t="str">
        <f t="shared" si="19"/>
        <v/>
      </c>
      <c r="Y99" s="73" t="b">
        <v>0</v>
      </c>
      <c r="Z99" s="36"/>
    </row>
    <row r="100" spans="1:26" ht="15" hidden="1" x14ac:dyDescent="0.4">
      <c r="A100" s="3" t="str">
        <f t="shared" si="10"/>
        <v/>
      </c>
      <c r="B100" s="32"/>
      <c r="C100" s="33"/>
      <c r="D100" s="3" t="str" cm="1">
        <f t="array" aca="1" ref="D100" ca="1">IF($C100="","",COUNTIF(_xlfn.TAKE(OFFSET($C$14, 0, 0, COUNTA($C$14:$C$113),1),$A100),$C100))</f>
        <v/>
      </c>
      <c r="E100" s="48"/>
      <c r="F100" s="48"/>
      <c r="G100" s="35"/>
      <c r="H100" s="40" t="str">
        <f t="shared" si="11"/>
        <v/>
      </c>
      <c r="I100" s="70" t="b">
        <v>0</v>
      </c>
      <c r="J100" s="3" t="str">
        <f t="shared" si="12"/>
        <v/>
      </c>
      <c r="K100" s="70" t="b">
        <v>0</v>
      </c>
      <c r="L100" s="3" t="str">
        <f t="shared" si="13"/>
        <v/>
      </c>
      <c r="M100" s="67" t="b">
        <v>0</v>
      </c>
      <c r="N100" s="40" t="str">
        <f t="shared" si="14"/>
        <v/>
      </c>
      <c r="O100" s="70" t="b">
        <v>0</v>
      </c>
      <c r="P100" s="3" t="str">
        <f t="shared" si="15"/>
        <v/>
      </c>
      <c r="Q100" s="70" t="b">
        <v>0</v>
      </c>
      <c r="R100" s="3" t="str">
        <f t="shared" si="16"/>
        <v/>
      </c>
      <c r="S100" s="67" t="b">
        <v>0</v>
      </c>
      <c r="T100" s="40" t="str">
        <f t="shared" si="17"/>
        <v/>
      </c>
      <c r="U100" s="70" t="b">
        <v>0</v>
      </c>
      <c r="V100" s="3" t="str">
        <f t="shared" si="18"/>
        <v/>
      </c>
      <c r="W100" s="70" t="b">
        <v>0</v>
      </c>
      <c r="X100" s="3" t="str">
        <f t="shared" si="19"/>
        <v/>
      </c>
      <c r="Y100" s="73" t="b">
        <v>0</v>
      </c>
      <c r="Z100" s="36"/>
    </row>
    <row r="101" spans="1:26" ht="15" hidden="1" x14ac:dyDescent="0.4">
      <c r="A101" s="3" t="str">
        <f t="shared" si="10"/>
        <v/>
      </c>
      <c r="B101" s="32"/>
      <c r="C101" s="33"/>
      <c r="D101" s="3" t="str" cm="1">
        <f t="array" aca="1" ref="D101" ca="1">IF($C101="","",COUNTIF(_xlfn.TAKE(OFFSET($C$14, 0, 0, COUNTA($C$14:$C$113),1),$A101),$C101))</f>
        <v/>
      </c>
      <c r="E101" s="48"/>
      <c r="F101" s="48"/>
      <c r="G101" s="35"/>
      <c r="H101" s="40" t="str">
        <f t="shared" si="11"/>
        <v/>
      </c>
      <c r="I101" s="70" t="b">
        <v>0</v>
      </c>
      <c r="J101" s="3" t="str">
        <f t="shared" si="12"/>
        <v/>
      </c>
      <c r="K101" s="70" t="b">
        <v>0</v>
      </c>
      <c r="L101" s="3" t="str">
        <f t="shared" si="13"/>
        <v/>
      </c>
      <c r="M101" s="67" t="b">
        <v>0</v>
      </c>
      <c r="N101" s="40" t="str">
        <f t="shared" si="14"/>
        <v/>
      </c>
      <c r="O101" s="70" t="b">
        <v>0</v>
      </c>
      <c r="P101" s="3" t="str">
        <f t="shared" si="15"/>
        <v/>
      </c>
      <c r="Q101" s="70" t="b">
        <v>0</v>
      </c>
      <c r="R101" s="3" t="str">
        <f t="shared" si="16"/>
        <v/>
      </c>
      <c r="S101" s="67" t="b">
        <v>0</v>
      </c>
      <c r="T101" s="40" t="str">
        <f t="shared" si="17"/>
        <v/>
      </c>
      <c r="U101" s="70" t="b">
        <v>0</v>
      </c>
      <c r="V101" s="3" t="str">
        <f t="shared" si="18"/>
        <v/>
      </c>
      <c r="W101" s="70" t="b">
        <v>0</v>
      </c>
      <c r="X101" s="3" t="str">
        <f t="shared" si="19"/>
        <v/>
      </c>
      <c r="Y101" s="73" t="b">
        <v>0</v>
      </c>
      <c r="Z101" s="36"/>
    </row>
    <row r="102" spans="1:26" ht="15" hidden="1" x14ac:dyDescent="0.4">
      <c r="A102" s="3" t="str">
        <f t="shared" si="10"/>
        <v/>
      </c>
      <c r="B102" s="32"/>
      <c r="C102" s="33"/>
      <c r="D102" s="3" t="str" cm="1">
        <f t="array" aca="1" ref="D102" ca="1">IF($C102="","",COUNTIF(_xlfn.TAKE(OFFSET($C$14, 0, 0, COUNTA($C$14:$C$113),1),$A102),$C102))</f>
        <v/>
      </c>
      <c r="E102" s="48"/>
      <c r="F102" s="48"/>
      <c r="G102" s="35"/>
      <c r="H102" s="40" t="str">
        <f t="shared" si="11"/>
        <v/>
      </c>
      <c r="I102" s="70" t="b">
        <v>0</v>
      </c>
      <c r="J102" s="3" t="str">
        <f t="shared" si="12"/>
        <v/>
      </c>
      <c r="K102" s="70" t="b">
        <v>0</v>
      </c>
      <c r="L102" s="3" t="str">
        <f t="shared" si="13"/>
        <v/>
      </c>
      <c r="M102" s="67" t="b">
        <v>0</v>
      </c>
      <c r="N102" s="40" t="str">
        <f t="shared" si="14"/>
        <v/>
      </c>
      <c r="O102" s="70" t="b">
        <v>0</v>
      </c>
      <c r="P102" s="3" t="str">
        <f t="shared" si="15"/>
        <v/>
      </c>
      <c r="Q102" s="70" t="b">
        <v>0</v>
      </c>
      <c r="R102" s="3" t="str">
        <f t="shared" si="16"/>
        <v/>
      </c>
      <c r="S102" s="67" t="b">
        <v>0</v>
      </c>
      <c r="T102" s="40" t="str">
        <f t="shared" si="17"/>
        <v/>
      </c>
      <c r="U102" s="70" t="b">
        <v>0</v>
      </c>
      <c r="V102" s="3" t="str">
        <f t="shared" si="18"/>
        <v/>
      </c>
      <c r="W102" s="70" t="b">
        <v>0</v>
      </c>
      <c r="X102" s="3" t="str">
        <f t="shared" si="19"/>
        <v/>
      </c>
      <c r="Y102" s="73" t="b">
        <v>0</v>
      </c>
      <c r="Z102" s="36"/>
    </row>
    <row r="103" spans="1:26" ht="15" hidden="1" x14ac:dyDescent="0.4">
      <c r="A103" s="3" t="str">
        <f t="shared" si="10"/>
        <v/>
      </c>
      <c r="B103" s="32"/>
      <c r="C103" s="33"/>
      <c r="D103" s="3" t="str" cm="1">
        <f t="array" aca="1" ref="D103" ca="1">IF($C103="","",COUNTIF(_xlfn.TAKE(OFFSET($C$14, 0, 0, COUNTA($C$14:$C$113),1),$A103),$C103))</f>
        <v/>
      </c>
      <c r="E103" s="48"/>
      <c r="F103" s="48"/>
      <c r="G103" s="35"/>
      <c r="H103" s="40" t="str">
        <f t="shared" si="11"/>
        <v/>
      </c>
      <c r="I103" s="70" t="b">
        <v>0</v>
      </c>
      <c r="J103" s="3" t="str">
        <f t="shared" si="12"/>
        <v/>
      </c>
      <c r="K103" s="70" t="b">
        <v>0</v>
      </c>
      <c r="L103" s="3" t="str">
        <f t="shared" si="13"/>
        <v/>
      </c>
      <c r="M103" s="67" t="b">
        <v>0</v>
      </c>
      <c r="N103" s="40" t="str">
        <f t="shared" si="14"/>
        <v/>
      </c>
      <c r="O103" s="70" t="b">
        <v>0</v>
      </c>
      <c r="P103" s="3" t="str">
        <f t="shared" si="15"/>
        <v/>
      </c>
      <c r="Q103" s="70" t="b">
        <v>0</v>
      </c>
      <c r="R103" s="3" t="str">
        <f t="shared" si="16"/>
        <v/>
      </c>
      <c r="S103" s="67" t="b">
        <v>0</v>
      </c>
      <c r="T103" s="40" t="str">
        <f t="shared" si="17"/>
        <v/>
      </c>
      <c r="U103" s="70" t="b">
        <v>0</v>
      </c>
      <c r="V103" s="3" t="str">
        <f t="shared" si="18"/>
        <v/>
      </c>
      <c r="W103" s="70" t="b">
        <v>0</v>
      </c>
      <c r="X103" s="3" t="str">
        <f t="shared" si="19"/>
        <v/>
      </c>
      <c r="Y103" s="73" t="b">
        <v>0</v>
      </c>
      <c r="Z103" s="36"/>
    </row>
    <row r="104" spans="1:26" ht="15" hidden="1" x14ac:dyDescent="0.4">
      <c r="A104" s="3" t="str">
        <f t="shared" si="10"/>
        <v/>
      </c>
      <c r="B104" s="32"/>
      <c r="C104" s="33"/>
      <c r="D104" s="3" t="str" cm="1">
        <f t="array" aca="1" ref="D104" ca="1">IF($C104="","",COUNTIF(_xlfn.TAKE(OFFSET($C$14, 0, 0, COUNTA($C$14:$C$113),1),$A104),$C104))</f>
        <v/>
      </c>
      <c r="E104" s="48"/>
      <c r="F104" s="48"/>
      <c r="G104" s="35"/>
      <c r="H104" s="40" t="str">
        <f t="shared" si="11"/>
        <v/>
      </c>
      <c r="I104" s="70" t="b">
        <v>0</v>
      </c>
      <c r="J104" s="3" t="str">
        <f t="shared" si="12"/>
        <v/>
      </c>
      <c r="K104" s="70" t="b">
        <v>0</v>
      </c>
      <c r="L104" s="3" t="str">
        <f t="shared" si="13"/>
        <v/>
      </c>
      <c r="M104" s="67" t="b">
        <v>0</v>
      </c>
      <c r="N104" s="40" t="str">
        <f t="shared" si="14"/>
        <v/>
      </c>
      <c r="O104" s="70" t="b">
        <v>0</v>
      </c>
      <c r="P104" s="3" t="str">
        <f t="shared" si="15"/>
        <v/>
      </c>
      <c r="Q104" s="70" t="b">
        <v>0</v>
      </c>
      <c r="R104" s="3" t="str">
        <f t="shared" si="16"/>
        <v/>
      </c>
      <c r="S104" s="67" t="b">
        <v>0</v>
      </c>
      <c r="T104" s="40" t="str">
        <f t="shared" si="17"/>
        <v/>
      </c>
      <c r="U104" s="70" t="b">
        <v>0</v>
      </c>
      <c r="V104" s="3" t="str">
        <f t="shared" si="18"/>
        <v/>
      </c>
      <c r="W104" s="70" t="b">
        <v>0</v>
      </c>
      <c r="X104" s="3" t="str">
        <f t="shared" si="19"/>
        <v/>
      </c>
      <c r="Y104" s="73" t="b">
        <v>0</v>
      </c>
      <c r="Z104" s="36"/>
    </row>
    <row r="105" spans="1:26" ht="15" hidden="1" x14ac:dyDescent="0.4">
      <c r="A105" s="3" t="str">
        <f t="shared" si="10"/>
        <v/>
      </c>
      <c r="B105" s="32"/>
      <c r="C105" s="33"/>
      <c r="D105" s="3" t="str" cm="1">
        <f t="array" aca="1" ref="D105" ca="1">IF($C105="","",COUNTIF(_xlfn.TAKE(OFFSET($C$14, 0, 0, COUNTA($C$14:$C$113),1),$A105),$C105))</f>
        <v/>
      </c>
      <c r="E105" s="48"/>
      <c r="F105" s="48"/>
      <c r="G105" s="35"/>
      <c r="H105" s="40" t="str">
        <f t="shared" si="11"/>
        <v/>
      </c>
      <c r="I105" s="70" t="b">
        <v>0</v>
      </c>
      <c r="J105" s="3" t="str">
        <f t="shared" si="12"/>
        <v/>
      </c>
      <c r="K105" s="70" t="b">
        <v>0</v>
      </c>
      <c r="L105" s="3" t="str">
        <f t="shared" si="13"/>
        <v/>
      </c>
      <c r="M105" s="67" t="b">
        <v>0</v>
      </c>
      <c r="N105" s="40" t="str">
        <f t="shared" si="14"/>
        <v/>
      </c>
      <c r="O105" s="70" t="b">
        <v>0</v>
      </c>
      <c r="P105" s="3" t="str">
        <f t="shared" si="15"/>
        <v/>
      </c>
      <c r="Q105" s="70" t="b">
        <v>0</v>
      </c>
      <c r="R105" s="3" t="str">
        <f t="shared" si="16"/>
        <v/>
      </c>
      <c r="S105" s="67" t="b">
        <v>0</v>
      </c>
      <c r="T105" s="40" t="str">
        <f t="shared" si="17"/>
        <v/>
      </c>
      <c r="U105" s="70" t="b">
        <v>0</v>
      </c>
      <c r="V105" s="3" t="str">
        <f t="shared" si="18"/>
        <v/>
      </c>
      <c r="W105" s="70" t="b">
        <v>0</v>
      </c>
      <c r="X105" s="3" t="str">
        <f t="shared" si="19"/>
        <v/>
      </c>
      <c r="Y105" s="73" t="b">
        <v>0</v>
      </c>
      <c r="Z105" s="36"/>
    </row>
    <row r="106" spans="1:26" ht="15" hidden="1" x14ac:dyDescent="0.4">
      <c r="A106" s="3" t="str">
        <f t="shared" si="10"/>
        <v/>
      </c>
      <c r="B106" s="32"/>
      <c r="C106" s="33"/>
      <c r="D106" s="3" t="str" cm="1">
        <f t="array" aca="1" ref="D106" ca="1">IF($C106="","",COUNTIF(_xlfn.TAKE(OFFSET($C$14, 0, 0, COUNTA($C$14:$C$113),1),$A106),$C106))</f>
        <v/>
      </c>
      <c r="E106" s="48"/>
      <c r="F106" s="48"/>
      <c r="G106" s="35"/>
      <c r="H106" s="40" t="str">
        <f t="shared" si="11"/>
        <v/>
      </c>
      <c r="I106" s="70" t="b">
        <v>0</v>
      </c>
      <c r="J106" s="3" t="str">
        <f t="shared" si="12"/>
        <v/>
      </c>
      <c r="K106" s="70" t="b">
        <v>0</v>
      </c>
      <c r="L106" s="3" t="str">
        <f t="shared" si="13"/>
        <v/>
      </c>
      <c r="M106" s="67" t="b">
        <v>0</v>
      </c>
      <c r="N106" s="40" t="str">
        <f t="shared" si="14"/>
        <v/>
      </c>
      <c r="O106" s="70" t="b">
        <v>0</v>
      </c>
      <c r="P106" s="3" t="str">
        <f t="shared" si="15"/>
        <v/>
      </c>
      <c r="Q106" s="70" t="b">
        <v>0</v>
      </c>
      <c r="R106" s="3" t="str">
        <f t="shared" si="16"/>
        <v/>
      </c>
      <c r="S106" s="67" t="b">
        <v>0</v>
      </c>
      <c r="T106" s="40" t="str">
        <f t="shared" si="17"/>
        <v/>
      </c>
      <c r="U106" s="70" t="b">
        <v>0</v>
      </c>
      <c r="V106" s="3" t="str">
        <f t="shared" si="18"/>
        <v/>
      </c>
      <c r="W106" s="70" t="b">
        <v>0</v>
      </c>
      <c r="X106" s="3" t="str">
        <f t="shared" si="19"/>
        <v/>
      </c>
      <c r="Y106" s="73" t="b">
        <v>0</v>
      </c>
      <c r="Z106" s="36"/>
    </row>
    <row r="107" spans="1:26" ht="15" hidden="1" x14ac:dyDescent="0.4">
      <c r="A107" s="3" t="str">
        <f t="shared" si="10"/>
        <v/>
      </c>
      <c r="B107" s="32"/>
      <c r="C107" s="33"/>
      <c r="D107" s="3" t="str" cm="1">
        <f t="array" aca="1" ref="D107" ca="1">IF($C107="","",COUNTIF(_xlfn.TAKE(OFFSET($C$14, 0, 0, COUNTA($C$14:$C$113),1),$A107),$C107))</f>
        <v/>
      </c>
      <c r="E107" s="48"/>
      <c r="F107" s="48"/>
      <c r="G107" s="35"/>
      <c r="H107" s="40" t="str">
        <f t="shared" si="11"/>
        <v/>
      </c>
      <c r="I107" s="70" t="b">
        <v>0</v>
      </c>
      <c r="J107" s="3" t="str">
        <f t="shared" si="12"/>
        <v/>
      </c>
      <c r="K107" s="70" t="b">
        <v>0</v>
      </c>
      <c r="L107" s="3" t="str">
        <f t="shared" si="13"/>
        <v/>
      </c>
      <c r="M107" s="67" t="b">
        <v>0</v>
      </c>
      <c r="N107" s="40" t="str">
        <f t="shared" si="14"/>
        <v/>
      </c>
      <c r="O107" s="70" t="b">
        <v>0</v>
      </c>
      <c r="P107" s="3" t="str">
        <f t="shared" si="15"/>
        <v/>
      </c>
      <c r="Q107" s="70" t="b">
        <v>0</v>
      </c>
      <c r="R107" s="3" t="str">
        <f t="shared" si="16"/>
        <v/>
      </c>
      <c r="S107" s="67" t="b">
        <v>0</v>
      </c>
      <c r="T107" s="40" t="str">
        <f t="shared" si="17"/>
        <v/>
      </c>
      <c r="U107" s="70" t="b">
        <v>0</v>
      </c>
      <c r="V107" s="3" t="str">
        <f t="shared" si="18"/>
        <v/>
      </c>
      <c r="W107" s="70" t="b">
        <v>0</v>
      </c>
      <c r="X107" s="3" t="str">
        <f t="shared" si="19"/>
        <v/>
      </c>
      <c r="Y107" s="73" t="b">
        <v>0</v>
      </c>
      <c r="Z107" s="36"/>
    </row>
    <row r="108" spans="1:26" ht="15" hidden="1" x14ac:dyDescent="0.4">
      <c r="A108" s="3" t="str">
        <f t="shared" si="10"/>
        <v/>
      </c>
      <c r="B108" s="32"/>
      <c r="C108" s="33"/>
      <c r="D108" s="3" t="str" cm="1">
        <f t="array" aca="1" ref="D108" ca="1">IF($C108="","",COUNTIF(_xlfn.TAKE(OFFSET($C$14, 0, 0, COUNTA($C$14:$C$113),1),$A108),$C108))</f>
        <v/>
      </c>
      <c r="E108" s="48"/>
      <c r="F108" s="48"/>
      <c r="G108" s="35"/>
      <c r="H108" s="40" t="str">
        <f t="shared" si="11"/>
        <v/>
      </c>
      <c r="I108" s="70" t="b">
        <v>0</v>
      </c>
      <c r="J108" s="3" t="str">
        <f t="shared" si="12"/>
        <v/>
      </c>
      <c r="K108" s="70" t="b">
        <v>0</v>
      </c>
      <c r="L108" s="3" t="str">
        <f t="shared" si="13"/>
        <v/>
      </c>
      <c r="M108" s="67" t="b">
        <v>0</v>
      </c>
      <c r="N108" s="40" t="str">
        <f t="shared" si="14"/>
        <v/>
      </c>
      <c r="O108" s="70" t="b">
        <v>0</v>
      </c>
      <c r="P108" s="3" t="str">
        <f t="shared" si="15"/>
        <v/>
      </c>
      <c r="Q108" s="70" t="b">
        <v>0</v>
      </c>
      <c r="R108" s="3" t="str">
        <f t="shared" si="16"/>
        <v/>
      </c>
      <c r="S108" s="67" t="b">
        <v>0</v>
      </c>
      <c r="T108" s="40" t="str">
        <f t="shared" si="17"/>
        <v/>
      </c>
      <c r="U108" s="70" t="b">
        <v>0</v>
      </c>
      <c r="V108" s="3" t="str">
        <f t="shared" si="18"/>
        <v/>
      </c>
      <c r="W108" s="70" t="b">
        <v>0</v>
      </c>
      <c r="X108" s="3" t="str">
        <f t="shared" si="19"/>
        <v/>
      </c>
      <c r="Y108" s="73" t="b">
        <v>0</v>
      </c>
      <c r="Z108" s="36"/>
    </row>
    <row r="109" spans="1:26" ht="15" hidden="1" x14ac:dyDescent="0.4">
      <c r="A109" s="3" t="str">
        <f t="shared" si="10"/>
        <v/>
      </c>
      <c r="B109" s="32"/>
      <c r="C109" s="33"/>
      <c r="D109" s="3" t="str" cm="1">
        <f t="array" aca="1" ref="D109" ca="1">IF($C109="","",COUNTIF(_xlfn.TAKE(OFFSET($C$14, 0, 0, COUNTA($C$14:$C$113),1),$A109),$C109))</f>
        <v/>
      </c>
      <c r="E109" s="48"/>
      <c r="F109" s="48"/>
      <c r="G109" s="35"/>
      <c r="H109" s="40" t="str">
        <f t="shared" si="11"/>
        <v/>
      </c>
      <c r="I109" s="70" t="b">
        <v>0</v>
      </c>
      <c r="J109" s="3" t="str">
        <f t="shared" si="12"/>
        <v/>
      </c>
      <c r="K109" s="70" t="b">
        <v>0</v>
      </c>
      <c r="L109" s="3" t="str">
        <f t="shared" si="13"/>
        <v/>
      </c>
      <c r="M109" s="67" t="b">
        <v>0</v>
      </c>
      <c r="N109" s="40" t="str">
        <f t="shared" si="14"/>
        <v/>
      </c>
      <c r="O109" s="70" t="b">
        <v>0</v>
      </c>
      <c r="P109" s="3" t="str">
        <f t="shared" si="15"/>
        <v/>
      </c>
      <c r="Q109" s="70" t="b">
        <v>0</v>
      </c>
      <c r="R109" s="3" t="str">
        <f t="shared" si="16"/>
        <v/>
      </c>
      <c r="S109" s="67" t="b">
        <v>0</v>
      </c>
      <c r="T109" s="40" t="str">
        <f t="shared" si="17"/>
        <v/>
      </c>
      <c r="U109" s="70" t="b">
        <v>0</v>
      </c>
      <c r="V109" s="3" t="str">
        <f t="shared" si="18"/>
        <v/>
      </c>
      <c r="W109" s="70" t="b">
        <v>0</v>
      </c>
      <c r="X109" s="3" t="str">
        <f t="shared" si="19"/>
        <v/>
      </c>
      <c r="Y109" s="73" t="b">
        <v>0</v>
      </c>
      <c r="Z109" s="36"/>
    </row>
    <row r="110" spans="1:26" ht="15" hidden="1" x14ac:dyDescent="0.4">
      <c r="A110" s="3" t="str">
        <f t="shared" si="10"/>
        <v/>
      </c>
      <c r="B110" s="32"/>
      <c r="C110" s="33"/>
      <c r="D110" s="3" t="str" cm="1">
        <f t="array" aca="1" ref="D110" ca="1">IF($C110="","",COUNTIF(_xlfn.TAKE(OFFSET($C$14, 0, 0, COUNTA($C$14:$C$113),1),$A110),$C110))</f>
        <v/>
      </c>
      <c r="E110" s="48"/>
      <c r="F110" s="48"/>
      <c r="G110" s="35"/>
      <c r="H110" s="40" t="str">
        <f t="shared" si="11"/>
        <v/>
      </c>
      <c r="I110" s="70" t="b">
        <v>0</v>
      </c>
      <c r="J110" s="3" t="str">
        <f t="shared" si="12"/>
        <v/>
      </c>
      <c r="K110" s="70" t="b">
        <v>0</v>
      </c>
      <c r="L110" s="3" t="str">
        <f t="shared" si="13"/>
        <v/>
      </c>
      <c r="M110" s="67" t="b">
        <v>0</v>
      </c>
      <c r="N110" s="40" t="str">
        <f t="shared" si="14"/>
        <v/>
      </c>
      <c r="O110" s="70" t="b">
        <v>0</v>
      </c>
      <c r="P110" s="3" t="str">
        <f t="shared" si="15"/>
        <v/>
      </c>
      <c r="Q110" s="70" t="b">
        <v>0</v>
      </c>
      <c r="R110" s="3" t="str">
        <f t="shared" si="16"/>
        <v/>
      </c>
      <c r="S110" s="67" t="b">
        <v>0</v>
      </c>
      <c r="T110" s="40" t="str">
        <f t="shared" si="17"/>
        <v/>
      </c>
      <c r="U110" s="70" t="b">
        <v>0</v>
      </c>
      <c r="V110" s="3" t="str">
        <f t="shared" si="18"/>
        <v/>
      </c>
      <c r="W110" s="70" t="b">
        <v>0</v>
      </c>
      <c r="X110" s="3" t="str">
        <f t="shared" si="19"/>
        <v/>
      </c>
      <c r="Y110" s="73" t="b">
        <v>0</v>
      </c>
      <c r="Z110" s="36"/>
    </row>
    <row r="111" spans="1:26" ht="15" hidden="1" x14ac:dyDescent="0.4">
      <c r="A111" s="3" t="str">
        <f t="shared" si="10"/>
        <v/>
      </c>
      <c r="B111" s="32"/>
      <c r="C111" s="33"/>
      <c r="D111" s="3" t="str" cm="1">
        <f t="array" aca="1" ref="D111" ca="1">IF($C111="","",COUNTIF(_xlfn.TAKE(OFFSET($C$14, 0, 0, COUNTA($C$14:$C$113),1),$A111),$C111))</f>
        <v/>
      </c>
      <c r="E111" s="48"/>
      <c r="F111" s="48"/>
      <c r="G111" s="35"/>
      <c r="H111" s="40" t="str">
        <f t="shared" si="11"/>
        <v/>
      </c>
      <c r="I111" s="70" t="b">
        <v>0</v>
      </c>
      <c r="J111" s="3" t="str">
        <f t="shared" si="12"/>
        <v/>
      </c>
      <c r="K111" s="70" t="b">
        <v>0</v>
      </c>
      <c r="L111" s="3" t="str">
        <f t="shared" si="13"/>
        <v/>
      </c>
      <c r="M111" s="67" t="b">
        <v>0</v>
      </c>
      <c r="N111" s="40" t="str">
        <f t="shared" si="14"/>
        <v/>
      </c>
      <c r="O111" s="70" t="b">
        <v>0</v>
      </c>
      <c r="P111" s="3" t="str">
        <f t="shared" si="15"/>
        <v/>
      </c>
      <c r="Q111" s="70" t="b">
        <v>0</v>
      </c>
      <c r="R111" s="3" t="str">
        <f t="shared" si="16"/>
        <v/>
      </c>
      <c r="S111" s="67" t="b">
        <v>0</v>
      </c>
      <c r="T111" s="40" t="str">
        <f t="shared" si="17"/>
        <v/>
      </c>
      <c r="U111" s="70" t="b">
        <v>0</v>
      </c>
      <c r="V111" s="3" t="str">
        <f t="shared" si="18"/>
        <v/>
      </c>
      <c r="W111" s="70" t="b">
        <v>0</v>
      </c>
      <c r="X111" s="3" t="str">
        <f t="shared" si="19"/>
        <v/>
      </c>
      <c r="Y111" s="73" t="b">
        <v>0</v>
      </c>
      <c r="Z111" s="36"/>
    </row>
    <row r="112" spans="1:26" ht="15" hidden="1" x14ac:dyDescent="0.4">
      <c r="A112" s="3" t="str">
        <f t="shared" si="10"/>
        <v/>
      </c>
      <c r="B112" s="32"/>
      <c r="C112" s="33"/>
      <c r="D112" s="3" t="str" cm="1">
        <f t="array" aca="1" ref="D112" ca="1">IF($C112="","",COUNTIF(_xlfn.TAKE(OFFSET($C$14, 0, 0, COUNTA($C$14:$C$113),1),$A112),$C112))</f>
        <v/>
      </c>
      <c r="E112" s="48"/>
      <c r="F112" s="48"/>
      <c r="G112" s="35"/>
      <c r="H112" s="40" t="str">
        <f t="shared" si="11"/>
        <v/>
      </c>
      <c r="I112" s="70" t="b">
        <v>0</v>
      </c>
      <c r="J112" s="3" t="str">
        <f t="shared" si="12"/>
        <v/>
      </c>
      <c r="K112" s="70" t="b">
        <v>0</v>
      </c>
      <c r="L112" s="3" t="str">
        <f t="shared" si="13"/>
        <v/>
      </c>
      <c r="M112" s="67" t="b">
        <v>0</v>
      </c>
      <c r="N112" s="40" t="str">
        <f t="shared" si="14"/>
        <v/>
      </c>
      <c r="O112" s="70" t="b">
        <v>0</v>
      </c>
      <c r="P112" s="3" t="str">
        <f t="shared" si="15"/>
        <v/>
      </c>
      <c r="Q112" s="70" t="b">
        <v>0</v>
      </c>
      <c r="R112" s="3" t="str">
        <f t="shared" si="16"/>
        <v/>
      </c>
      <c r="S112" s="67" t="b">
        <v>0</v>
      </c>
      <c r="T112" s="40" t="str">
        <f t="shared" si="17"/>
        <v/>
      </c>
      <c r="U112" s="70" t="b">
        <v>0</v>
      </c>
      <c r="V112" s="3" t="str">
        <f t="shared" si="18"/>
        <v/>
      </c>
      <c r="W112" s="70" t="b">
        <v>0</v>
      </c>
      <c r="X112" s="3" t="str">
        <f t="shared" si="19"/>
        <v/>
      </c>
      <c r="Y112" s="73" t="b">
        <v>0</v>
      </c>
      <c r="Z112" s="36"/>
    </row>
    <row r="113" spans="1:26" ht="15.5" thickBot="1" x14ac:dyDescent="0.45">
      <c r="A113" s="3" t="str">
        <f t="shared" si="10"/>
        <v/>
      </c>
      <c r="B113" s="32"/>
      <c r="C113" s="33"/>
      <c r="D113" s="3" t="str" cm="1">
        <f t="array" aca="1" ref="D113" ca="1">IF($C113="","",COUNTIF(_xlfn.TAKE(OFFSET($C$14, 0, 0, COUNTA($C$14:$C$113),1),$A113),$C113))</f>
        <v/>
      </c>
      <c r="E113" s="48"/>
      <c r="F113" s="48"/>
      <c r="G113" s="35"/>
      <c r="H113" s="41" t="str">
        <f t="shared" si="11"/>
        <v/>
      </c>
      <c r="I113" s="71" t="b">
        <v>0</v>
      </c>
      <c r="J113" s="29" t="str">
        <f t="shared" si="12"/>
        <v/>
      </c>
      <c r="K113" s="71" t="b">
        <v>0</v>
      </c>
      <c r="L113" s="29" t="str">
        <f t="shared" si="13"/>
        <v/>
      </c>
      <c r="M113" s="68" t="b">
        <v>0</v>
      </c>
      <c r="N113" s="41" t="str">
        <f t="shared" si="14"/>
        <v/>
      </c>
      <c r="O113" s="71" t="b">
        <v>0</v>
      </c>
      <c r="P113" s="29" t="str">
        <f t="shared" si="15"/>
        <v/>
      </c>
      <c r="Q113" s="71" t="b">
        <v>0</v>
      </c>
      <c r="R113" s="29" t="str">
        <f t="shared" si="16"/>
        <v/>
      </c>
      <c r="S113" s="68" t="b">
        <v>0</v>
      </c>
      <c r="T113" s="41" t="str">
        <f t="shared" si="17"/>
        <v/>
      </c>
      <c r="U113" s="71" t="b">
        <v>0</v>
      </c>
      <c r="V113" s="29" t="str">
        <f t="shared" si="18"/>
        <v/>
      </c>
      <c r="W113" s="71" t="b">
        <v>0</v>
      </c>
      <c r="X113" s="29" t="str">
        <f t="shared" si="19"/>
        <v/>
      </c>
      <c r="Y113" s="74" t="b">
        <v>0</v>
      </c>
      <c r="Z113" s="37"/>
    </row>
    <row r="114" spans="1:26" ht="15" thickBot="1" x14ac:dyDescent="0.4"/>
    <row r="115" spans="1:26" x14ac:dyDescent="0.35">
      <c r="G115" s="105"/>
      <c r="H115" s="95" t="s">
        <v>43</v>
      </c>
      <c r="I115" s="96"/>
      <c r="J115" s="96"/>
      <c r="K115" s="96"/>
      <c r="L115" s="96"/>
      <c r="M115" s="97"/>
      <c r="N115" s="95"/>
      <c r="O115" s="96"/>
      <c r="P115" s="96"/>
      <c r="Q115" s="96"/>
      <c r="R115" s="96"/>
      <c r="S115" s="109"/>
      <c r="T115" s="95"/>
      <c r="U115" s="96"/>
      <c r="V115" s="96"/>
      <c r="W115" s="96"/>
      <c r="X115" s="96"/>
      <c r="Y115" s="97"/>
      <c r="Z115" s="8"/>
    </row>
    <row r="116" spans="1:26" x14ac:dyDescent="0.35">
      <c r="G116" s="105"/>
      <c r="H116" s="107" t="str">
        <f>Skis!$A$5</f>
        <v>Stöckli Montero AS</v>
      </c>
      <c r="I116" s="106"/>
      <c r="J116" s="106"/>
      <c r="K116" s="106"/>
      <c r="L116" s="106"/>
      <c r="M116" s="108"/>
      <c r="N116" s="107" t="str">
        <f>Skis!$A$6</f>
        <v>Rossignal Sin 7</v>
      </c>
      <c r="O116" s="106"/>
      <c r="P116" s="106"/>
      <c r="Q116" s="106"/>
      <c r="R116" s="106"/>
      <c r="S116" s="110"/>
      <c r="T116" s="107" t="str">
        <f>Skis!$A$4</f>
        <v>Stöckli Stormrider 102</v>
      </c>
      <c r="U116" s="106"/>
      <c r="V116" s="106"/>
      <c r="W116" s="106"/>
      <c r="X116" s="106"/>
      <c r="Y116" s="108"/>
      <c r="Z116" s="8"/>
    </row>
    <row r="117" spans="1:26" x14ac:dyDescent="0.35">
      <c r="G117" s="105"/>
      <c r="H117" s="107" t="s">
        <v>3</v>
      </c>
      <c r="I117" s="106"/>
      <c r="J117" s="106" t="s">
        <v>26</v>
      </c>
      <c r="K117" s="106"/>
      <c r="L117" s="106" t="s">
        <v>27</v>
      </c>
      <c r="M117" s="108"/>
      <c r="N117" s="107" t="s">
        <v>3</v>
      </c>
      <c r="O117" s="106"/>
      <c r="P117" s="106" t="s">
        <v>26</v>
      </c>
      <c r="Q117" s="106"/>
      <c r="R117" s="106" t="s">
        <v>27</v>
      </c>
      <c r="S117" s="110"/>
      <c r="T117" s="107" t="s">
        <v>3</v>
      </c>
      <c r="U117" s="106"/>
      <c r="V117" s="106" t="s">
        <v>26</v>
      </c>
      <c r="W117" s="106"/>
      <c r="X117" s="106" t="s">
        <v>27</v>
      </c>
      <c r="Y117" s="108"/>
      <c r="Z117" s="8"/>
    </row>
    <row r="118" spans="1:26" ht="15" thickBot="1" x14ac:dyDescent="0.4">
      <c r="G118" s="89"/>
      <c r="H118" s="113" t="s">
        <v>69</v>
      </c>
      <c r="I118" s="112" t="s">
        <v>78</v>
      </c>
      <c r="J118" s="112" t="s">
        <v>70</v>
      </c>
      <c r="K118" s="112" t="s">
        <v>79</v>
      </c>
      <c r="L118" s="112" t="s">
        <v>71</v>
      </c>
      <c r="M118" s="114" t="s">
        <v>80</v>
      </c>
      <c r="N118" s="115" t="s">
        <v>72</v>
      </c>
      <c r="O118" s="112" t="s">
        <v>81</v>
      </c>
      <c r="P118" s="112" t="s">
        <v>73</v>
      </c>
      <c r="Q118" s="112" t="s">
        <v>82</v>
      </c>
      <c r="R118" s="112" t="s">
        <v>74</v>
      </c>
      <c r="S118" s="116" t="s">
        <v>83</v>
      </c>
      <c r="T118" s="115" t="s">
        <v>75</v>
      </c>
      <c r="U118" s="112" t="s">
        <v>84</v>
      </c>
      <c r="V118" s="112" t="s">
        <v>76</v>
      </c>
      <c r="W118" s="112" t="s">
        <v>85</v>
      </c>
      <c r="X118" s="112" t="s">
        <v>77</v>
      </c>
      <c r="Y118" s="116" t="s">
        <v>86</v>
      </c>
      <c r="Z118" s="89" t="s">
        <v>15</v>
      </c>
    </row>
    <row r="119" spans="1:26" ht="15" thickBot="1" x14ac:dyDescent="0.4">
      <c r="G119" s="111" t="s">
        <v>87</v>
      </c>
      <c r="H119" s="117" cm="1">
        <f t="array" aca="1" ref="H119" ca="1">IFERROR(IF(table2024_2025_EOS[AW-Done],0,_xlfn.XLOOKUP(TRUE,$B$14:$B$113&lt;&gt;"",$H$14:$H$113,,,-1)),"")</f>
        <v>7</v>
      </c>
      <c r="I119" s="118" t="b" cm="1">
        <f t="array" aca="1" ref="I119" ca="1">OFFSET($I$14,_xlfn.XMATCH(TRUE, $B$14:$B$113&lt;&gt;"", 0, -1)-1,0)</f>
        <v>0</v>
      </c>
      <c r="J119" s="119" cm="1">
        <f t="array" aca="1" ref="J119" ca="1">IFERROR(IF(table2024_2025_EOS[AE-Done],0,_xlfn.XLOOKUP(TRUE,$B$14:$B$113&lt;&gt;"",$J$14:$J$113,,,-1)),"")</f>
        <v>7</v>
      </c>
      <c r="K119" s="118" t="b" cm="1">
        <f t="array" aca="1" ref="K119" ca="1">OFFSET($K$14,_xlfn.XMATCH(TRUE, $B$14:$B$113&lt;&gt;"", 0, -1)-1,0)</f>
        <v>0</v>
      </c>
      <c r="L119" s="119" cm="1">
        <f t="array" aca="1" ref="L119" ca="1">IFERROR(IF(table2024_2025_EOS[AFT-Done],0,_xlfn.XLOOKUP(TRUE,$B$14:$B$113&lt;&gt;"",$L$14:$L$113,,,-1)),"")</f>
        <v>7</v>
      </c>
      <c r="M119" s="118" t="b" cm="1">
        <f t="array" aca="1" ref="M119" ca="1">OFFSET($M$14,_xlfn.XMATCH(TRUE, $B$14:$B$113&lt;&gt;"", 0, -1)-1,0)</f>
        <v>0</v>
      </c>
      <c r="N119" s="119" cm="1">
        <f t="array" aca="1" ref="N119" ca="1">IFERROR(IF(table2024_2025_EOS[BW-Done],0,_xlfn.XLOOKUP(TRUE,$B$14:$B$113&lt;&gt;"",$N$14:$N$113,,,-1)),"")</f>
        <v>0</v>
      </c>
      <c r="O119" s="118" t="b" cm="1">
        <f t="array" aca="1" ref="O119" ca="1">OFFSET($O$14,_xlfn.XMATCH(TRUE, $B$14:$B$113&lt;&gt;"", 0, -1)-1,0)</f>
        <v>0</v>
      </c>
      <c r="P119" s="119" cm="1">
        <f t="array" aca="1" ref="P119" ca="1">IFERROR(IF(table2024_2025_EOS[BE-Done], 0, _xlfn.XLOOKUP(TRUE,$B$14:$B$113&lt;&gt;"",$P$14:$P$113,,,-1)),"")</f>
        <v>0</v>
      </c>
      <c r="Q119" s="118" t="b" cm="1">
        <f t="array" aca="1" ref="Q119" ca="1">OFFSET($Q$14,_xlfn.XMATCH(TRUE, $B$14:$B$113&lt;&gt;"", 0, -1)-1,0)</f>
        <v>0</v>
      </c>
      <c r="R119" s="119" cm="1">
        <f t="array" aca="1" ref="R119" ca="1">IFERROR(IF(table2024_2025_EOS[BFT-Done], 0, _xlfn.XLOOKUP(TRUE,$B$14:$B$113&lt;&gt;"",$R$14:$R$113,,,-1)),"")</f>
        <v>0</v>
      </c>
      <c r="S119" s="120" t="b" cm="1">
        <f t="array" aca="1" ref="S119" ca="1">OFFSET($S$14,_xlfn.XMATCH(TRUE, $B$14:$B$113&lt;&gt;"", 0, -1)-1,0)</f>
        <v>0</v>
      </c>
      <c r="T119" s="121" cm="1">
        <f t="array" aca="1" ref="T119" ca="1">IFERROR(IF(table2024_2025_EOS[CW-Done], 0, _xlfn.XLOOKUP(TRUE,$B$14:$B$113&lt;&gt;"",$T$14:$T$113,,,-1)),"")</f>
        <v>0</v>
      </c>
      <c r="U119" s="118" t="b" cm="1">
        <f t="array" aca="1" ref="U119" ca="1">OFFSET($U$14,_xlfn.XMATCH(TRUE, $B$14:$B$113&lt;&gt;"", 0, -1)-1,0)</f>
        <v>0</v>
      </c>
      <c r="V119" s="119" cm="1">
        <f t="array" aca="1" ref="V119" ca="1">IFERROR(IF(table2024_2025_EOS[CE-Done], 0, _xlfn.XLOOKUP(TRUE,$B$14:$B$113&lt;&gt;"",$V$14:$V$113,,,-1)),"")</f>
        <v>3</v>
      </c>
      <c r="W119" s="118" t="b" cm="1">
        <f t="array" aca="1" ref="W119" ca="1">OFFSET($W$14,_xlfn.XMATCH(TRUE, $B$14:$B$113&lt;&gt;"", 0, -1)-1,0)</f>
        <v>0</v>
      </c>
      <c r="X119" s="119" cm="1">
        <f t="array" aca="1" ref="X119" ca="1">IFERROR(IF(table2024_2025_EOS[CFT-Done], 0, _xlfn.XLOOKUP(TRUE,$B$14:$B$113&lt;&gt;"",$X$14:$X$113,,,-1)),"")</f>
        <v>3</v>
      </c>
      <c r="Y119" s="120" t="b" cm="1">
        <f t="array" aca="1" ref="Y119" ca="1">OFFSET($Y$14,_xlfn.XMATCH(TRUE, $B$14:$B$113&lt;&gt;"", 0, -1)-1,0)</f>
        <v>0</v>
      </c>
    </row>
  </sheetData>
  <mergeCells count="29">
    <mergeCell ref="Z9:Z12"/>
    <mergeCell ref="P11:Q11"/>
    <mergeCell ref="N11:O11"/>
    <mergeCell ref="H10:M10"/>
    <mergeCell ref="H5:H6"/>
    <mergeCell ref="I5:I6"/>
    <mergeCell ref="N10:S10"/>
    <mergeCell ref="E9:E12"/>
    <mergeCell ref="F9:F12"/>
    <mergeCell ref="B5:B6"/>
    <mergeCell ref="C5:C6"/>
    <mergeCell ref="D5:E5"/>
    <mergeCell ref="F5:G5"/>
    <mergeCell ref="A2:C2"/>
    <mergeCell ref="A1:C1"/>
    <mergeCell ref="H9:Y9"/>
    <mergeCell ref="A9:A12"/>
    <mergeCell ref="B9:B12"/>
    <mergeCell ref="C9:C12"/>
    <mergeCell ref="D9:D12"/>
    <mergeCell ref="G9:G12"/>
    <mergeCell ref="R11:S11"/>
    <mergeCell ref="X11:Y11"/>
    <mergeCell ref="T11:U11"/>
    <mergeCell ref="V11:W11"/>
    <mergeCell ref="T10:Y10"/>
    <mergeCell ref="H11:I11"/>
    <mergeCell ref="J11:K11"/>
    <mergeCell ref="L11:M11"/>
  </mergeCells>
  <conditionalFormatting sqref="A13:Z113">
    <cfRule type="expression" dxfId="0" priority="1">
      <formula>MOD(ROW(),2)=0</formula>
    </cfRule>
  </conditionalFormatting>
  <dataValidations count="2">
    <dataValidation type="list" showErrorMessage="1" sqref="C14:C113" xr:uid="{7B03930A-1317-4635-B281-C0330F7EAE91}">
      <formula1>ResortNames</formula1>
    </dataValidation>
    <dataValidation type="list" allowBlank="1" showInputMessage="1" showErrorMessage="1" sqref="G14:G113" xr:uid="{1B2F30A2-BA68-45C8-A5CC-1D8F84EDF9CB}">
      <formula1>SkiNames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5C5E5-051D-4FEF-905E-F128C3D8B33A}">
  <sheetPr codeName="Sheet4"/>
  <dimension ref="A1:Z135"/>
  <sheetViews>
    <sheetView topLeftCell="A52" zoomScaleNormal="100" workbookViewId="0">
      <selection activeCell="D82" sqref="D82"/>
    </sheetView>
  </sheetViews>
  <sheetFormatPr defaultRowHeight="14.5" x14ac:dyDescent="0.35"/>
  <cols>
    <col min="1" max="1" width="6" customWidth="1"/>
    <col min="2" max="2" width="18.54296875" style="1" customWidth="1"/>
    <col min="3" max="3" width="27.26953125" customWidth="1"/>
    <col min="4" max="4" width="12.54296875" customWidth="1"/>
    <col min="5" max="5" width="13.26953125" customWidth="1"/>
    <col min="6" max="6" width="9.453125" customWidth="1"/>
    <col min="7" max="7" width="21.1796875" customWidth="1"/>
    <col min="8" max="25" width="5.54296875" customWidth="1"/>
    <col min="26" max="26" width="50.54296875" customWidth="1"/>
  </cols>
  <sheetData>
    <row r="1" spans="1:26" ht="18.5" x14ac:dyDescent="0.45">
      <c r="A1" s="154" t="str">
        <f>WorkbookTitle</f>
        <v>Bob's Ski Days</v>
      </c>
      <c r="B1" s="154"/>
      <c r="C1" s="154"/>
    </row>
    <row r="2" spans="1:26" ht="18.5" x14ac:dyDescent="0.45">
      <c r="A2" s="155" t="str" cm="1">
        <f t="array" aca="1" ref="A2" ca="1">GetWorksheetName()</f>
        <v>2025-2026</v>
      </c>
      <c r="B2" s="155"/>
      <c r="C2" s="155"/>
    </row>
    <row r="3" spans="1:26" ht="14.65" customHeight="1" thickBot="1" x14ac:dyDescent="0.4">
      <c r="A3" s="2"/>
      <c r="K3" s="91"/>
    </row>
    <row r="4" spans="1:26" ht="14.65" customHeight="1" thickBot="1" x14ac:dyDescent="0.4">
      <c r="B4" s="81" t="s">
        <v>90</v>
      </c>
      <c r="C4" s="82"/>
      <c r="D4" s="82"/>
      <c r="E4" s="82"/>
      <c r="F4" s="82"/>
      <c r="G4" s="83"/>
    </row>
    <row r="5" spans="1:26" ht="14.65" customHeight="1" x14ac:dyDescent="0.35">
      <c r="B5" s="79" t="s">
        <v>21</v>
      </c>
      <c r="C5" s="79" t="s">
        <v>46</v>
      </c>
      <c r="D5" s="84" t="s">
        <v>44</v>
      </c>
      <c r="E5" s="85"/>
      <c r="F5" s="84" t="s">
        <v>45</v>
      </c>
      <c r="G5" s="85"/>
      <c r="H5" s="153"/>
      <c r="I5" s="153"/>
    </row>
    <row r="6" spans="1:26" s="8" customFormat="1" ht="14.65" customHeight="1" thickBot="1" x14ac:dyDescent="0.4">
      <c r="B6" s="80"/>
      <c r="C6" s="80"/>
      <c r="D6" s="21" t="s">
        <v>47</v>
      </c>
      <c r="E6" s="44" t="s">
        <v>48</v>
      </c>
      <c r="F6" s="43" t="s">
        <v>47</v>
      </c>
      <c r="G6" s="44" t="s">
        <v>48</v>
      </c>
      <c r="H6" s="153"/>
      <c r="I6" s="153"/>
    </row>
    <row r="7" spans="1:26" s="8" customFormat="1" ht="14.65" customHeight="1" thickBot="1" x14ac:dyDescent="0.4">
      <c r="A7" s="20"/>
      <c r="B7" s="45" cm="1">
        <f t="array" aca="1" ref="B7" ca="1">GetSkiDaysCount()</f>
        <v>54</v>
      </c>
      <c r="C7" s="45" cm="1">
        <f t="array" aca="1" ref="C7" ca="1">GetResortCount()</f>
        <v>17</v>
      </c>
      <c r="D7" s="86" cm="1">
        <f t="array" aca="1" ref="D7" ca="1">GetVerticalFeetTotal()</f>
        <v>419435</v>
      </c>
      <c r="E7" s="87" cm="1">
        <f t="array" aca="1" ref="E7" ca="1">GetVerticalFeetAvgPerDay()</f>
        <v>7913.867924528302</v>
      </c>
      <c r="F7" s="86" cm="1">
        <f t="array" aca="1" ref="F7" ca="1">GetCaloriesTotal()</f>
        <v>62299.85144927536</v>
      </c>
      <c r="G7" s="87" cm="1">
        <f t="array" aca="1" ref="G7" ca="1">GetCaloriesAvgPerDay()</f>
        <v>1175.4688952693464</v>
      </c>
      <c r="H7" s="42"/>
      <c r="I7" s="42"/>
    </row>
    <row r="8" spans="1:26" s="8" customFormat="1" ht="14.65" customHeight="1" thickBot="1" x14ac:dyDescent="0.4">
      <c r="A8" s="20"/>
      <c r="B8" s="42"/>
      <c r="C8" s="42"/>
      <c r="D8" s="105"/>
      <c r="E8" s="105"/>
      <c r="F8" s="105"/>
      <c r="G8" s="105"/>
      <c r="H8" s="42"/>
      <c r="I8" s="42"/>
    </row>
    <row r="9" spans="1:26" ht="14.65" customHeight="1" thickBot="1" x14ac:dyDescent="0.4">
      <c r="A9" s="88"/>
      <c r="B9"/>
      <c r="C9" s="88"/>
      <c r="D9" s="89"/>
      <c r="E9" s="89"/>
      <c r="F9" s="141" t="s">
        <v>94</v>
      </c>
      <c r="G9" s="142"/>
      <c r="H9" s="145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7"/>
      <c r="Z9" s="88"/>
    </row>
    <row r="10" spans="1:26" ht="14.65" customHeight="1" x14ac:dyDescent="0.35">
      <c r="A10" s="88"/>
      <c r="B10" s="103"/>
      <c r="C10" s="88"/>
      <c r="D10" s="89"/>
      <c r="E10" s="89"/>
      <c r="F10" s="143" t="s">
        <v>96</v>
      </c>
      <c r="G10" s="144"/>
      <c r="H10" s="95" t="s">
        <v>92</v>
      </c>
      <c r="I10" s="96"/>
      <c r="J10" s="96"/>
      <c r="K10" s="96"/>
      <c r="L10" s="96"/>
      <c r="M10" s="97"/>
      <c r="N10" s="95" t="s">
        <v>88</v>
      </c>
      <c r="O10" s="96"/>
      <c r="P10" s="96"/>
      <c r="Q10" s="96"/>
      <c r="R10" s="96"/>
      <c r="S10" s="97"/>
      <c r="T10" s="95" t="s">
        <v>93</v>
      </c>
      <c r="U10" s="96"/>
      <c r="V10" s="96"/>
      <c r="W10" s="96"/>
      <c r="X10" s="97"/>
      <c r="Y10" s="102"/>
      <c r="Z10" s="88"/>
    </row>
    <row r="11" spans="1:26" ht="14.65" customHeight="1" x14ac:dyDescent="0.35">
      <c r="A11" s="88"/>
      <c r="B11" s="103"/>
      <c r="C11" s="88"/>
      <c r="D11" s="89"/>
      <c r="E11" s="89"/>
      <c r="F11" s="123" t="s">
        <v>95</v>
      </c>
      <c r="G11" s="139"/>
      <c r="H11" s="107" t="str" cm="1">
        <f t="array" ref="H11">GetSkiNameFromAlphabeticIndicator($H10)</f>
        <v>Stöckli Stormrider 102</v>
      </c>
      <c r="I11" s="106"/>
      <c r="J11" s="106"/>
      <c r="K11" s="106"/>
      <c r="L11" s="106"/>
      <c r="M11" s="108"/>
      <c r="N11" s="107" t="str" cm="1">
        <f t="array" ref="N11">GetSkiNameFromAlphabeticIndicator($N10)</f>
        <v>Stöckli Montero AS</v>
      </c>
      <c r="O11" s="106"/>
      <c r="P11" s="106"/>
      <c r="Q11" s="106"/>
      <c r="R11" s="106"/>
      <c r="S11" s="108"/>
      <c r="T11" s="107" t="str" cm="1">
        <f t="array" ref="T11">GetSkiNameFromAlphabeticIndicator($T10)</f>
        <v>Rossignal Sin 7</v>
      </c>
      <c r="U11" s="106"/>
      <c r="V11" s="106"/>
      <c r="W11" s="106"/>
      <c r="X11" s="108"/>
      <c r="Y11" s="125"/>
      <c r="Z11" s="88"/>
    </row>
    <row r="12" spans="1:26" ht="14.65" customHeight="1" x14ac:dyDescent="0.35">
      <c r="A12" s="88"/>
      <c r="B12" s="103"/>
      <c r="C12" s="94"/>
      <c r="D12" s="104"/>
      <c r="E12" s="89"/>
      <c r="F12" s="123" t="s">
        <v>97</v>
      </c>
      <c r="G12" s="139"/>
      <c r="H12" s="107" t="s">
        <v>3</v>
      </c>
      <c r="I12" s="106"/>
      <c r="J12" s="106" t="s">
        <v>26</v>
      </c>
      <c r="K12" s="106"/>
      <c r="L12" s="106" t="s">
        <v>27</v>
      </c>
      <c r="M12" s="108"/>
      <c r="N12" s="107" t="s">
        <v>3</v>
      </c>
      <c r="O12" s="106"/>
      <c r="P12" s="106" t="s">
        <v>26</v>
      </c>
      <c r="Q12" s="106"/>
      <c r="R12" s="106" t="s">
        <v>27</v>
      </c>
      <c r="S12" s="108"/>
      <c r="T12" s="107" t="s">
        <v>3</v>
      </c>
      <c r="U12" s="106"/>
      <c r="V12" s="106" t="s">
        <v>26</v>
      </c>
      <c r="W12" s="106"/>
      <c r="X12" s="108" t="s">
        <v>27</v>
      </c>
      <c r="Y12" s="125"/>
      <c r="Z12" s="88"/>
    </row>
    <row r="13" spans="1:26" ht="14.65" customHeight="1" thickBot="1" x14ac:dyDescent="0.4">
      <c r="A13" s="88"/>
      <c r="B13" s="103"/>
      <c r="C13" s="94"/>
      <c r="D13" s="104"/>
      <c r="E13" s="89"/>
      <c r="F13" s="124" t="s">
        <v>98</v>
      </c>
      <c r="G13" s="140"/>
      <c r="H13" s="98" t="str" cm="1">
        <f t="array" ref="H13">GetMaintProcAbbrevFromName(H$12)</f>
        <v>W</v>
      </c>
      <c r="I13" s="99"/>
      <c r="J13" s="99" t="str" cm="1">
        <f t="array" ref="J13">GetMaintProcAbbrevFromName(J$12)</f>
        <v>E</v>
      </c>
      <c r="K13" s="99"/>
      <c r="L13" s="99" t="str" cm="1">
        <f t="array" ref="L13">GetMaintProcAbbrevFromName(L$12)</f>
        <v>FT</v>
      </c>
      <c r="M13" s="100"/>
      <c r="N13" s="98" t="str" cm="1">
        <f t="array" ref="N13">GetMaintProcAbbrevFromName(N$12)</f>
        <v>W</v>
      </c>
      <c r="O13" s="99"/>
      <c r="P13" s="99" t="str" cm="1">
        <f t="array" ref="P13">GetMaintProcAbbrevFromName(P$12)</f>
        <v>E</v>
      </c>
      <c r="Q13" s="99"/>
      <c r="R13" s="99" t="str" cm="1">
        <f t="array" ref="R13">GetMaintProcAbbrevFromName(R$12)</f>
        <v>FT</v>
      </c>
      <c r="S13" s="100"/>
      <c r="T13" s="98" t="str" cm="1">
        <f t="array" ref="T13">GetMaintProcAbbrevFromName(T$12)</f>
        <v>W</v>
      </c>
      <c r="U13" s="99"/>
      <c r="V13" s="99" t="str" cm="1">
        <f t="array" ref="V13">GetMaintProcAbbrevFromName(V$12)</f>
        <v>E</v>
      </c>
      <c r="W13" s="99"/>
      <c r="X13" s="100" t="str" cm="1">
        <f t="array" ref="X13">GetMaintProcAbbrevFromName(X$12)</f>
        <v>FT</v>
      </c>
      <c r="Y13" s="101"/>
      <c r="Z13" s="88"/>
    </row>
    <row r="14" spans="1:26" ht="30" customHeight="1" thickBot="1" x14ac:dyDescent="0.4">
      <c r="B14"/>
      <c r="F14" s="156" t="s">
        <v>89</v>
      </c>
      <c r="G14" s="157"/>
      <c r="H14" s="113" t="s">
        <v>69</v>
      </c>
      <c r="I14" s="112" t="s">
        <v>78</v>
      </c>
      <c r="J14" s="112" t="s">
        <v>70</v>
      </c>
      <c r="K14" s="112" t="s">
        <v>79</v>
      </c>
      <c r="L14" s="112" t="s">
        <v>71</v>
      </c>
      <c r="M14" s="114" t="s">
        <v>80</v>
      </c>
      <c r="N14" s="115" t="s">
        <v>72</v>
      </c>
      <c r="O14" s="112" t="s">
        <v>81</v>
      </c>
      <c r="P14" s="112" t="s">
        <v>73</v>
      </c>
      <c r="Q14" s="112" t="s">
        <v>82</v>
      </c>
      <c r="R14" s="112" t="s">
        <v>74</v>
      </c>
      <c r="S14" s="116" t="s">
        <v>83</v>
      </c>
      <c r="T14" s="115" t="s">
        <v>75</v>
      </c>
      <c r="U14" s="112" t="s">
        <v>84</v>
      </c>
      <c r="V14" s="112" t="s">
        <v>76</v>
      </c>
      <c r="W14" s="112" t="s">
        <v>85</v>
      </c>
      <c r="X14" s="112" t="s">
        <v>77</v>
      </c>
      <c r="Y14" s="114" t="s">
        <v>86</v>
      </c>
    </row>
    <row r="15" spans="1:26" ht="14.65" customHeight="1" thickBot="1" x14ac:dyDescent="0.4">
      <c r="B15"/>
      <c r="F15" s="158"/>
      <c r="G15" s="159"/>
      <c r="H15" s="117" cm="1">
        <f t="array" aca="1" ref="H15" ca="1">IF(OR(GetTableColLastValue("table2025_2026", I$14),I$15),0,GetTableColLastValue("table2025_2026", H$14))</f>
        <v>4</v>
      </c>
      <c r="I15" s="126" t="b">
        <v>0</v>
      </c>
      <c r="J15" s="119" cm="1">
        <f t="array" aca="1" ref="J15" ca="1">IF(OR(GetTableColLastValue("table2025_2026", K$14),K$15),0,GetTableColLastValue("table2025_2026", J$14))</f>
        <v>4</v>
      </c>
      <c r="K15" s="126" t="b">
        <v>0</v>
      </c>
      <c r="L15" s="119" cm="1">
        <f t="array" aca="1" ref="L15" ca="1">IF(OR(GetTableColLastValue("table2025_2026", M$14),M$15),0,GetTableColLastValue("table2025_2026", L$14))</f>
        <v>22</v>
      </c>
      <c r="M15" s="126" t="b">
        <v>0</v>
      </c>
      <c r="N15" s="119" cm="1">
        <f t="array" aca="1" ref="N15" ca="1">IF(OR(GetTableColLastValue("table2025_2026", O$14),O$15),0,GetTableColLastValue("table2025_2026", N$14))</f>
        <v>2</v>
      </c>
      <c r="O15" s="126" t="b">
        <v>0</v>
      </c>
      <c r="P15" s="119" cm="1">
        <f t="array" aca="1" ref="P15" ca="1">IF(OR(GetTableColLastValue("table2025_2026", Q$14),Q$15),0,GetTableColLastValue("table2025_2026", P$14))</f>
        <v>4</v>
      </c>
      <c r="Q15" s="126" t="b">
        <v>0</v>
      </c>
      <c r="R15" s="119" cm="1">
        <f t="array" aca="1" ref="R15" ca="1">IF(OR(GetTableColLastValue("table2025_2026", S$14),S$15),0,GetTableColLastValue("table2025_2026", R$14))</f>
        <v>37</v>
      </c>
      <c r="S15" s="127" t="b">
        <v>0</v>
      </c>
      <c r="T15" s="148" cm="1">
        <f t="array" aca="1" ref="T15" ca="1">IF(OR(GetTableColLastValue("table2025_2026", U$14),U$15),0,GetTableColLastValue("table2025_2026", T$14))</f>
        <v>2</v>
      </c>
      <c r="U15" s="149" t="b">
        <v>0</v>
      </c>
      <c r="V15" s="150" cm="1">
        <f t="array" aca="1" ref="V15" ca="1">IF(OR(GetTableColLastValue("table2025_2026", W$14),W$15),0,GetTableColLastValue("table2025_2026", V$14))</f>
        <v>0</v>
      </c>
      <c r="W15" s="149" t="b">
        <v>0</v>
      </c>
      <c r="X15" s="150" cm="1">
        <f t="array" aca="1" ref="X15" ca="1">IF(OR(GetTableColLastValue("table2025_2026", Y$14),Y$15),0,GetTableColLastValue("table2025_2026", X$14))</f>
        <v>5</v>
      </c>
      <c r="Y15" s="151" t="b">
        <v>0</v>
      </c>
    </row>
    <row r="16" spans="1:26" ht="14.65" customHeight="1" thickBot="1" x14ac:dyDescent="0.4">
      <c r="B16"/>
    </row>
    <row r="17" spans="1:26" ht="14.65" customHeight="1" thickBot="1" x14ac:dyDescent="0.4">
      <c r="A17" s="136" t="s">
        <v>106</v>
      </c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8"/>
    </row>
    <row r="18" spans="1:26" s="91" customFormat="1" ht="30" customHeight="1" x14ac:dyDescent="0.35">
      <c r="A18" s="89" t="s">
        <v>0</v>
      </c>
      <c r="B18" s="90" t="s">
        <v>1</v>
      </c>
      <c r="C18" s="89" t="s">
        <v>67</v>
      </c>
      <c r="D18" s="89" t="s">
        <v>68</v>
      </c>
      <c r="E18" s="89" t="s">
        <v>44</v>
      </c>
      <c r="F18" s="89" t="s">
        <v>45</v>
      </c>
      <c r="G18" s="89" t="s">
        <v>39</v>
      </c>
      <c r="H18" s="89" t="s">
        <v>69</v>
      </c>
      <c r="I18" s="89" t="s">
        <v>78</v>
      </c>
      <c r="J18" s="89" t="s">
        <v>70</v>
      </c>
      <c r="K18" s="89" t="s">
        <v>79</v>
      </c>
      <c r="L18" s="89" t="s">
        <v>71</v>
      </c>
      <c r="M18" s="89" t="s">
        <v>80</v>
      </c>
      <c r="N18" s="89" t="s">
        <v>72</v>
      </c>
      <c r="O18" s="89" t="s">
        <v>81</v>
      </c>
      <c r="P18" s="89" t="s">
        <v>73</v>
      </c>
      <c r="Q18" s="89" t="s">
        <v>82</v>
      </c>
      <c r="R18" s="89" t="s">
        <v>74</v>
      </c>
      <c r="S18" s="89" t="s">
        <v>83</v>
      </c>
      <c r="T18" s="89" t="s">
        <v>75</v>
      </c>
      <c r="U18" s="89" t="s">
        <v>84</v>
      </c>
      <c r="V18" s="89" t="s">
        <v>76</v>
      </c>
      <c r="W18" s="89" t="s">
        <v>85</v>
      </c>
      <c r="X18" s="89" t="s">
        <v>77</v>
      </c>
      <c r="Y18" s="89" t="s">
        <v>86</v>
      </c>
      <c r="Z18" s="129" t="s">
        <v>15</v>
      </c>
    </row>
    <row r="19" spans="1:26" ht="14.65" customHeight="1" x14ac:dyDescent="0.4">
      <c r="A19" cm="1">
        <f t="array" ref="A19">IF(IsCellInTableFirstRow($A19,table2025_2026[]),1,$A18+1)</f>
        <v>1</v>
      </c>
      <c r="B19" s="76">
        <v>45968</v>
      </c>
      <c r="C19" s="77" t="s">
        <v>50</v>
      </c>
      <c r="D19" cm="1">
        <f t="array" ref="D19">GetDaysSkiedAtResortRunningCount(table2025_2026[Resort Name], table2025_2026[[#This Row],[Resort Name]], table2025_2026[Date], table2025_2026[[#This Row],[Date]])</f>
        <v>1</v>
      </c>
      <c r="E19" s="78">
        <v>4510</v>
      </c>
      <c r="F19" s="78">
        <v>646</v>
      </c>
      <c r="G19" s="77" t="s">
        <v>42</v>
      </c>
      <c r="H19" cm="1">
        <f t="array" aca="1" ref="H19" ca="1">GetDaysSinceSkiMaintProc()</f>
        <v>7</v>
      </c>
      <c r="I19" s="75" t="b">
        <v>1</v>
      </c>
      <c r="J19" cm="1">
        <f t="array" aca="1" ref="J19" ca="1">GetDaysSinceSkiMaintProc()</f>
        <v>7</v>
      </c>
      <c r="K19" s="75" t="b">
        <v>0</v>
      </c>
      <c r="L19" s="77" cm="1">
        <f t="array" aca="1" ref="L19" ca="1">GetDaysSinceSkiMaintProc()</f>
        <v>7</v>
      </c>
      <c r="M19" s="75" t="b">
        <v>0</v>
      </c>
      <c r="N19" cm="1">
        <f t="array" aca="1" ref="N19" ca="1">GetDaysSinceSkiMaintProc()</f>
        <v>1</v>
      </c>
      <c r="O19" s="75" t="b">
        <v>0</v>
      </c>
      <c r="P19" cm="1">
        <f t="array" aca="1" ref="P19" ca="1">GetDaysSinceSkiMaintProc()</f>
        <v>1</v>
      </c>
      <c r="Q19" s="75" t="b">
        <v>0</v>
      </c>
      <c r="R19" cm="1">
        <f t="array" aca="1" ref="R19" ca="1">GetDaysSinceSkiMaintProc()</f>
        <v>1</v>
      </c>
      <c r="S19" s="75" t="b">
        <v>0</v>
      </c>
      <c r="T19" cm="1">
        <f t="array" aca="1" ref="T19" ca="1">GetDaysSinceSkiMaintProc()</f>
        <v>0</v>
      </c>
      <c r="U19" s="75" t="b">
        <v>0</v>
      </c>
      <c r="V19" cm="1">
        <f t="array" aca="1" ref="V19" ca="1">GetDaysSinceSkiMaintProc()</f>
        <v>3</v>
      </c>
      <c r="W19" s="75" t="b">
        <v>0</v>
      </c>
      <c r="X19" cm="1">
        <f t="array" aca="1" ref="X19" ca="1">GetDaysSinceSkiMaintProc()</f>
        <v>3</v>
      </c>
      <c r="Y19" s="75" t="b">
        <v>0</v>
      </c>
      <c r="Z19" s="122"/>
    </row>
    <row r="20" spans="1:26" ht="14.65" customHeight="1" x14ac:dyDescent="0.4">
      <c r="A20" cm="1">
        <f t="array" ref="A20">IF(IsCellInTableFirstRow($A20,table2025_2026[]),1,$A19+1)</f>
        <v>2</v>
      </c>
      <c r="B20" s="76">
        <v>45969</v>
      </c>
      <c r="C20" s="77" t="s">
        <v>9</v>
      </c>
      <c r="D20" cm="1">
        <f t="array" ref="D20">GetDaysSkiedAtResortRunningCount(table2025_2026[Resort Name], table2025_2026[[#This Row],[Resort Name]], table2025_2026[Date], table2025_2026[[#This Row],[Date]])</f>
        <v>1</v>
      </c>
      <c r="E20" s="78">
        <v>9085</v>
      </c>
      <c r="F20" s="78">
        <v>1567</v>
      </c>
      <c r="G20" s="77" t="s">
        <v>42</v>
      </c>
      <c r="H20" cm="1">
        <f t="array" aca="1" ref="H20" ca="1">GetDaysSinceSkiMaintProc()</f>
        <v>0</v>
      </c>
      <c r="I20" s="75" t="b">
        <v>1</v>
      </c>
      <c r="J20" cm="1">
        <f t="array" aca="1" ref="J20" ca="1">GetDaysSinceSkiMaintProc()</f>
        <v>7</v>
      </c>
      <c r="K20" s="75" t="b">
        <v>1</v>
      </c>
      <c r="L20" s="77" cm="1">
        <f t="array" aca="1" ref="L20" ca="1">GetDaysSinceSkiMaintProc()</f>
        <v>7</v>
      </c>
      <c r="M20" s="75" t="b">
        <v>0</v>
      </c>
      <c r="N20" cm="1">
        <f t="array" aca="1" ref="N20" ca="1">GetDaysSinceSkiMaintProc()</f>
        <v>2</v>
      </c>
      <c r="O20" s="75" t="b">
        <v>1</v>
      </c>
      <c r="P20" cm="1">
        <f t="array" aca="1" ref="P20" ca="1">GetDaysSinceSkiMaintProc()</f>
        <v>2</v>
      </c>
      <c r="Q20" s="75" t="b">
        <v>1</v>
      </c>
      <c r="R20" cm="1">
        <f t="array" aca="1" ref="R20" ca="1">GetDaysSinceSkiMaintProc()</f>
        <v>2</v>
      </c>
      <c r="S20" s="75" t="b">
        <v>0</v>
      </c>
      <c r="T20" cm="1">
        <f t="array" aca="1" ref="T20" ca="1">GetDaysSinceSkiMaintProc()</f>
        <v>0</v>
      </c>
      <c r="U20" s="75" t="b">
        <v>1</v>
      </c>
      <c r="V20" cm="1">
        <f t="array" aca="1" ref="V20" ca="1">GetDaysSinceSkiMaintProc()</f>
        <v>3</v>
      </c>
      <c r="W20" s="75" t="b">
        <v>1</v>
      </c>
      <c r="X20" cm="1">
        <f t="array" aca="1" ref="X20" ca="1">GetDaysSinceSkiMaintProc()</f>
        <v>3</v>
      </c>
      <c r="Y20" s="75" t="b">
        <v>0</v>
      </c>
      <c r="Z20" s="77"/>
    </row>
    <row r="21" spans="1:26" ht="14.65" customHeight="1" x14ac:dyDescent="0.4">
      <c r="A21" cm="1">
        <f t="array" ref="A21">IF(IsCellInTableFirstRow($A21,table2025_2026[]),1,$A20+1)</f>
        <v>3</v>
      </c>
      <c r="B21" s="76">
        <v>45988</v>
      </c>
      <c r="C21" s="77" t="s">
        <v>5</v>
      </c>
      <c r="D21" cm="1">
        <f t="array" ref="D21">GetDaysSkiedAtResortRunningCount(table2025_2026[Resort Name], table2025_2026[[#This Row],[Resort Name]], table2025_2026[Date], table2025_2026[[#This Row],[Date]])</f>
        <v>1</v>
      </c>
      <c r="E21" s="78">
        <v>4730</v>
      </c>
      <c r="F21" s="78">
        <v>959</v>
      </c>
      <c r="G21" s="77" t="s">
        <v>42</v>
      </c>
      <c r="H21" cm="1">
        <f t="array" aca="1" ref="H21" ca="1">GetDaysSinceSkiMaintProc()</f>
        <v>0</v>
      </c>
      <c r="I21" s="75" t="b">
        <v>0</v>
      </c>
      <c r="J21" cm="1">
        <f t="array" aca="1" ref="J21" ca="1">GetDaysSinceSkiMaintProc()</f>
        <v>0</v>
      </c>
      <c r="K21" s="75" t="b">
        <v>0</v>
      </c>
      <c r="L21" s="77" cm="1">
        <f t="array" aca="1" ref="L21" ca="1">GetDaysSinceSkiMaintProc()</f>
        <v>7</v>
      </c>
      <c r="M21" s="75" t="b">
        <v>0</v>
      </c>
      <c r="N21" cm="1">
        <f t="array" aca="1" ref="N21" ca="1">GetDaysSinceSkiMaintProc()</f>
        <v>1</v>
      </c>
      <c r="O21" s="75" t="b">
        <v>0</v>
      </c>
      <c r="P21" cm="1">
        <f t="array" aca="1" ref="P21" ca="1">GetDaysSinceSkiMaintProc()</f>
        <v>1</v>
      </c>
      <c r="Q21" s="75" t="b">
        <v>0</v>
      </c>
      <c r="R21" cm="1">
        <f t="array" aca="1" ref="R21" ca="1">GetDaysSinceSkiMaintProc()</f>
        <v>3</v>
      </c>
      <c r="S21" s="75" t="b">
        <v>0</v>
      </c>
      <c r="T21" cm="1">
        <f t="array" aca="1" ref="T21" ca="1">GetDaysSinceSkiMaintProc()</f>
        <v>0</v>
      </c>
      <c r="U21" s="75" t="b">
        <v>0</v>
      </c>
      <c r="V21" cm="1">
        <f t="array" aca="1" ref="V21" ca="1">GetDaysSinceSkiMaintProc()</f>
        <v>0</v>
      </c>
      <c r="W21" s="75" t="b">
        <v>0</v>
      </c>
      <c r="X21" cm="1">
        <f t="array" aca="1" ref="X21" ca="1">GetDaysSinceSkiMaintProc()</f>
        <v>3</v>
      </c>
      <c r="Y21" s="75" t="b">
        <v>0</v>
      </c>
      <c r="Z21" s="77"/>
    </row>
    <row r="22" spans="1:26" ht="14.65" customHeight="1" x14ac:dyDescent="0.4">
      <c r="A22" cm="1">
        <f t="array" ref="A22">IF(IsCellInTableFirstRow($A22,table2025_2026[]),1,$A21+1)</f>
        <v>4</v>
      </c>
      <c r="B22" s="76">
        <v>45989</v>
      </c>
      <c r="C22" s="77" t="s">
        <v>5</v>
      </c>
      <c r="D22" cm="1">
        <f t="array" ref="D22">GetDaysSkiedAtResortRunningCount(table2025_2026[Resort Name], table2025_2026[[#This Row],[Resort Name]], table2025_2026[Date], table2025_2026[[#This Row],[Date]])</f>
        <v>2</v>
      </c>
      <c r="E22" s="78">
        <v>4425</v>
      </c>
      <c r="F22" s="78">
        <v>837</v>
      </c>
      <c r="G22" s="77" t="s">
        <v>40</v>
      </c>
      <c r="H22" cm="1">
        <f t="array" aca="1" ref="H22" ca="1">GetDaysSinceSkiMaintProc()</f>
        <v>0</v>
      </c>
      <c r="I22" s="75" t="b">
        <v>0</v>
      </c>
      <c r="J22" cm="1">
        <f t="array" aca="1" ref="J22" ca="1">GetDaysSinceSkiMaintProc()</f>
        <v>0</v>
      </c>
      <c r="K22" s="75" t="b">
        <v>1</v>
      </c>
      <c r="L22" s="77" cm="1">
        <f t="array" aca="1" ref="L22" ca="1">GetDaysSinceSkiMaintProc()</f>
        <v>7</v>
      </c>
      <c r="M22" s="75" t="b">
        <v>0</v>
      </c>
      <c r="N22" cm="1">
        <f t="array" aca="1" ref="N22" ca="1">GetDaysSinceSkiMaintProc()</f>
        <v>1</v>
      </c>
      <c r="O22" s="75" t="b">
        <v>0</v>
      </c>
      <c r="P22" cm="1">
        <f t="array" aca="1" ref="P22" ca="1">GetDaysSinceSkiMaintProc()</f>
        <v>1</v>
      </c>
      <c r="Q22" s="75" t="b">
        <v>0</v>
      </c>
      <c r="R22" cm="1">
        <f t="array" aca="1" ref="R22" ca="1">GetDaysSinceSkiMaintProc()</f>
        <v>3</v>
      </c>
      <c r="S22" s="75" t="b">
        <v>0</v>
      </c>
      <c r="T22" cm="1">
        <f t="array" aca="1" ref="T22" ca="1">GetDaysSinceSkiMaintProc()</f>
        <v>1</v>
      </c>
      <c r="U22" s="75" t="b">
        <v>0</v>
      </c>
      <c r="V22" cm="1">
        <f t="array" aca="1" ref="V22" ca="1">GetDaysSinceSkiMaintProc()</f>
        <v>1</v>
      </c>
      <c r="W22" s="75" t="b">
        <v>0</v>
      </c>
      <c r="X22" cm="1">
        <f t="array" aca="1" ref="X22" ca="1">GetDaysSinceSkiMaintProc()</f>
        <v>4</v>
      </c>
      <c r="Y22" s="75" t="b">
        <v>0</v>
      </c>
      <c r="Z22" s="77"/>
    </row>
    <row r="23" spans="1:26" ht="14.65" customHeight="1" x14ac:dyDescent="0.4">
      <c r="A23" cm="1">
        <f t="array" ref="A23">IF(IsCellInTableFirstRow($A23,table2025_2026[]),1,$A22+1)</f>
        <v>5</v>
      </c>
      <c r="B23" s="76">
        <v>45990</v>
      </c>
      <c r="C23" s="77" t="s">
        <v>5</v>
      </c>
      <c r="D23" cm="1">
        <f t="array" ref="D23">GetDaysSkiedAtResortRunningCount(table2025_2026[Resort Name], table2025_2026[[#This Row],[Resort Name]], table2025_2026[Date], table2025_2026[[#This Row],[Date]])</f>
        <v>3</v>
      </c>
      <c r="E23" s="78">
        <v>4990</v>
      </c>
      <c r="F23" s="78">
        <v>1269</v>
      </c>
      <c r="G23" s="77" t="s">
        <v>40</v>
      </c>
      <c r="H23" cm="1">
        <f t="array" aca="1" ref="H23" ca="1">GetDaysSinceSkiMaintProc()</f>
        <v>0</v>
      </c>
      <c r="I23" s="75" t="b">
        <v>0</v>
      </c>
      <c r="J23" cm="1">
        <f t="array" aca="1" ref="J23" ca="1">GetDaysSinceSkiMaintProc()</f>
        <v>0</v>
      </c>
      <c r="K23" s="75" t="b">
        <v>0</v>
      </c>
      <c r="L23" s="77" cm="1">
        <f t="array" aca="1" ref="L23" ca="1">GetDaysSinceSkiMaintProc()</f>
        <v>7</v>
      </c>
      <c r="M23" s="75" t="b">
        <v>0</v>
      </c>
      <c r="N23" cm="1">
        <f t="array" aca="1" ref="N23" ca="1">GetDaysSinceSkiMaintProc()</f>
        <v>1</v>
      </c>
      <c r="O23" s="75" t="b">
        <v>0</v>
      </c>
      <c r="P23" cm="1">
        <f t="array" aca="1" ref="P23" ca="1">GetDaysSinceSkiMaintProc()</f>
        <v>1</v>
      </c>
      <c r="Q23" s="75" t="b">
        <v>0</v>
      </c>
      <c r="R23" cm="1">
        <f t="array" aca="1" ref="R23" ca="1">GetDaysSinceSkiMaintProc()</f>
        <v>3</v>
      </c>
      <c r="S23" s="75" t="b">
        <v>0</v>
      </c>
      <c r="T23" cm="1">
        <f t="array" aca="1" ref="T23" ca="1">GetDaysSinceSkiMaintProc()</f>
        <v>2</v>
      </c>
      <c r="U23" s="75" t="b">
        <v>0</v>
      </c>
      <c r="V23" cm="1">
        <f t="array" aca="1" ref="V23" ca="1">GetDaysSinceSkiMaintProc()</f>
        <v>2</v>
      </c>
      <c r="W23" s="75" t="b">
        <v>1</v>
      </c>
      <c r="X23" cm="1">
        <f t="array" aca="1" ref="X23" ca="1">GetDaysSinceSkiMaintProc()</f>
        <v>5</v>
      </c>
      <c r="Y23" s="75" t="b">
        <v>0</v>
      </c>
      <c r="Z23" s="77"/>
    </row>
    <row r="24" spans="1:26" ht="14.65" customHeight="1" x14ac:dyDescent="0.4">
      <c r="A24" cm="1">
        <f t="array" ref="A24">IF(IsCellInTableFirstRow($A24,table2025_2026[]),1,$A23+1)</f>
        <v>6</v>
      </c>
      <c r="B24" s="76">
        <v>45999</v>
      </c>
      <c r="C24" s="77" t="s">
        <v>33</v>
      </c>
      <c r="D24" cm="1">
        <f t="array" ref="D24">GetDaysSkiedAtResortRunningCount(table2025_2026[Resort Name], table2025_2026[[#This Row],[Resort Name]], table2025_2026[Date], table2025_2026[[#This Row],[Date]])</f>
        <v>1</v>
      </c>
      <c r="E24" s="78">
        <v>5987</v>
      </c>
      <c r="F24" s="78">
        <v>1163</v>
      </c>
      <c r="G24" s="77" t="s">
        <v>41</v>
      </c>
      <c r="H24" cm="1">
        <f t="array" aca="1" ref="H24" ca="1">GetDaysSinceSkiMaintProc()</f>
        <v>1</v>
      </c>
      <c r="I24" s="75" t="b">
        <v>0</v>
      </c>
      <c r="J24" cm="1">
        <f t="array" aca="1" ref="J24" ca="1">GetDaysSinceSkiMaintProc()</f>
        <v>1</v>
      </c>
      <c r="K24" s="75" t="b">
        <v>0</v>
      </c>
      <c r="L24" s="77" cm="1">
        <f t="array" aca="1" ref="L24" ca="1">GetDaysSinceSkiMaintProc()</f>
        <v>8</v>
      </c>
      <c r="M24" s="75" t="b">
        <v>0</v>
      </c>
      <c r="N24" cm="1">
        <f t="array" aca="1" ref="N24" ca="1">GetDaysSinceSkiMaintProc()</f>
        <v>1</v>
      </c>
      <c r="O24" s="75" t="b">
        <v>0</v>
      </c>
      <c r="P24" cm="1">
        <f t="array" aca="1" ref="P24" ca="1">GetDaysSinceSkiMaintProc()</f>
        <v>1</v>
      </c>
      <c r="Q24" s="75" t="b">
        <v>0</v>
      </c>
      <c r="R24" cm="1">
        <f t="array" aca="1" ref="R24" ca="1">GetDaysSinceSkiMaintProc()</f>
        <v>3</v>
      </c>
      <c r="S24" s="75" t="b">
        <v>0</v>
      </c>
      <c r="T24" cm="1">
        <f t="array" aca="1" ref="T24" ca="1">GetDaysSinceSkiMaintProc()</f>
        <v>2</v>
      </c>
      <c r="U24" s="75" t="b">
        <v>0</v>
      </c>
      <c r="V24" cm="1">
        <f t="array" aca="1" ref="V24" ca="1">GetDaysSinceSkiMaintProc()</f>
        <v>0</v>
      </c>
      <c r="W24" s="75" t="b">
        <v>0</v>
      </c>
      <c r="X24" cm="1">
        <f t="array" aca="1" ref="X24" ca="1">GetDaysSinceSkiMaintProc()</f>
        <v>5</v>
      </c>
      <c r="Y24" s="75" t="b">
        <v>0</v>
      </c>
      <c r="Z24" s="77"/>
    </row>
    <row r="25" spans="1:26" ht="14.65" customHeight="1" x14ac:dyDescent="0.4">
      <c r="A25" cm="1">
        <f t="array" ref="A25">IF(IsCellInTableFirstRow($A25,table2025_2026[]),1,$A24+1)</f>
        <v>7</v>
      </c>
      <c r="B25" s="76">
        <v>46000</v>
      </c>
      <c r="C25" s="77" t="s">
        <v>33</v>
      </c>
      <c r="D25" cm="1">
        <f t="array" ref="D25">GetDaysSkiedAtResortRunningCount(table2025_2026[Resort Name], table2025_2026[[#This Row],[Resort Name]], table2025_2026[Date], table2025_2026[[#This Row],[Date]])</f>
        <v>2</v>
      </c>
      <c r="E25" s="78">
        <v>5152</v>
      </c>
      <c r="F25" s="78">
        <v>1262</v>
      </c>
      <c r="G25" s="77" t="s">
        <v>41</v>
      </c>
      <c r="H25" cm="1">
        <f t="array" aca="1" ref="H25" ca="1">GetDaysSinceSkiMaintProc()</f>
        <v>2</v>
      </c>
      <c r="I25" s="75" t="b">
        <v>0</v>
      </c>
      <c r="J25" cm="1">
        <f t="array" aca="1" ref="J25" ca="1">GetDaysSinceSkiMaintProc()</f>
        <v>2</v>
      </c>
      <c r="K25" s="75" t="b">
        <v>0</v>
      </c>
      <c r="L25" s="77" cm="1">
        <f t="array" aca="1" ref="L25" ca="1">GetDaysSinceSkiMaintProc()</f>
        <v>9</v>
      </c>
      <c r="M25" s="75" t="b">
        <v>0</v>
      </c>
      <c r="N25" cm="1">
        <f t="array" aca="1" ref="N25" ca="1">GetDaysSinceSkiMaintProc()</f>
        <v>1</v>
      </c>
      <c r="O25" s="75" t="b">
        <v>0</v>
      </c>
      <c r="P25" cm="1">
        <f t="array" aca="1" ref="P25" ca="1">GetDaysSinceSkiMaintProc()</f>
        <v>1</v>
      </c>
      <c r="Q25" s="75" t="b">
        <v>0</v>
      </c>
      <c r="R25" cm="1">
        <f t="array" aca="1" ref="R25" ca="1">GetDaysSinceSkiMaintProc()</f>
        <v>3</v>
      </c>
      <c r="S25" s="75" t="b">
        <v>0</v>
      </c>
      <c r="T25" cm="1">
        <f t="array" aca="1" ref="T25" ca="1">GetDaysSinceSkiMaintProc()</f>
        <v>2</v>
      </c>
      <c r="U25" s="75" t="b">
        <v>0</v>
      </c>
      <c r="V25" cm="1">
        <f t="array" aca="1" ref="V25" ca="1">GetDaysSinceSkiMaintProc()</f>
        <v>0</v>
      </c>
      <c r="W25" s="75" t="b">
        <v>0</v>
      </c>
      <c r="X25" cm="1">
        <f t="array" aca="1" ref="X25" ca="1">GetDaysSinceSkiMaintProc()</f>
        <v>5</v>
      </c>
      <c r="Y25" s="75" t="b">
        <v>0</v>
      </c>
      <c r="Z25" s="77"/>
    </row>
    <row r="26" spans="1:26" ht="14.65" customHeight="1" x14ac:dyDescent="0.4">
      <c r="A26" cm="1">
        <f t="array" ref="A26">IF(IsCellInTableFirstRow($A26,table2025_2026[]),1,$A25+1)</f>
        <v>8</v>
      </c>
      <c r="B26" s="76">
        <v>46001</v>
      </c>
      <c r="C26" s="77" t="s">
        <v>33</v>
      </c>
      <c r="D26" cm="1">
        <f t="array" ref="D26">GetDaysSkiedAtResortRunningCount(table2025_2026[Resort Name], table2025_2026[[#This Row],[Resort Name]], table2025_2026[Date], table2025_2026[[#This Row],[Date]])</f>
        <v>3</v>
      </c>
      <c r="E26" s="78">
        <v>4740</v>
      </c>
      <c r="F26" s="78">
        <v>657</v>
      </c>
      <c r="G26" s="77" t="s">
        <v>41</v>
      </c>
      <c r="H26" cm="1">
        <f t="array" aca="1" ref="H26" ca="1">GetDaysSinceSkiMaintProc()</f>
        <v>3</v>
      </c>
      <c r="I26" s="75" t="b">
        <v>0</v>
      </c>
      <c r="J26" cm="1">
        <f t="array" aca="1" ref="J26" ca="1">GetDaysSinceSkiMaintProc()</f>
        <v>3</v>
      </c>
      <c r="K26" s="75" t="b">
        <v>0</v>
      </c>
      <c r="L26" s="77" cm="1">
        <f t="array" aca="1" ref="L26" ca="1">GetDaysSinceSkiMaintProc()</f>
        <v>10</v>
      </c>
      <c r="M26" s="75" t="b">
        <v>0</v>
      </c>
      <c r="N26" cm="1">
        <f t="array" aca="1" ref="N26" ca="1">GetDaysSinceSkiMaintProc()</f>
        <v>1</v>
      </c>
      <c r="O26" s="75" t="b">
        <v>0</v>
      </c>
      <c r="P26" cm="1">
        <f t="array" aca="1" ref="P26" ca="1">GetDaysSinceSkiMaintProc()</f>
        <v>1</v>
      </c>
      <c r="Q26" s="75" t="b">
        <v>0</v>
      </c>
      <c r="R26" cm="1">
        <f t="array" aca="1" ref="R26" ca="1">GetDaysSinceSkiMaintProc()</f>
        <v>3</v>
      </c>
      <c r="S26" s="75" t="b">
        <v>0</v>
      </c>
      <c r="T26" cm="1">
        <f t="array" aca="1" ref="T26" ca="1">GetDaysSinceSkiMaintProc()</f>
        <v>2</v>
      </c>
      <c r="U26" s="75" t="b">
        <v>0</v>
      </c>
      <c r="V26" cm="1">
        <f t="array" aca="1" ref="V26" ca="1">GetDaysSinceSkiMaintProc()</f>
        <v>0</v>
      </c>
      <c r="W26" s="75" t="b">
        <v>0</v>
      </c>
      <c r="X26" cm="1">
        <f t="array" aca="1" ref="X26" ca="1">GetDaysSinceSkiMaintProc()</f>
        <v>5</v>
      </c>
      <c r="Y26" s="75" t="b">
        <v>0</v>
      </c>
      <c r="Z26" s="77"/>
    </row>
    <row r="27" spans="1:26" ht="14.65" customHeight="1" x14ac:dyDescent="0.4">
      <c r="A27" cm="1">
        <f t="array" ref="A27">IF(IsCellInTableFirstRow($A27,table2025_2026[]),1,$A26+1)</f>
        <v>9</v>
      </c>
      <c r="B27" s="76">
        <v>46002</v>
      </c>
      <c r="C27" s="77" t="s">
        <v>33</v>
      </c>
      <c r="D27" cm="1">
        <f t="array" ref="D27">GetDaysSkiedAtResortRunningCount(table2025_2026[Resort Name], table2025_2026[[#This Row],[Resort Name]], table2025_2026[Date], table2025_2026[[#This Row],[Date]])</f>
        <v>4</v>
      </c>
      <c r="E27" s="78">
        <v>8060</v>
      </c>
      <c r="F27" s="78">
        <v>1170</v>
      </c>
      <c r="G27" s="77" t="s">
        <v>41</v>
      </c>
      <c r="H27" cm="1">
        <f t="array" aca="1" ref="H27" ca="1">GetDaysSinceSkiMaintProc()</f>
        <v>4</v>
      </c>
      <c r="I27" s="75" t="b">
        <v>0</v>
      </c>
      <c r="J27" cm="1">
        <f t="array" aca="1" ref="J27" ca="1">GetDaysSinceSkiMaintProc()</f>
        <v>4</v>
      </c>
      <c r="K27" s="75" t="b">
        <v>0</v>
      </c>
      <c r="L27" s="77" cm="1">
        <f t="array" aca="1" ref="L27" ca="1">GetDaysSinceSkiMaintProc()</f>
        <v>11</v>
      </c>
      <c r="M27" s="75" t="b">
        <v>0</v>
      </c>
      <c r="N27" cm="1">
        <f t="array" aca="1" ref="N27" ca="1">GetDaysSinceSkiMaintProc()</f>
        <v>1</v>
      </c>
      <c r="O27" s="75" t="b">
        <v>0</v>
      </c>
      <c r="P27" cm="1">
        <f t="array" aca="1" ref="P27" ca="1">GetDaysSinceSkiMaintProc()</f>
        <v>1</v>
      </c>
      <c r="Q27" s="75" t="b">
        <v>0</v>
      </c>
      <c r="R27" cm="1">
        <f t="array" aca="1" ref="R27" ca="1">GetDaysSinceSkiMaintProc()</f>
        <v>3</v>
      </c>
      <c r="S27" s="75" t="b">
        <v>0</v>
      </c>
      <c r="T27" cm="1">
        <f t="array" aca="1" ref="T27" ca="1">GetDaysSinceSkiMaintProc()</f>
        <v>2</v>
      </c>
      <c r="U27" s="75" t="b">
        <v>0</v>
      </c>
      <c r="V27" cm="1">
        <f t="array" aca="1" ref="V27" ca="1">GetDaysSinceSkiMaintProc()</f>
        <v>0</v>
      </c>
      <c r="W27" s="75" t="b">
        <v>0</v>
      </c>
      <c r="X27" cm="1">
        <f t="array" aca="1" ref="X27" ca="1">GetDaysSinceSkiMaintProc()</f>
        <v>5</v>
      </c>
      <c r="Y27" s="75" t="b">
        <v>0</v>
      </c>
      <c r="Z27" s="77"/>
    </row>
    <row r="28" spans="1:26" ht="14.65" customHeight="1" x14ac:dyDescent="0.4">
      <c r="A28" cm="1">
        <f t="array" ref="A28">IF(IsCellInTableFirstRow($A28,table2025_2026[]),1,$A27+1)</f>
        <v>10</v>
      </c>
      <c r="B28" s="76">
        <v>46003</v>
      </c>
      <c r="C28" s="77" t="s">
        <v>33</v>
      </c>
      <c r="D28" cm="1">
        <f t="array" ref="D28">GetDaysSkiedAtResortRunningCount(table2025_2026[Resort Name], table2025_2026[[#This Row],[Resort Name]], table2025_2026[Date], table2025_2026[[#This Row],[Date]])</f>
        <v>5</v>
      </c>
      <c r="E28" s="78">
        <v>5820</v>
      </c>
      <c r="F28" s="78">
        <v>1037</v>
      </c>
      <c r="G28" s="77" t="s">
        <v>41</v>
      </c>
      <c r="H28" cm="1">
        <f t="array" aca="1" ref="H28" ca="1">GetDaysSinceSkiMaintProc()</f>
        <v>5</v>
      </c>
      <c r="I28" s="75" t="b">
        <v>1</v>
      </c>
      <c r="J28" cm="1">
        <f t="array" aca="1" ref="J28" ca="1">GetDaysSinceSkiMaintProc()</f>
        <v>5</v>
      </c>
      <c r="K28" s="75" t="b">
        <v>1</v>
      </c>
      <c r="L28" s="77" cm="1">
        <f t="array" aca="1" ref="L28" ca="1">GetDaysSinceSkiMaintProc()</f>
        <v>12</v>
      </c>
      <c r="M28" s="75" t="b">
        <v>0</v>
      </c>
      <c r="N28" cm="1">
        <f t="array" aca="1" ref="N28" ca="1">GetDaysSinceSkiMaintProc()</f>
        <v>1</v>
      </c>
      <c r="O28" s="75" t="b">
        <v>0</v>
      </c>
      <c r="P28" cm="1">
        <f t="array" aca="1" ref="P28" ca="1">GetDaysSinceSkiMaintProc()</f>
        <v>1</v>
      </c>
      <c r="Q28" s="75" t="b">
        <v>0</v>
      </c>
      <c r="R28" cm="1">
        <f t="array" aca="1" ref="R28" ca="1">GetDaysSinceSkiMaintProc()</f>
        <v>3</v>
      </c>
      <c r="S28" s="75" t="b">
        <v>0</v>
      </c>
      <c r="T28" cm="1">
        <f t="array" aca="1" ref="T28" ca="1">GetDaysSinceSkiMaintProc()</f>
        <v>2</v>
      </c>
      <c r="U28" s="75" t="b">
        <v>0</v>
      </c>
      <c r="V28" cm="1">
        <f t="array" aca="1" ref="V28" ca="1">GetDaysSinceSkiMaintProc()</f>
        <v>0</v>
      </c>
      <c r="W28" s="75" t="b">
        <v>0</v>
      </c>
      <c r="X28" cm="1">
        <f t="array" aca="1" ref="X28" ca="1">GetDaysSinceSkiMaintProc()</f>
        <v>5</v>
      </c>
      <c r="Y28" s="75" t="b">
        <v>0</v>
      </c>
      <c r="Z28" s="77"/>
    </row>
    <row r="29" spans="1:26" ht="14.65" customHeight="1" x14ac:dyDescent="0.4">
      <c r="A29" cm="1">
        <f t="array" ref="A29">IF(IsCellInTableFirstRow($A29,table2025_2026[]),1,$A28+1)</f>
        <v>11</v>
      </c>
      <c r="B29" s="76">
        <v>46004</v>
      </c>
      <c r="C29" s="77" t="s">
        <v>33</v>
      </c>
      <c r="D29" cm="1">
        <f t="array" ref="D29">GetDaysSkiedAtResortRunningCount(table2025_2026[Resort Name], table2025_2026[[#This Row],[Resort Name]], table2025_2026[Date], table2025_2026[[#This Row],[Date]])</f>
        <v>6</v>
      </c>
      <c r="E29" s="78">
        <v>4275</v>
      </c>
      <c r="F29" s="78">
        <v>604</v>
      </c>
      <c r="G29" s="77" t="s">
        <v>41</v>
      </c>
      <c r="H29" cm="1">
        <f t="array" aca="1" ref="H29" ca="1">GetDaysSinceSkiMaintProc()</f>
        <v>1</v>
      </c>
      <c r="I29" s="75" t="b">
        <v>0</v>
      </c>
      <c r="J29" cm="1">
        <f t="array" aca="1" ref="J29" ca="1">GetDaysSinceSkiMaintProc()</f>
        <v>1</v>
      </c>
      <c r="K29" s="75" t="b">
        <v>0</v>
      </c>
      <c r="L29" s="77" cm="1">
        <f t="array" aca="1" ref="L29" ca="1">GetDaysSinceSkiMaintProc()</f>
        <v>13</v>
      </c>
      <c r="M29" s="75" t="b">
        <v>0</v>
      </c>
      <c r="N29" cm="1">
        <f t="array" aca="1" ref="N29" ca="1">GetDaysSinceSkiMaintProc()</f>
        <v>1</v>
      </c>
      <c r="O29" s="75" t="b">
        <v>0</v>
      </c>
      <c r="P29" cm="1">
        <f t="array" aca="1" ref="P29" ca="1">GetDaysSinceSkiMaintProc()</f>
        <v>1</v>
      </c>
      <c r="Q29" s="75" t="b">
        <v>0</v>
      </c>
      <c r="R29" cm="1">
        <f t="array" aca="1" ref="R29" ca="1">GetDaysSinceSkiMaintProc()</f>
        <v>3</v>
      </c>
      <c r="S29" s="75" t="b">
        <v>0</v>
      </c>
      <c r="T29" cm="1">
        <f t="array" aca="1" ref="T29" ca="1">GetDaysSinceSkiMaintProc()</f>
        <v>2</v>
      </c>
      <c r="U29" s="75" t="b">
        <v>0</v>
      </c>
      <c r="V29" cm="1">
        <f t="array" aca="1" ref="V29" ca="1">GetDaysSinceSkiMaintProc()</f>
        <v>0</v>
      </c>
      <c r="W29" s="75" t="b">
        <v>0</v>
      </c>
      <c r="X29" cm="1">
        <f t="array" aca="1" ref="X29" ca="1">GetDaysSinceSkiMaintProc()</f>
        <v>5</v>
      </c>
      <c r="Y29" s="75" t="b">
        <v>0</v>
      </c>
      <c r="Z29" s="77"/>
    </row>
    <row r="30" spans="1:26" ht="14.65" customHeight="1" x14ac:dyDescent="0.4">
      <c r="A30" cm="1">
        <f t="array" ref="A30">IF(IsCellInTableFirstRow($A30,table2025_2026[]),1,$A29+1)</f>
        <v>12</v>
      </c>
      <c r="B30" s="76">
        <v>46005</v>
      </c>
      <c r="C30" s="77" t="s">
        <v>33</v>
      </c>
      <c r="D30" cm="1">
        <f t="array" ref="D30">GetDaysSkiedAtResortRunningCount(table2025_2026[Resort Name], table2025_2026[[#This Row],[Resort Name]], table2025_2026[Date], table2025_2026[[#This Row],[Date]])</f>
        <v>7</v>
      </c>
      <c r="E30" s="78">
        <v>6080</v>
      </c>
      <c r="F30" s="78">
        <v>763</v>
      </c>
      <c r="G30" s="77" t="s">
        <v>41</v>
      </c>
      <c r="H30" cm="1">
        <f t="array" aca="1" ref="H30" ca="1">GetDaysSinceSkiMaintProc()</f>
        <v>2</v>
      </c>
      <c r="I30" s="75" t="b">
        <v>0</v>
      </c>
      <c r="J30" cm="1">
        <f t="array" aca="1" ref="J30" ca="1">GetDaysSinceSkiMaintProc()</f>
        <v>2</v>
      </c>
      <c r="K30" s="75" t="b">
        <v>0</v>
      </c>
      <c r="L30" s="77" cm="1">
        <f t="array" aca="1" ref="L30" ca="1">GetDaysSinceSkiMaintProc()</f>
        <v>14</v>
      </c>
      <c r="M30" s="75" t="b">
        <v>0</v>
      </c>
      <c r="N30" cm="1">
        <f t="array" aca="1" ref="N30" ca="1">GetDaysSinceSkiMaintProc()</f>
        <v>1</v>
      </c>
      <c r="O30" s="75" t="b">
        <v>0</v>
      </c>
      <c r="P30" cm="1">
        <f t="array" aca="1" ref="P30" ca="1">GetDaysSinceSkiMaintProc()</f>
        <v>1</v>
      </c>
      <c r="Q30" s="75" t="b">
        <v>0</v>
      </c>
      <c r="R30" cm="1">
        <f t="array" aca="1" ref="R30" ca="1">GetDaysSinceSkiMaintProc()</f>
        <v>3</v>
      </c>
      <c r="S30" s="75" t="b">
        <v>0</v>
      </c>
      <c r="T30" cm="1">
        <f t="array" aca="1" ref="T30" ca="1">GetDaysSinceSkiMaintProc()</f>
        <v>2</v>
      </c>
      <c r="U30" s="75" t="b">
        <v>0</v>
      </c>
      <c r="V30" cm="1">
        <f t="array" aca="1" ref="V30" ca="1">GetDaysSinceSkiMaintProc()</f>
        <v>0</v>
      </c>
      <c r="W30" s="75" t="b">
        <v>0</v>
      </c>
      <c r="X30" cm="1">
        <f t="array" aca="1" ref="X30" ca="1">GetDaysSinceSkiMaintProc()</f>
        <v>5</v>
      </c>
      <c r="Y30" s="75" t="b">
        <v>0</v>
      </c>
      <c r="Z30" s="77"/>
    </row>
    <row r="31" spans="1:26" ht="14.65" customHeight="1" x14ac:dyDescent="0.4">
      <c r="A31" cm="1">
        <f t="array" ref="A31">IF(IsCellInTableFirstRow($A31,table2025_2026[]),1,$A30+1)</f>
        <v>13</v>
      </c>
      <c r="B31" s="76">
        <v>46007</v>
      </c>
      <c r="C31" s="77" t="s">
        <v>52</v>
      </c>
      <c r="D31" cm="1">
        <f t="array" ref="D31">GetDaysSkiedAtResortRunningCount(table2025_2026[Resort Name], table2025_2026[[#This Row],[Resort Name]], table2025_2026[Date], table2025_2026[[#This Row],[Date]])</f>
        <v>1</v>
      </c>
      <c r="E31" s="78">
        <v>2680</v>
      </c>
      <c r="F31" s="78">
        <v>752</v>
      </c>
      <c r="G31" s="77" t="s">
        <v>41</v>
      </c>
      <c r="H31" cm="1">
        <f t="array" aca="1" ref="H31" ca="1">GetDaysSinceSkiMaintProc()</f>
        <v>3</v>
      </c>
      <c r="I31" s="75" t="b">
        <v>0</v>
      </c>
      <c r="J31" cm="1">
        <f t="array" aca="1" ref="J31" ca="1">GetDaysSinceSkiMaintProc()</f>
        <v>3</v>
      </c>
      <c r="K31" s="75" t="b">
        <v>0</v>
      </c>
      <c r="L31" s="77" cm="1">
        <f t="array" aca="1" ref="L31" ca="1">GetDaysSinceSkiMaintProc()</f>
        <v>15</v>
      </c>
      <c r="M31" s="75" t="b">
        <v>0</v>
      </c>
      <c r="N31" cm="1">
        <f t="array" aca="1" ref="N31" ca="1">GetDaysSinceSkiMaintProc()</f>
        <v>1</v>
      </c>
      <c r="O31" s="75" t="b">
        <v>0</v>
      </c>
      <c r="P31" cm="1">
        <f t="array" aca="1" ref="P31" ca="1">GetDaysSinceSkiMaintProc()</f>
        <v>1</v>
      </c>
      <c r="Q31" s="75" t="b">
        <v>0</v>
      </c>
      <c r="R31" cm="1">
        <f t="array" aca="1" ref="R31" ca="1">GetDaysSinceSkiMaintProc()</f>
        <v>3</v>
      </c>
      <c r="S31" s="75" t="b">
        <v>0</v>
      </c>
      <c r="T31" cm="1">
        <f t="array" aca="1" ref="T31" ca="1">GetDaysSinceSkiMaintProc()</f>
        <v>2</v>
      </c>
      <c r="U31" s="75" t="b">
        <v>0</v>
      </c>
      <c r="V31" cm="1">
        <f t="array" aca="1" ref="V31" ca="1">GetDaysSinceSkiMaintProc()</f>
        <v>0</v>
      </c>
      <c r="W31" s="75" t="b">
        <v>0</v>
      </c>
      <c r="X31" cm="1">
        <f t="array" aca="1" ref="X31" ca="1">GetDaysSinceSkiMaintProc()</f>
        <v>5</v>
      </c>
      <c r="Y31" s="75" t="b">
        <v>0</v>
      </c>
      <c r="Z31" s="77"/>
    </row>
    <row r="32" spans="1:26" ht="14.65" customHeight="1" x14ac:dyDescent="0.4">
      <c r="A32" cm="1">
        <f t="array" ref="A32">IF(IsCellInTableFirstRow($A32,table2025_2026[]),1,$A31+1)</f>
        <v>14</v>
      </c>
      <c r="B32" s="76">
        <v>46029</v>
      </c>
      <c r="C32" s="77" t="s">
        <v>6</v>
      </c>
      <c r="D32" cm="1">
        <f t="array" ref="D32">GetDaysSkiedAtResortRunningCount(table2025_2026[Resort Name], table2025_2026[[#This Row],[Resort Name]], table2025_2026[Date], table2025_2026[[#This Row],[Date]])</f>
        <v>1</v>
      </c>
      <c r="E32" s="78">
        <v>8549</v>
      </c>
      <c r="F32" s="78">
        <v>2200</v>
      </c>
      <c r="G32" s="77" t="s">
        <v>42</v>
      </c>
      <c r="H32" cm="1">
        <f t="array" aca="1" ref="H32" ca="1">GetDaysSinceSkiMaintProc()</f>
        <v>3</v>
      </c>
      <c r="I32" s="75" t="b">
        <v>0</v>
      </c>
      <c r="J32" cm="1">
        <f t="array" aca="1" ref="J32" ca="1">GetDaysSinceSkiMaintProc()</f>
        <v>3</v>
      </c>
      <c r="K32" s="75" t="b">
        <v>0</v>
      </c>
      <c r="L32" s="77" cm="1">
        <f t="array" aca="1" ref="L32" ca="1">GetDaysSinceSkiMaintProc()</f>
        <v>15</v>
      </c>
      <c r="M32" s="75" t="b">
        <v>0</v>
      </c>
      <c r="N32" cm="1">
        <f t="array" aca="1" ref="N32" ca="1">GetDaysSinceSkiMaintProc()</f>
        <v>2</v>
      </c>
      <c r="O32" s="75" t="b">
        <v>0</v>
      </c>
      <c r="P32" cm="1">
        <f t="array" aca="1" ref="P32" ca="1">GetDaysSinceSkiMaintProc()</f>
        <v>2</v>
      </c>
      <c r="Q32" s="75" t="b">
        <v>1</v>
      </c>
      <c r="R32" cm="1">
        <f t="array" aca="1" ref="R32" ca="1">GetDaysSinceSkiMaintProc()</f>
        <v>4</v>
      </c>
      <c r="S32" s="75" t="b">
        <v>0</v>
      </c>
      <c r="T32" cm="1">
        <f t="array" aca="1" ref="T32" ca="1">GetDaysSinceSkiMaintProc()</f>
        <v>2</v>
      </c>
      <c r="U32" s="75" t="b">
        <v>0</v>
      </c>
      <c r="V32" cm="1">
        <f t="array" aca="1" ref="V32" ca="1">GetDaysSinceSkiMaintProc()</f>
        <v>0</v>
      </c>
      <c r="W32" s="75" t="b">
        <v>0</v>
      </c>
      <c r="X32" cm="1">
        <f t="array" aca="1" ref="X32" ca="1">GetDaysSinceSkiMaintProc()</f>
        <v>5</v>
      </c>
      <c r="Y32" s="75" t="b">
        <v>0</v>
      </c>
      <c r="Z32" s="77"/>
    </row>
    <row r="33" spans="1:26" ht="14.65" customHeight="1" x14ac:dyDescent="0.4">
      <c r="A33" cm="1">
        <f t="array" ref="A33">IF(IsCellInTableFirstRow($A33,table2025_2026[]),1,$A32+1)</f>
        <v>15</v>
      </c>
      <c r="B33" s="76">
        <v>46030</v>
      </c>
      <c r="C33" s="77" t="s">
        <v>6</v>
      </c>
      <c r="D33" cm="1">
        <f t="array" ref="D33">GetDaysSkiedAtResortRunningCount(table2025_2026[Resort Name], table2025_2026[[#This Row],[Resort Name]], table2025_2026[Date], table2025_2026[[#This Row],[Date]])</f>
        <v>2</v>
      </c>
      <c r="E33" s="78">
        <v>7265</v>
      </c>
      <c r="F33" s="78">
        <v>1043</v>
      </c>
      <c r="G33" s="77" t="s">
        <v>41</v>
      </c>
      <c r="H33" cm="1">
        <f t="array" aca="1" ref="H33" ca="1">GetDaysSinceSkiMaintProc()</f>
        <v>4</v>
      </c>
      <c r="I33" s="75" t="b">
        <v>0</v>
      </c>
      <c r="J33" cm="1">
        <f t="array" aca="1" ref="J33" ca="1">GetDaysSinceSkiMaintProc()</f>
        <v>4</v>
      </c>
      <c r="K33" s="75" t="b">
        <v>0</v>
      </c>
      <c r="L33" s="77" cm="1">
        <f t="array" aca="1" ref="L33" ca="1">GetDaysSinceSkiMaintProc()</f>
        <v>16</v>
      </c>
      <c r="M33" s="75" t="b">
        <v>0</v>
      </c>
      <c r="N33" cm="1">
        <f t="array" aca="1" ref="N33" ca="1">GetDaysSinceSkiMaintProc()</f>
        <v>2</v>
      </c>
      <c r="O33" s="75" t="b">
        <v>0</v>
      </c>
      <c r="P33" cm="1">
        <f t="array" aca="1" ref="P33" ca="1">GetDaysSinceSkiMaintProc()</f>
        <v>0</v>
      </c>
      <c r="Q33" s="75" t="b">
        <v>0</v>
      </c>
      <c r="R33" cm="1">
        <f t="array" aca="1" ref="R33" ca="1">GetDaysSinceSkiMaintProc()</f>
        <v>4</v>
      </c>
      <c r="S33" s="75" t="b">
        <v>0</v>
      </c>
      <c r="T33" cm="1">
        <f t="array" aca="1" ref="T33" ca="1">GetDaysSinceSkiMaintProc()</f>
        <v>2</v>
      </c>
      <c r="U33" s="75" t="b">
        <v>0</v>
      </c>
      <c r="V33" cm="1">
        <f t="array" aca="1" ref="V33" ca="1">GetDaysSinceSkiMaintProc()</f>
        <v>0</v>
      </c>
      <c r="W33" s="75" t="b">
        <v>0</v>
      </c>
      <c r="X33" cm="1">
        <f t="array" aca="1" ref="X33" ca="1">GetDaysSinceSkiMaintProc()</f>
        <v>5</v>
      </c>
      <c r="Y33" s="75" t="b">
        <v>0</v>
      </c>
      <c r="Z33" s="77"/>
    </row>
    <row r="34" spans="1:26" ht="14.65" customHeight="1" x14ac:dyDescent="0.4">
      <c r="A34" cm="1">
        <f t="array" ref="A34">IF(IsCellInTableFirstRow($A34,table2025_2026[]),1,$A33+1)</f>
        <v>16</v>
      </c>
      <c r="B34" s="76">
        <v>46032</v>
      </c>
      <c r="C34" s="77" t="s">
        <v>53</v>
      </c>
      <c r="D34" cm="1">
        <f t="array" ref="D34">GetDaysSkiedAtResortRunningCount(table2025_2026[Resort Name], table2025_2026[[#This Row],[Resort Name]], table2025_2026[Date], table2025_2026[[#This Row],[Date]])</f>
        <v>1</v>
      </c>
      <c r="E34" s="78">
        <v>8520</v>
      </c>
      <c r="F34" s="78">
        <v>1427</v>
      </c>
      <c r="G34" s="77" t="s">
        <v>41</v>
      </c>
      <c r="H34" cm="1">
        <f t="array" aca="1" ref="H34" ca="1">GetDaysSinceSkiMaintProc()</f>
        <v>5</v>
      </c>
      <c r="I34" s="75" t="b">
        <v>0</v>
      </c>
      <c r="J34" cm="1">
        <f t="array" aca="1" ref="J34" ca="1">GetDaysSinceSkiMaintProc()</f>
        <v>5</v>
      </c>
      <c r="K34" s="75" t="b">
        <v>0</v>
      </c>
      <c r="L34" s="77" cm="1">
        <f t="array" aca="1" ref="L34" ca="1">GetDaysSinceSkiMaintProc()</f>
        <v>17</v>
      </c>
      <c r="M34" s="75" t="b">
        <v>0</v>
      </c>
      <c r="N34" cm="1">
        <f t="array" aca="1" ref="N34" ca="1">GetDaysSinceSkiMaintProc()</f>
        <v>2</v>
      </c>
      <c r="O34" s="75" t="b">
        <v>0</v>
      </c>
      <c r="P34" cm="1">
        <f t="array" aca="1" ref="P34" ca="1">GetDaysSinceSkiMaintProc()</f>
        <v>0</v>
      </c>
      <c r="Q34" s="75" t="b">
        <v>0</v>
      </c>
      <c r="R34" cm="1">
        <f t="array" aca="1" ref="R34" ca="1">GetDaysSinceSkiMaintProc()</f>
        <v>4</v>
      </c>
      <c r="S34" s="75" t="b">
        <v>0</v>
      </c>
      <c r="T34" cm="1">
        <f t="array" aca="1" ref="T34" ca="1">GetDaysSinceSkiMaintProc()</f>
        <v>2</v>
      </c>
      <c r="U34" s="75" t="b">
        <v>0</v>
      </c>
      <c r="V34" cm="1">
        <f t="array" aca="1" ref="V34" ca="1">GetDaysSinceSkiMaintProc()</f>
        <v>0</v>
      </c>
      <c r="W34" s="75" t="b">
        <v>0</v>
      </c>
      <c r="X34" cm="1">
        <f t="array" aca="1" ref="X34" ca="1">GetDaysSinceSkiMaintProc()</f>
        <v>5</v>
      </c>
      <c r="Y34" s="75" t="b">
        <v>0</v>
      </c>
      <c r="Z34" s="77"/>
    </row>
    <row r="35" spans="1:26" ht="14.65" customHeight="1" x14ac:dyDescent="0.4">
      <c r="A35" cm="1">
        <f t="array" ref="A35">IF(IsCellInTableFirstRow($A35,table2025_2026[]),1,$A34+1)</f>
        <v>17</v>
      </c>
      <c r="B35" s="76">
        <v>46033</v>
      </c>
      <c r="C35" s="77" t="s">
        <v>53</v>
      </c>
      <c r="D35" cm="1">
        <f t="array" ref="D35">GetDaysSkiedAtResortRunningCount(table2025_2026[Resort Name], table2025_2026[[#This Row],[Resort Name]], table2025_2026[Date], table2025_2026[[#This Row],[Date]])</f>
        <v>2</v>
      </c>
      <c r="E35" s="78">
        <v>11905</v>
      </c>
      <c r="F35" s="78">
        <v>1927</v>
      </c>
      <c r="G35" s="77" t="s">
        <v>42</v>
      </c>
      <c r="H35" cm="1">
        <f t="array" aca="1" ref="H35" ca="1">GetDaysSinceSkiMaintProc()</f>
        <v>5</v>
      </c>
      <c r="I35" s="75" t="b">
        <v>0</v>
      </c>
      <c r="J35" cm="1">
        <f t="array" aca="1" ref="J35" ca="1">GetDaysSinceSkiMaintProc()</f>
        <v>5</v>
      </c>
      <c r="K35" s="75" t="b">
        <v>0</v>
      </c>
      <c r="L35" s="77" cm="1">
        <f t="array" aca="1" ref="L35" ca="1">GetDaysSinceSkiMaintProc()</f>
        <v>17</v>
      </c>
      <c r="M35" s="75" t="b">
        <v>0</v>
      </c>
      <c r="N35" cm="1">
        <f t="array" aca="1" ref="N35" ca="1">GetDaysSinceSkiMaintProc()</f>
        <v>3</v>
      </c>
      <c r="O35" s="75" t="b">
        <v>0</v>
      </c>
      <c r="P35" cm="1">
        <f t="array" aca="1" ref="P35" ca="1">GetDaysSinceSkiMaintProc()</f>
        <v>1</v>
      </c>
      <c r="Q35" s="75" t="b">
        <v>0</v>
      </c>
      <c r="R35" cm="1">
        <f t="array" aca="1" ref="R35" ca="1">GetDaysSinceSkiMaintProc()</f>
        <v>5</v>
      </c>
      <c r="S35" s="75" t="b">
        <v>0</v>
      </c>
      <c r="T35" cm="1">
        <f t="array" aca="1" ref="T35" ca="1">GetDaysSinceSkiMaintProc()</f>
        <v>2</v>
      </c>
      <c r="U35" s="75" t="b">
        <v>0</v>
      </c>
      <c r="V35" cm="1">
        <f t="array" aca="1" ref="V35" ca="1">GetDaysSinceSkiMaintProc()</f>
        <v>0</v>
      </c>
      <c r="W35" s="75" t="b">
        <v>0</v>
      </c>
      <c r="X35" cm="1">
        <f t="array" aca="1" ref="X35" ca="1">GetDaysSinceSkiMaintProc()</f>
        <v>5</v>
      </c>
      <c r="Y35" s="75" t="b">
        <v>0</v>
      </c>
      <c r="Z35" s="77"/>
    </row>
    <row r="36" spans="1:26" ht="14.65" customHeight="1" x14ac:dyDescent="0.4">
      <c r="A36" cm="1">
        <f t="array" ref="A36">IF(IsCellInTableFirstRow($A36,table2025_2026[]),1,$A35+1)</f>
        <v>18</v>
      </c>
      <c r="B36" s="76">
        <v>46034</v>
      </c>
      <c r="C36" s="77" t="s">
        <v>53</v>
      </c>
      <c r="D36" cm="1">
        <f t="array" ref="D36">GetDaysSkiedAtResortRunningCount(table2025_2026[Resort Name], table2025_2026[[#This Row],[Resort Name]], table2025_2026[Date], table2025_2026[[#This Row],[Date]])</f>
        <v>3</v>
      </c>
      <c r="E36" s="78">
        <v>6165</v>
      </c>
      <c r="F36" s="78">
        <v>753</v>
      </c>
      <c r="G36" s="77" t="s">
        <v>42</v>
      </c>
      <c r="H36" cm="1">
        <f t="array" aca="1" ref="H36" ca="1">GetDaysSinceSkiMaintProc()</f>
        <v>5</v>
      </c>
      <c r="I36" s="75" t="b">
        <v>0</v>
      </c>
      <c r="J36" cm="1">
        <f t="array" aca="1" ref="J36" ca="1">GetDaysSinceSkiMaintProc()</f>
        <v>5</v>
      </c>
      <c r="K36" s="75" t="b">
        <v>0</v>
      </c>
      <c r="L36" s="77" cm="1">
        <f t="array" aca="1" ref="L36" ca="1">GetDaysSinceSkiMaintProc()</f>
        <v>17</v>
      </c>
      <c r="M36" s="75" t="b">
        <v>0</v>
      </c>
      <c r="N36" cm="1">
        <f t="array" aca="1" ref="N36" ca="1">GetDaysSinceSkiMaintProc()</f>
        <v>4</v>
      </c>
      <c r="O36" s="75" t="b">
        <v>0</v>
      </c>
      <c r="P36" cm="1">
        <f t="array" aca="1" ref="P36" ca="1">GetDaysSinceSkiMaintProc()</f>
        <v>2</v>
      </c>
      <c r="Q36" s="75" t="b">
        <v>0</v>
      </c>
      <c r="R36" cm="1">
        <f t="array" aca="1" ref="R36" ca="1">GetDaysSinceSkiMaintProc()</f>
        <v>6</v>
      </c>
      <c r="S36" s="75" t="b">
        <v>0</v>
      </c>
      <c r="T36" cm="1">
        <f t="array" aca="1" ref="T36" ca="1">GetDaysSinceSkiMaintProc()</f>
        <v>2</v>
      </c>
      <c r="U36" s="75" t="b">
        <v>0</v>
      </c>
      <c r="V36" cm="1">
        <f t="array" aca="1" ref="V36" ca="1">GetDaysSinceSkiMaintProc()</f>
        <v>0</v>
      </c>
      <c r="W36" s="75" t="b">
        <v>0</v>
      </c>
      <c r="X36" cm="1">
        <f t="array" aca="1" ref="X36" ca="1">GetDaysSinceSkiMaintProc()</f>
        <v>5</v>
      </c>
      <c r="Y36" s="75" t="b">
        <v>0</v>
      </c>
      <c r="Z36" s="77"/>
    </row>
    <row r="37" spans="1:26" ht="14.65" customHeight="1" x14ac:dyDescent="0.4">
      <c r="A37" cm="1">
        <f t="array" ref="A37">IF(IsCellInTableFirstRow($A37,table2025_2026[]),1,$A36+1)</f>
        <v>19</v>
      </c>
      <c r="B37" s="76">
        <v>46035</v>
      </c>
      <c r="C37" s="77" t="s">
        <v>53</v>
      </c>
      <c r="D37" cm="1">
        <f t="array" ref="D37">GetDaysSkiedAtResortRunningCount(table2025_2026[Resort Name], table2025_2026[[#This Row],[Resort Name]], table2025_2026[Date], table2025_2026[[#This Row],[Date]])</f>
        <v>4</v>
      </c>
      <c r="E37" s="78">
        <v>9835</v>
      </c>
      <c r="F37" s="78">
        <v>1061</v>
      </c>
      <c r="G37" s="77" t="s">
        <v>42</v>
      </c>
      <c r="H37" cm="1">
        <f t="array" aca="1" ref="H37" ca="1">GetDaysSinceSkiMaintProc()</f>
        <v>5</v>
      </c>
      <c r="I37" s="75" t="b">
        <v>1</v>
      </c>
      <c r="J37" cm="1">
        <f t="array" aca="1" ref="J37" ca="1">GetDaysSinceSkiMaintProc()</f>
        <v>5</v>
      </c>
      <c r="K37" s="75" t="b">
        <v>1</v>
      </c>
      <c r="L37" s="77" cm="1">
        <f t="array" aca="1" ref="L37" ca="1">GetDaysSinceSkiMaintProc()</f>
        <v>17</v>
      </c>
      <c r="M37" s="75" t="b">
        <v>0</v>
      </c>
      <c r="N37" cm="1">
        <f t="array" aca="1" ref="N37" ca="1">GetDaysSinceSkiMaintProc()</f>
        <v>5</v>
      </c>
      <c r="O37" s="75" t="b">
        <v>1</v>
      </c>
      <c r="P37" cm="1">
        <f t="array" aca="1" ref="P37" ca="1">GetDaysSinceSkiMaintProc()</f>
        <v>3</v>
      </c>
      <c r="Q37" s="75" t="b">
        <v>1</v>
      </c>
      <c r="R37" cm="1">
        <f t="array" aca="1" ref="R37" ca="1">GetDaysSinceSkiMaintProc()</f>
        <v>7</v>
      </c>
      <c r="S37" s="75" t="b">
        <v>0</v>
      </c>
      <c r="T37" cm="1">
        <f t="array" aca="1" ref="T37" ca="1">GetDaysSinceSkiMaintProc()</f>
        <v>2</v>
      </c>
      <c r="U37" s="75" t="b">
        <v>0</v>
      </c>
      <c r="V37" cm="1">
        <f t="array" aca="1" ref="V37" ca="1">GetDaysSinceSkiMaintProc()</f>
        <v>0</v>
      </c>
      <c r="W37" s="75" t="b">
        <v>0</v>
      </c>
      <c r="X37" cm="1">
        <f t="array" aca="1" ref="X37" ca="1">GetDaysSinceSkiMaintProc()</f>
        <v>5</v>
      </c>
      <c r="Y37" s="75" t="b">
        <v>0</v>
      </c>
      <c r="Z37" s="77"/>
    </row>
    <row r="38" spans="1:26" ht="14.65" customHeight="1" x14ac:dyDescent="0.4">
      <c r="A38" cm="1">
        <f t="array" ref="A38">IF(IsCellInTableFirstRow($A38,table2025_2026[]),1,$A37+1)</f>
        <v>20</v>
      </c>
      <c r="B38" s="76">
        <v>46036</v>
      </c>
      <c r="C38" s="77" t="s">
        <v>53</v>
      </c>
      <c r="D38" cm="1">
        <f t="array" ref="D38">GetDaysSkiedAtResortRunningCount(table2025_2026[Resort Name], table2025_2026[[#This Row],[Resort Name]], table2025_2026[Date], table2025_2026[[#This Row],[Date]])</f>
        <v>5</v>
      </c>
      <c r="E38" s="78">
        <v>16355</v>
      </c>
      <c r="F38" s="78">
        <v>1665</v>
      </c>
      <c r="G38" s="77" t="s">
        <v>42</v>
      </c>
      <c r="H38" cm="1">
        <f t="array" aca="1" ref="H38" ca="1">GetDaysSinceSkiMaintProc()</f>
        <v>0</v>
      </c>
      <c r="I38" s="75" t="b">
        <v>0</v>
      </c>
      <c r="J38" cm="1">
        <f t="array" aca="1" ref="J38" ca="1">GetDaysSinceSkiMaintProc()</f>
        <v>0</v>
      </c>
      <c r="K38" s="75" t="b">
        <v>0</v>
      </c>
      <c r="L38" s="77" cm="1">
        <f t="array" aca="1" ref="L38" ca="1">GetDaysSinceSkiMaintProc()</f>
        <v>17</v>
      </c>
      <c r="M38" s="75" t="b">
        <v>0</v>
      </c>
      <c r="N38" cm="1">
        <f t="array" aca="1" ref="N38" ca="1">GetDaysSinceSkiMaintProc()</f>
        <v>1</v>
      </c>
      <c r="O38" s="75" t="b">
        <v>0</v>
      </c>
      <c r="P38" cm="1">
        <f t="array" aca="1" ref="P38" ca="1">GetDaysSinceSkiMaintProc()</f>
        <v>1</v>
      </c>
      <c r="Q38" s="75" t="b">
        <v>0</v>
      </c>
      <c r="R38" cm="1">
        <f t="array" aca="1" ref="R38" ca="1">GetDaysSinceSkiMaintProc()</f>
        <v>8</v>
      </c>
      <c r="S38" s="75" t="b">
        <v>0</v>
      </c>
      <c r="T38" cm="1">
        <f t="array" aca="1" ref="T38" ca="1">GetDaysSinceSkiMaintProc()</f>
        <v>2</v>
      </c>
      <c r="U38" s="75" t="b">
        <v>0</v>
      </c>
      <c r="V38" cm="1">
        <f t="array" aca="1" ref="V38" ca="1">GetDaysSinceSkiMaintProc()</f>
        <v>0</v>
      </c>
      <c r="W38" s="75" t="b">
        <v>0</v>
      </c>
      <c r="X38" cm="1">
        <f t="array" aca="1" ref="X38" ca="1">GetDaysSinceSkiMaintProc()</f>
        <v>5</v>
      </c>
      <c r="Y38" s="75" t="b">
        <v>0</v>
      </c>
      <c r="Z38" s="77"/>
    </row>
    <row r="39" spans="1:26" ht="14.65" customHeight="1" x14ac:dyDescent="0.4">
      <c r="A39" cm="1">
        <f t="array" ref="A39">IF(IsCellInTableFirstRow($A39,table2025_2026[]),1,$A38+1)</f>
        <v>21</v>
      </c>
      <c r="B39" s="76">
        <v>46038</v>
      </c>
      <c r="C39" s="77" t="s">
        <v>38</v>
      </c>
      <c r="D39" cm="1">
        <f t="array" ref="D39">GetDaysSkiedAtResortRunningCount(table2025_2026[Resort Name], table2025_2026[[#This Row],[Resort Name]], table2025_2026[Date], table2025_2026[[#This Row],[Date]])</f>
        <v>1</v>
      </c>
      <c r="E39" s="78">
        <v>4380</v>
      </c>
      <c r="F39" s="78">
        <v>470</v>
      </c>
      <c r="G39" s="77" t="s">
        <v>42</v>
      </c>
      <c r="H39" cm="1">
        <f t="array" aca="1" ref="H39" ca="1">GetDaysSinceSkiMaintProc()</f>
        <v>0</v>
      </c>
      <c r="I39" s="75" t="b">
        <v>0</v>
      </c>
      <c r="J39" cm="1">
        <f t="array" aca="1" ref="J39" ca="1">GetDaysSinceSkiMaintProc()</f>
        <v>0</v>
      </c>
      <c r="K39" s="75" t="b">
        <v>0</v>
      </c>
      <c r="L39" s="77" cm="1">
        <f t="array" aca="1" ref="L39" ca="1">GetDaysSinceSkiMaintProc()</f>
        <v>17</v>
      </c>
      <c r="M39" s="75" t="b">
        <v>0</v>
      </c>
      <c r="N39" cm="1">
        <f t="array" aca="1" ref="N39" ca="1">GetDaysSinceSkiMaintProc()</f>
        <v>2</v>
      </c>
      <c r="O39" s="75" t="b">
        <v>0</v>
      </c>
      <c r="P39" cm="1">
        <f t="array" aca="1" ref="P39" ca="1">GetDaysSinceSkiMaintProc()</f>
        <v>2</v>
      </c>
      <c r="Q39" s="75" t="b">
        <v>0</v>
      </c>
      <c r="R39" cm="1">
        <f t="array" aca="1" ref="R39" ca="1">GetDaysSinceSkiMaintProc()</f>
        <v>9</v>
      </c>
      <c r="S39" s="75" t="b">
        <v>0</v>
      </c>
      <c r="T39" cm="1">
        <f t="array" aca="1" ref="T39" ca="1">GetDaysSinceSkiMaintProc()</f>
        <v>2</v>
      </c>
      <c r="U39" s="75" t="b">
        <v>0</v>
      </c>
      <c r="V39" cm="1">
        <f t="array" aca="1" ref="V39" ca="1">GetDaysSinceSkiMaintProc()</f>
        <v>0</v>
      </c>
      <c r="W39" s="75" t="b">
        <v>0</v>
      </c>
      <c r="X39" cm="1">
        <f t="array" aca="1" ref="X39" ca="1">GetDaysSinceSkiMaintProc()</f>
        <v>5</v>
      </c>
      <c r="Y39" s="75" t="b">
        <v>0</v>
      </c>
      <c r="Z39" s="77"/>
    </row>
    <row r="40" spans="1:26" ht="14.65" customHeight="1" x14ac:dyDescent="0.4">
      <c r="A40" cm="1">
        <f t="array" ref="A40">IF(IsCellInTableFirstRow($A40,table2025_2026[]),1,$A39+1)</f>
        <v>22</v>
      </c>
      <c r="B40" s="76">
        <v>46039</v>
      </c>
      <c r="C40" s="77" t="s">
        <v>11</v>
      </c>
      <c r="D40" cm="1">
        <f t="array" ref="D40">GetDaysSkiedAtResortRunningCount(table2025_2026[Resort Name], table2025_2026[[#This Row],[Resort Name]], table2025_2026[Date], table2025_2026[[#This Row],[Date]])</f>
        <v>1</v>
      </c>
      <c r="E40" s="78">
        <v>7340</v>
      </c>
      <c r="F40" s="78">
        <v>1230</v>
      </c>
      <c r="G40" s="77" t="s">
        <v>42</v>
      </c>
      <c r="H40" cm="1">
        <f t="array" aca="1" ref="H40" ca="1">GetDaysSinceSkiMaintProc()</f>
        <v>0</v>
      </c>
      <c r="I40" s="75" t="b">
        <v>0</v>
      </c>
      <c r="J40" cm="1">
        <f t="array" aca="1" ref="J40" ca="1">GetDaysSinceSkiMaintProc()</f>
        <v>0</v>
      </c>
      <c r="K40" s="75" t="b">
        <v>0</v>
      </c>
      <c r="L40" s="77" cm="1">
        <f t="array" aca="1" ref="L40" ca="1">GetDaysSinceSkiMaintProc()</f>
        <v>17</v>
      </c>
      <c r="M40" s="75" t="b">
        <v>0</v>
      </c>
      <c r="N40" cm="1">
        <f t="array" aca="1" ref="N40" ca="1">GetDaysSinceSkiMaintProc()</f>
        <v>3</v>
      </c>
      <c r="O40" s="75" t="b">
        <v>0</v>
      </c>
      <c r="P40" cm="1">
        <f t="array" aca="1" ref="P40" ca="1">GetDaysSinceSkiMaintProc()</f>
        <v>3</v>
      </c>
      <c r="Q40" s="75" t="b">
        <v>0</v>
      </c>
      <c r="R40" cm="1">
        <f t="array" aca="1" ref="R40" ca="1">GetDaysSinceSkiMaintProc()</f>
        <v>10</v>
      </c>
      <c r="S40" s="75" t="b">
        <v>0</v>
      </c>
      <c r="T40" cm="1">
        <f t="array" aca="1" ref="T40" ca="1">GetDaysSinceSkiMaintProc()</f>
        <v>2</v>
      </c>
      <c r="U40" s="75" t="b">
        <v>0</v>
      </c>
      <c r="V40" cm="1">
        <f t="array" aca="1" ref="V40" ca="1">GetDaysSinceSkiMaintProc()</f>
        <v>0</v>
      </c>
      <c r="W40" s="75" t="b">
        <v>0</v>
      </c>
      <c r="X40" cm="1">
        <f t="array" aca="1" ref="X40" ca="1">GetDaysSinceSkiMaintProc()</f>
        <v>5</v>
      </c>
      <c r="Y40" s="75" t="b">
        <v>0</v>
      </c>
      <c r="Z40" s="77"/>
    </row>
    <row r="41" spans="1:26" ht="14.65" customHeight="1" x14ac:dyDescent="0.4">
      <c r="A41" cm="1">
        <f t="array" ref="A41">IF(IsCellInTableFirstRow($A41,table2025_2026[]),1,$A40+1)</f>
        <v>23</v>
      </c>
      <c r="B41" s="76">
        <v>46041</v>
      </c>
      <c r="C41" s="77" t="s">
        <v>54</v>
      </c>
      <c r="D41" cm="1">
        <f t="array" ref="D41">GetDaysSkiedAtResortRunningCount(table2025_2026[Resort Name], table2025_2026[[#This Row],[Resort Name]], table2025_2026[Date], table2025_2026[[#This Row],[Date]])</f>
        <v>1</v>
      </c>
      <c r="E41" s="78">
        <v>9935</v>
      </c>
      <c r="F41" s="78">
        <v>1442</v>
      </c>
      <c r="G41" s="77" t="s">
        <v>42</v>
      </c>
      <c r="H41" cm="1">
        <f t="array" aca="1" ref="H41" ca="1">GetDaysSinceSkiMaintProc()</f>
        <v>0</v>
      </c>
      <c r="I41" s="75" t="b">
        <v>0</v>
      </c>
      <c r="J41" cm="1">
        <f t="array" aca="1" ref="J41" ca="1">GetDaysSinceSkiMaintProc()</f>
        <v>0</v>
      </c>
      <c r="K41" s="75" t="b">
        <v>0</v>
      </c>
      <c r="L41" s="77" cm="1">
        <f t="array" aca="1" ref="L41" ca="1">GetDaysSinceSkiMaintProc()</f>
        <v>17</v>
      </c>
      <c r="M41" s="75" t="b">
        <v>0</v>
      </c>
      <c r="N41" cm="1">
        <f t="array" aca="1" ref="N41" ca="1">GetDaysSinceSkiMaintProc()</f>
        <v>4</v>
      </c>
      <c r="O41" s="75" t="b">
        <v>0</v>
      </c>
      <c r="P41" cm="1">
        <f t="array" aca="1" ref="P41" ca="1">GetDaysSinceSkiMaintProc()</f>
        <v>4</v>
      </c>
      <c r="Q41" s="75" t="b">
        <v>0</v>
      </c>
      <c r="R41" cm="1">
        <f t="array" aca="1" ref="R41" ca="1">GetDaysSinceSkiMaintProc()</f>
        <v>11</v>
      </c>
      <c r="S41" s="75" t="b">
        <v>0</v>
      </c>
      <c r="T41" cm="1">
        <f t="array" aca="1" ref="T41" ca="1">GetDaysSinceSkiMaintProc()</f>
        <v>2</v>
      </c>
      <c r="U41" s="75" t="b">
        <v>0</v>
      </c>
      <c r="V41" cm="1">
        <f t="array" aca="1" ref="V41" ca="1">GetDaysSinceSkiMaintProc()</f>
        <v>0</v>
      </c>
      <c r="W41" s="75" t="b">
        <v>0</v>
      </c>
      <c r="X41" cm="1">
        <f t="array" aca="1" ref="X41" ca="1">GetDaysSinceSkiMaintProc()</f>
        <v>5</v>
      </c>
      <c r="Y41" s="75" t="b">
        <v>0</v>
      </c>
      <c r="Z41" s="122"/>
    </row>
    <row r="42" spans="1:26" ht="14.65" customHeight="1" x14ac:dyDescent="0.4">
      <c r="A42" cm="1">
        <f t="array" ref="A42">IF(IsCellInTableFirstRow($A42,table2025_2026[]),1,$A41+1)</f>
        <v>24</v>
      </c>
      <c r="B42" s="76">
        <v>46042</v>
      </c>
      <c r="C42" s="77" t="s">
        <v>8</v>
      </c>
      <c r="D42" cm="1">
        <f t="array" ref="D42">GetDaysSkiedAtResortRunningCount(table2025_2026[Resort Name], table2025_2026[[#This Row],[Resort Name]], table2025_2026[Date], table2025_2026[[#This Row],[Date]])</f>
        <v>1</v>
      </c>
      <c r="E42" s="78">
        <v>7085</v>
      </c>
      <c r="F42" s="78">
        <v>1366</v>
      </c>
      <c r="G42" s="77" t="s">
        <v>42</v>
      </c>
      <c r="H42" cm="1">
        <f t="array" aca="1" ref="H42" ca="1">GetDaysSinceSkiMaintProc()</f>
        <v>0</v>
      </c>
      <c r="I42" s="75" t="b">
        <v>0</v>
      </c>
      <c r="J42" cm="1">
        <f t="array" aca="1" ref="J42" ca="1">GetDaysSinceSkiMaintProc()</f>
        <v>0</v>
      </c>
      <c r="K42" s="75" t="b">
        <v>0</v>
      </c>
      <c r="L42" s="77" cm="1">
        <f t="array" aca="1" ref="L42" ca="1">GetDaysSinceSkiMaintProc()</f>
        <v>17</v>
      </c>
      <c r="M42" s="75" t="b">
        <v>0</v>
      </c>
      <c r="N42" cm="1">
        <f t="array" aca="1" ref="N42" ca="1">GetDaysSinceSkiMaintProc()</f>
        <v>5</v>
      </c>
      <c r="O42" s="75" t="b">
        <v>0</v>
      </c>
      <c r="P42" cm="1">
        <f t="array" aca="1" ref="P42" ca="1">GetDaysSinceSkiMaintProc()</f>
        <v>5</v>
      </c>
      <c r="Q42" s="75" t="b">
        <v>0</v>
      </c>
      <c r="R42" cm="1">
        <f t="array" aca="1" ref="R42" ca="1">GetDaysSinceSkiMaintProc()</f>
        <v>12</v>
      </c>
      <c r="S42" s="75" t="b">
        <v>0</v>
      </c>
      <c r="T42" cm="1">
        <f t="array" aca="1" ref="T42" ca="1">GetDaysSinceSkiMaintProc()</f>
        <v>2</v>
      </c>
      <c r="U42" s="75" t="b">
        <v>0</v>
      </c>
      <c r="V42" cm="1">
        <f t="array" aca="1" ref="V42" ca="1">GetDaysSinceSkiMaintProc()</f>
        <v>0</v>
      </c>
      <c r="W42" s="75" t="b">
        <v>0</v>
      </c>
      <c r="X42" cm="1">
        <f t="array" aca="1" ref="X42" ca="1">GetDaysSinceSkiMaintProc()</f>
        <v>5</v>
      </c>
      <c r="Y42" s="75" t="b">
        <v>0</v>
      </c>
      <c r="Z42" s="77"/>
    </row>
    <row r="43" spans="1:26" ht="14.65" customHeight="1" x14ac:dyDescent="0.4">
      <c r="A43" cm="1">
        <f t="array" ref="A43">IF(IsCellInTableFirstRow($A43,table2025_2026[]),1,$A42+1)</f>
        <v>25</v>
      </c>
      <c r="B43" s="76">
        <v>46043</v>
      </c>
      <c r="C43" s="77" t="s">
        <v>38</v>
      </c>
      <c r="D43" cm="1">
        <f t="array" ref="D43">GetDaysSkiedAtResortRunningCount(table2025_2026[Resort Name], table2025_2026[[#This Row],[Resort Name]], table2025_2026[Date], table2025_2026[[#This Row],[Date]])</f>
        <v>2</v>
      </c>
      <c r="E43" s="78"/>
      <c r="F43" s="78"/>
      <c r="G43" s="77" t="s">
        <v>42</v>
      </c>
      <c r="H43" cm="1">
        <f t="array" aca="1" ref="H43" ca="1">GetDaysSinceSkiMaintProc()</f>
        <v>0</v>
      </c>
      <c r="I43" s="75" t="b">
        <v>0</v>
      </c>
      <c r="J43" cm="1">
        <f t="array" aca="1" ref="J43" ca="1">GetDaysSinceSkiMaintProc()</f>
        <v>0</v>
      </c>
      <c r="K43" s="75" t="b">
        <v>0</v>
      </c>
      <c r="L43" s="77" cm="1">
        <f t="array" aca="1" ref="L43" ca="1">GetDaysSinceSkiMaintProc()</f>
        <v>17</v>
      </c>
      <c r="M43" s="75" t="b">
        <v>0</v>
      </c>
      <c r="N43" cm="1">
        <f t="array" aca="1" ref="N43" ca="1">GetDaysSinceSkiMaintProc()</f>
        <v>6</v>
      </c>
      <c r="O43" s="75" t="b">
        <v>1</v>
      </c>
      <c r="P43" cm="1">
        <f t="array" aca="1" ref="P43" ca="1">GetDaysSinceSkiMaintProc()</f>
        <v>6</v>
      </c>
      <c r="Q43" s="75" t="b">
        <v>1</v>
      </c>
      <c r="R43" cm="1">
        <f t="array" aca="1" ref="R43" ca="1">GetDaysSinceSkiMaintProc()</f>
        <v>13</v>
      </c>
      <c r="S43" s="75" t="b">
        <v>0</v>
      </c>
      <c r="T43" cm="1">
        <f t="array" aca="1" ref="T43" ca="1">GetDaysSinceSkiMaintProc()</f>
        <v>2</v>
      </c>
      <c r="U43" s="75" t="b">
        <v>0</v>
      </c>
      <c r="V43" cm="1">
        <f t="array" aca="1" ref="V43" ca="1">GetDaysSinceSkiMaintProc()</f>
        <v>0</v>
      </c>
      <c r="W43" s="75" t="b">
        <v>0</v>
      </c>
      <c r="X43" cm="1">
        <f t="array" aca="1" ref="X43" ca="1">GetDaysSinceSkiMaintProc()</f>
        <v>5</v>
      </c>
      <c r="Y43" s="75" t="b">
        <v>0</v>
      </c>
      <c r="Z43" s="77"/>
    </row>
    <row r="44" spans="1:26" ht="14.65" customHeight="1" x14ac:dyDescent="0.4">
      <c r="A44" cm="1">
        <f t="array" ref="A44">IF(IsCellInTableFirstRow($A44,table2025_2026[]),1,$A43+1)</f>
        <v>26</v>
      </c>
      <c r="B44" s="76">
        <v>46044</v>
      </c>
      <c r="C44" s="77" t="s">
        <v>38</v>
      </c>
      <c r="D44" cm="1">
        <f t="array" ref="D44">GetDaysSkiedAtResortRunningCount(table2025_2026[Resort Name], table2025_2026[[#This Row],[Resort Name]], table2025_2026[Date], table2025_2026[[#This Row],[Date]])</f>
        <v>3</v>
      </c>
      <c r="E44" s="78">
        <v>5095</v>
      </c>
      <c r="F44" s="78">
        <v>804</v>
      </c>
      <c r="G44" s="77" t="s">
        <v>42</v>
      </c>
      <c r="H44" cm="1">
        <f t="array" aca="1" ref="H44" ca="1">GetDaysSinceSkiMaintProc()</f>
        <v>0</v>
      </c>
      <c r="I44" s="75" t="b">
        <v>0</v>
      </c>
      <c r="J44" cm="1">
        <f t="array" aca="1" ref="J44" ca="1">GetDaysSinceSkiMaintProc()</f>
        <v>0</v>
      </c>
      <c r="K44" s="75" t="b">
        <v>0</v>
      </c>
      <c r="L44" s="77" cm="1">
        <f t="array" aca="1" ref="L44" ca="1">GetDaysSinceSkiMaintProc()</f>
        <v>17</v>
      </c>
      <c r="M44" s="75" t="b">
        <v>0</v>
      </c>
      <c r="N44" cm="1">
        <f t="array" aca="1" ref="N44" ca="1">GetDaysSinceSkiMaintProc()</f>
        <v>1</v>
      </c>
      <c r="O44" s="75" t="b">
        <v>0</v>
      </c>
      <c r="P44" cm="1">
        <f t="array" aca="1" ref="P44" ca="1">GetDaysSinceSkiMaintProc()</f>
        <v>1</v>
      </c>
      <c r="Q44" s="75" t="b">
        <v>0</v>
      </c>
      <c r="R44" cm="1">
        <f t="array" aca="1" ref="R44" ca="1">GetDaysSinceSkiMaintProc()</f>
        <v>14</v>
      </c>
      <c r="S44" s="75" t="b">
        <v>0</v>
      </c>
      <c r="T44" cm="1">
        <f t="array" aca="1" ref="T44" ca="1">GetDaysSinceSkiMaintProc()</f>
        <v>2</v>
      </c>
      <c r="U44" s="75" t="b">
        <v>0</v>
      </c>
      <c r="V44" cm="1">
        <f t="array" aca="1" ref="V44" ca="1">GetDaysSinceSkiMaintProc()</f>
        <v>0</v>
      </c>
      <c r="W44" s="75" t="b">
        <v>0</v>
      </c>
      <c r="X44" cm="1">
        <f t="array" aca="1" ref="X44" ca="1">GetDaysSinceSkiMaintProc()</f>
        <v>5</v>
      </c>
      <c r="Y44" s="75" t="b">
        <v>0</v>
      </c>
      <c r="Z44" s="77"/>
    </row>
    <row r="45" spans="1:26" ht="14.65" customHeight="1" x14ac:dyDescent="0.4">
      <c r="A45" cm="1">
        <f t="array" ref="A45">IF(IsCellInTableFirstRow($A45,table2025_2026[]),1,$A44+1)</f>
        <v>27</v>
      </c>
      <c r="B45" s="76">
        <v>46047</v>
      </c>
      <c r="C45" s="77" t="s">
        <v>10</v>
      </c>
      <c r="D45" cm="1">
        <f t="array" ref="D45">GetDaysSkiedAtResortRunningCount(table2025_2026[Resort Name], table2025_2026[[#This Row],[Resort Name]], table2025_2026[Date], table2025_2026[[#This Row],[Date]])</f>
        <v>1</v>
      </c>
      <c r="E45" s="78">
        <v>6255</v>
      </c>
      <c r="F45" s="78">
        <v>914</v>
      </c>
      <c r="G45" s="77" t="s">
        <v>42</v>
      </c>
      <c r="H45" cm="1">
        <f t="array" aca="1" ref="H45" ca="1">GetDaysSinceSkiMaintProc()</f>
        <v>0</v>
      </c>
      <c r="I45" s="75" t="b">
        <v>0</v>
      </c>
      <c r="J45" cm="1">
        <f t="array" aca="1" ref="J45" ca="1">GetDaysSinceSkiMaintProc()</f>
        <v>0</v>
      </c>
      <c r="K45" s="75" t="b">
        <v>0</v>
      </c>
      <c r="L45" s="77" cm="1">
        <f t="array" aca="1" ref="L45" ca="1">GetDaysSinceSkiMaintProc()</f>
        <v>17</v>
      </c>
      <c r="M45" s="75" t="b">
        <v>0</v>
      </c>
      <c r="N45" cm="1">
        <f t="array" aca="1" ref="N45" ca="1">GetDaysSinceSkiMaintProc()</f>
        <v>2</v>
      </c>
      <c r="O45" s="75" t="b">
        <v>0</v>
      </c>
      <c r="P45" cm="1">
        <f t="array" aca="1" ref="P45" ca="1">GetDaysSinceSkiMaintProc()</f>
        <v>2</v>
      </c>
      <c r="Q45" s="75" t="b">
        <v>0</v>
      </c>
      <c r="R45" cm="1">
        <f t="array" aca="1" ref="R45" ca="1">GetDaysSinceSkiMaintProc()</f>
        <v>15</v>
      </c>
      <c r="S45" s="75" t="b">
        <v>0</v>
      </c>
      <c r="T45" cm="1">
        <f t="array" aca="1" ref="T45" ca="1">GetDaysSinceSkiMaintProc()</f>
        <v>2</v>
      </c>
      <c r="U45" s="75" t="b">
        <v>0</v>
      </c>
      <c r="V45" cm="1">
        <f t="array" aca="1" ref="V45" ca="1">GetDaysSinceSkiMaintProc()</f>
        <v>0</v>
      </c>
      <c r="W45" s="75" t="b">
        <v>0</v>
      </c>
      <c r="X45" cm="1">
        <f t="array" aca="1" ref="X45" ca="1">GetDaysSinceSkiMaintProc()</f>
        <v>5</v>
      </c>
      <c r="Y45" s="75" t="b">
        <v>0</v>
      </c>
      <c r="Z45" s="77"/>
    </row>
    <row r="46" spans="1:26" ht="14.65" customHeight="1" x14ac:dyDescent="0.4">
      <c r="A46" cm="1">
        <f t="array" ref="A46">IF(IsCellInTableFirstRow($A46,table2025_2026[]),1,$A45+1)</f>
        <v>28</v>
      </c>
      <c r="B46" s="76">
        <v>46048</v>
      </c>
      <c r="C46" s="77" t="s">
        <v>17</v>
      </c>
      <c r="D46" cm="1">
        <f t="array" ref="D46">GetDaysSkiedAtResortRunningCount(table2025_2026[Resort Name], table2025_2026[[#This Row],[Resort Name]], table2025_2026[Date], table2025_2026[[#This Row],[Date]])</f>
        <v>1</v>
      </c>
      <c r="E46" s="78">
        <v>9065</v>
      </c>
      <c r="F46" s="78">
        <v>819</v>
      </c>
      <c r="G46" s="77" t="s">
        <v>42</v>
      </c>
      <c r="H46" cm="1">
        <f t="array" aca="1" ref="H46" ca="1">GetDaysSinceSkiMaintProc()</f>
        <v>0</v>
      </c>
      <c r="I46" s="75" t="b">
        <v>0</v>
      </c>
      <c r="J46" cm="1">
        <f t="array" aca="1" ref="J46" ca="1">GetDaysSinceSkiMaintProc()</f>
        <v>0</v>
      </c>
      <c r="K46" s="75" t="b">
        <v>0</v>
      </c>
      <c r="L46" s="77" cm="1">
        <f t="array" aca="1" ref="L46" ca="1">GetDaysSinceSkiMaintProc()</f>
        <v>17</v>
      </c>
      <c r="M46" s="75" t="b">
        <v>0</v>
      </c>
      <c r="N46" cm="1">
        <f t="array" aca="1" ref="N46" ca="1">GetDaysSinceSkiMaintProc()</f>
        <v>3</v>
      </c>
      <c r="O46" s="75" t="b">
        <v>0</v>
      </c>
      <c r="P46" cm="1">
        <f t="array" aca="1" ref="P46" ca="1">GetDaysSinceSkiMaintProc()</f>
        <v>3</v>
      </c>
      <c r="Q46" s="75" t="b">
        <v>0</v>
      </c>
      <c r="R46" cm="1">
        <f t="array" aca="1" ref="R46" ca="1">GetDaysSinceSkiMaintProc()</f>
        <v>16</v>
      </c>
      <c r="S46" s="75" t="b">
        <v>0</v>
      </c>
      <c r="T46" cm="1">
        <f t="array" aca="1" ref="T46" ca="1">GetDaysSinceSkiMaintProc()</f>
        <v>2</v>
      </c>
      <c r="U46" s="75" t="b">
        <v>0</v>
      </c>
      <c r="V46" cm="1">
        <f t="array" aca="1" ref="V46" ca="1">GetDaysSinceSkiMaintProc()</f>
        <v>0</v>
      </c>
      <c r="W46" s="75" t="b">
        <v>0</v>
      </c>
      <c r="X46" cm="1">
        <f t="array" aca="1" ref="X46" ca="1">GetDaysSinceSkiMaintProc()</f>
        <v>5</v>
      </c>
      <c r="Y46" s="75" t="b">
        <v>0</v>
      </c>
      <c r="Z46" s="77"/>
    </row>
    <row r="47" spans="1:26" ht="14.65" customHeight="1" x14ac:dyDescent="0.4">
      <c r="A47" cm="1">
        <f t="array" ref="A47">IF(IsCellInTableFirstRow($A47,table2025_2026[]),1,$A46+1)</f>
        <v>29</v>
      </c>
      <c r="B47" s="76">
        <v>46049</v>
      </c>
      <c r="C47" s="77" t="s">
        <v>17</v>
      </c>
      <c r="D47" cm="1">
        <f t="array" ref="D47">GetDaysSkiedAtResortRunningCount(table2025_2026[Resort Name], table2025_2026[[#This Row],[Resort Name]], table2025_2026[Date], table2025_2026[[#This Row],[Date]])</f>
        <v>2</v>
      </c>
      <c r="E47" s="78">
        <v>2340</v>
      </c>
      <c r="F47" s="78">
        <v>443</v>
      </c>
      <c r="G47" s="77" t="s">
        <v>42</v>
      </c>
      <c r="H47" cm="1">
        <f t="array" aca="1" ref="H47" ca="1">GetDaysSinceSkiMaintProc()</f>
        <v>0</v>
      </c>
      <c r="I47" s="75" t="b">
        <v>1</v>
      </c>
      <c r="J47" cm="1">
        <f t="array" aca="1" ref="J47" ca="1">GetDaysSinceSkiMaintProc()</f>
        <v>0</v>
      </c>
      <c r="K47" s="75" t="b">
        <v>0</v>
      </c>
      <c r="L47" s="77" cm="1">
        <f t="array" aca="1" ref="L47" ca="1">GetDaysSinceSkiMaintProc()</f>
        <v>17</v>
      </c>
      <c r="M47" s="75" t="b">
        <v>0</v>
      </c>
      <c r="N47" cm="1">
        <f t="array" aca="1" ref="N47" ca="1">GetDaysSinceSkiMaintProc()</f>
        <v>4</v>
      </c>
      <c r="O47" s="75" t="b">
        <v>1</v>
      </c>
      <c r="P47" cm="1">
        <f t="array" aca="1" ref="P47" ca="1">GetDaysSinceSkiMaintProc()</f>
        <v>4</v>
      </c>
      <c r="Q47" s="75" t="b">
        <v>1</v>
      </c>
      <c r="R47" cm="1">
        <f t="array" aca="1" ref="R47" ca="1">GetDaysSinceSkiMaintProc()</f>
        <v>17</v>
      </c>
      <c r="S47" s="75" t="b">
        <v>0</v>
      </c>
      <c r="T47" cm="1">
        <f t="array" aca="1" ref="T47" ca="1">GetDaysSinceSkiMaintProc()</f>
        <v>2</v>
      </c>
      <c r="U47" s="75" t="b">
        <v>0</v>
      </c>
      <c r="V47" cm="1">
        <f t="array" aca="1" ref="V47" ca="1">GetDaysSinceSkiMaintProc()</f>
        <v>0</v>
      </c>
      <c r="W47" s="75" t="b">
        <v>0</v>
      </c>
      <c r="X47" cm="1">
        <f t="array" aca="1" ref="X47" ca="1">GetDaysSinceSkiMaintProc()</f>
        <v>5</v>
      </c>
      <c r="Y47" s="75" t="b">
        <v>0</v>
      </c>
      <c r="Z47" s="77" t="s">
        <v>55</v>
      </c>
    </row>
    <row r="48" spans="1:26" ht="14.65" customHeight="1" x14ac:dyDescent="0.4">
      <c r="A48" cm="1">
        <f t="array" ref="A48">IF(IsCellInTableFirstRow($A48,table2025_2026[]),1,$A47+1)</f>
        <v>30</v>
      </c>
      <c r="B48" s="76">
        <v>46050</v>
      </c>
      <c r="C48" s="77" t="s">
        <v>17</v>
      </c>
      <c r="D48" cm="1">
        <f t="array" ref="D48">GetDaysSkiedAtResortRunningCount(table2025_2026[Resort Name], table2025_2026[[#This Row],[Resort Name]], table2025_2026[Date], table2025_2026[[#This Row],[Date]])</f>
        <v>3</v>
      </c>
      <c r="E48" s="78">
        <v>12345</v>
      </c>
      <c r="F48" s="78">
        <v>968</v>
      </c>
      <c r="G48" s="77" t="s">
        <v>42</v>
      </c>
      <c r="H48" cm="1">
        <f t="array" aca="1" ref="H48" ca="1">GetDaysSinceSkiMaintProc()</f>
        <v>0</v>
      </c>
      <c r="I48" s="75" t="b">
        <v>0</v>
      </c>
      <c r="J48" cm="1">
        <f t="array" aca="1" ref="J48" ca="1">GetDaysSinceSkiMaintProc()</f>
        <v>0</v>
      </c>
      <c r="K48" s="75" t="b">
        <v>0</v>
      </c>
      <c r="L48" s="77" cm="1">
        <f t="array" aca="1" ref="L48" ca="1">GetDaysSinceSkiMaintProc()</f>
        <v>17</v>
      </c>
      <c r="M48" s="75" t="b">
        <v>0</v>
      </c>
      <c r="N48" cm="1">
        <f t="array" aca="1" ref="N48" ca="1">GetDaysSinceSkiMaintProc()</f>
        <v>1</v>
      </c>
      <c r="O48" s="75" t="b">
        <v>0</v>
      </c>
      <c r="P48" cm="1">
        <f t="array" aca="1" ref="P48" ca="1">GetDaysSinceSkiMaintProc()</f>
        <v>1</v>
      </c>
      <c r="Q48" s="75" t="b">
        <v>0</v>
      </c>
      <c r="R48" cm="1">
        <f t="array" aca="1" ref="R48" ca="1">GetDaysSinceSkiMaintProc()</f>
        <v>18</v>
      </c>
      <c r="S48" s="75" t="b">
        <v>0</v>
      </c>
      <c r="T48" cm="1">
        <f t="array" aca="1" ref="T48" ca="1">GetDaysSinceSkiMaintProc()</f>
        <v>2</v>
      </c>
      <c r="U48" s="75" t="b">
        <v>0</v>
      </c>
      <c r="V48" cm="1">
        <f t="array" aca="1" ref="V48" ca="1">GetDaysSinceSkiMaintProc()</f>
        <v>0</v>
      </c>
      <c r="W48" s="75" t="b">
        <v>0</v>
      </c>
      <c r="X48" cm="1">
        <f t="array" aca="1" ref="X48" ca="1">GetDaysSinceSkiMaintProc()</f>
        <v>5</v>
      </c>
      <c r="Y48" s="75" t="b">
        <v>0</v>
      </c>
      <c r="Z48" s="77"/>
    </row>
    <row r="49" spans="1:26" ht="14.65" customHeight="1" x14ac:dyDescent="0.4">
      <c r="A49" cm="1">
        <f t="array" ref="A49">IF(IsCellInTableFirstRow($A49,table2025_2026[]),1,$A48+1)</f>
        <v>31</v>
      </c>
      <c r="B49" s="76">
        <v>46051</v>
      </c>
      <c r="C49" s="77" t="s">
        <v>17</v>
      </c>
      <c r="D49" cm="1">
        <f t="array" ref="D49">GetDaysSkiedAtResortRunningCount(table2025_2026[Resort Name], table2025_2026[[#This Row],[Resort Name]], table2025_2026[Date], table2025_2026[[#This Row],[Date]])</f>
        <v>4</v>
      </c>
      <c r="E49" s="78">
        <v>5335</v>
      </c>
      <c r="F49" s="78">
        <v>635</v>
      </c>
      <c r="G49" s="77" t="s">
        <v>42</v>
      </c>
      <c r="H49" cm="1">
        <f t="array" aca="1" ref="H49" ca="1">GetDaysSinceSkiMaintProc()</f>
        <v>0</v>
      </c>
      <c r="I49" s="75" t="b">
        <v>0</v>
      </c>
      <c r="J49" cm="1">
        <f t="array" aca="1" ref="J49" ca="1">GetDaysSinceSkiMaintProc()</f>
        <v>0</v>
      </c>
      <c r="K49" s="75" t="b">
        <v>0</v>
      </c>
      <c r="L49" s="77" cm="1">
        <f t="array" aca="1" ref="L49" ca="1">GetDaysSinceSkiMaintProc()</f>
        <v>17</v>
      </c>
      <c r="M49" s="75" t="b">
        <v>0</v>
      </c>
      <c r="N49" cm="1">
        <f t="array" aca="1" ref="N49" ca="1">GetDaysSinceSkiMaintProc()</f>
        <v>2</v>
      </c>
      <c r="O49" s="75" t="b">
        <v>0</v>
      </c>
      <c r="P49" cm="1">
        <f t="array" aca="1" ref="P49" ca="1">GetDaysSinceSkiMaintProc()</f>
        <v>2</v>
      </c>
      <c r="Q49" s="75" t="b">
        <v>0</v>
      </c>
      <c r="R49" cm="1">
        <f t="array" aca="1" ref="R49" ca="1">GetDaysSinceSkiMaintProc()</f>
        <v>19</v>
      </c>
      <c r="S49" s="75" t="b">
        <v>0</v>
      </c>
      <c r="T49" cm="1">
        <f t="array" aca="1" ref="T49" ca="1">GetDaysSinceSkiMaintProc()</f>
        <v>2</v>
      </c>
      <c r="U49" s="75" t="b">
        <v>0</v>
      </c>
      <c r="V49" cm="1">
        <f t="array" aca="1" ref="V49" ca="1">GetDaysSinceSkiMaintProc()</f>
        <v>0</v>
      </c>
      <c r="W49" s="75" t="b">
        <v>0</v>
      </c>
      <c r="X49" cm="1">
        <f t="array" aca="1" ref="X49" ca="1">GetDaysSinceSkiMaintProc()</f>
        <v>5</v>
      </c>
      <c r="Y49" s="75" t="b">
        <v>0</v>
      </c>
      <c r="Z49" s="77"/>
    </row>
    <row r="50" spans="1:26" ht="14.65" customHeight="1" x14ac:dyDescent="0.4">
      <c r="A50" cm="1">
        <f t="array" ref="A50">IF(IsCellInTableFirstRow($A50,table2025_2026[]),1,$A49+1)</f>
        <v>32</v>
      </c>
      <c r="B50" s="76">
        <v>46061</v>
      </c>
      <c r="C50" s="77" t="s">
        <v>12</v>
      </c>
      <c r="D50" cm="1">
        <f t="array" ref="D50">GetDaysSkiedAtResortRunningCount(table2025_2026[Resort Name], table2025_2026[[#This Row],[Resort Name]], table2025_2026[Date], table2025_2026[[#This Row],[Date]])</f>
        <v>1</v>
      </c>
      <c r="E50" s="78">
        <v>10160</v>
      </c>
      <c r="F50" s="78">
        <v>1834</v>
      </c>
      <c r="G50" s="77" t="s">
        <v>42</v>
      </c>
      <c r="H50" cm="1">
        <f t="array" aca="1" ref="H50" ca="1">GetDaysSinceSkiMaintProc()</f>
        <v>0</v>
      </c>
      <c r="I50" s="75" t="b">
        <v>0</v>
      </c>
      <c r="J50" cm="1">
        <f t="array" aca="1" ref="J50" ca="1">GetDaysSinceSkiMaintProc()</f>
        <v>0</v>
      </c>
      <c r="K50" s="75" t="b">
        <v>0</v>
      </c>
      <c r="L50" s="77" cm="1">
        <f t="array" aca="1" ref="L50" ca="1">GetDaysSinceSkiMaintProc()</f>
        <v>17</v>
      </c>
      <c r="M50" s="75" t="b">
        <v>0</v>
      </c>
      <c r="N50" cm="1">
        <f t="array" aca="1" ref="N50" ca="1">GetDaysSinceSkiMaintProc()</f>
        <v>3</v>
      </c>
      <c r="O50" s="75" t="b">
        <v>0</v>
      </c>
      <c r="P50" cm="1">
        <f t="array" aca="1" ref="P50" ca="1">GetDaysSinceSkiMaintProc()</f>
        <v>3</v>
      </c>
      <c r="Q50" s="75" t="b">
        <v>0</v>
      </c>
      <c r="R50" cm="1">
        <f t="array" aca="1" ref="R50" ca="1">GetDaysSinceSkiMaintProc()</f>
        <v>20</v>
      </c>
      <c r="S50" s="75" t="b">
        <v>0</v>
      </c>
      <c r="T50" cm="1">
        <f t="array" aca="1" ref="T50" ca="1">GetDaysSinceSkiMaintProc()</f>
        <v>2</v>
      </c>
      <c r="U50" s="75" t="b">
        <v>0</v>
      </c>
      <c r="V50" cm="1">
        <f t="array" aca="1" ref="V50" ca="1">GetDaysSinceSkiMaintProc()</f>
        <v>0</v>
      </c>
      <c r="W50" s="75" t="b">
        <v>0</v>
      </c>
      <c r="X50" cm="1">
        <f t="array" aca="1" ref="X50" ca="1">GetDaysSinceSkiMaintProc()</f>
        <v>5</v>
      </c>
      <c r="Y50" s="75" t="b">
        <v>0</v>
      </c>
      <c r="Z50" s="77"/>
    </row>
    <row r="51" spans="1:26" ht="14.65" customHeight="1" x14ac:dyDescent="0.4">
      <c r="A51" cm="1">
        <f t="array" ref="A51">IF(IsCellInTableFirstRow($A51,table2025_2026[]),1,$A50+1)</f>
        <v>33</v>
      </c>
      <c r="B51" s="76">
        <v>46062</v>
      </c>
      <c r="C51" s="77" t="s">
        <v>12</v>
      </c>
      <c r="D51" cm="1">
        <f t="array" ref="D51">GetDaysSkiedAtResortRunningCount(table2025_2026[Resort Name], table2025_2026[[#This Row],[Resort Name]], table2025_2026[Date], table2025_2026[[#This Row],[Date]])</f>
        <v>2</v>
      </c>
      <c r="E51" s="78">
        <v>11070</v>
      </c>
      <c r="F51" s="78">
        <v>1639</v>
      </c>
      <c r="G51" s="77" t="s">
        <v>42</v>
      </c>
      <c r="H51" cm="1">
        <f t="array" aca="1" ref="H51" ca="1">GetDaysSinceSkiMaintProc()</f>
        <v>0</v>
      </c>
      <c r="I51" s="75" t="b">
        <v>0</v>
      </c>
      <c r="J51" cm="1">
        <f t="array" aca="1" ref="J51" ca="1">GetDaysSinceSkiMaintProc()</f>
        <v>0</v>
      </c>
      <c r="K51" s="75" t="b">
        <v>0</v>
      </c>
      <c r="L51" s="77" cm="1">
        <f t="array" aca="1" ref="L51" ca="1">GetDaysSinceSkiMaintProc()</f>
        <v>17</v>
      </c>
      <c r="M51" s="75" t="b">
        <v>0</v>
      </c>
      <c r="N51" cm="1">
        <f t="array" aca="1" ref="N51" ca="1">GetDaysSinceSkiMaintProc()</f>
        <v>4</v>
      </c>
      <c r="O51" s="75" t="b">
        <v>0</v>
      </c>
      <c r="P51" cm="1">
        <f t="array" aca="1" ref="P51" ca="1">GetDaysSinceSkiMaintProc()</f>
        <v>4</v>
      </c>
      <c r="Q51" s="75" t="b">
        <v>0</v>
      </c>
      <c r="R51" cm="1">
        <f t="array" aca="1" ref="R51" ca="1">GetDaysSinceSkiMaintProc()</f>
        <v>21</v>
      </c>
      <c r="S51" s="75" t="b">
        <v>0</v>
      </c>
      <c r="T51" cm="1">
        <f t="array" aca="1" ref="T51" ca="1">GetDaysSinceSkiMaintProc()</f>
        <v>2</v>
      </c>
      <c r="U51" s="75" t="b">
        <v>0</v>
      </c>
      <c r="V51" cm="1">
        <f t="array" aca="1" ref="V51" ca="1">GetDaysSinceSkiMaintProc()</f>
        <v>0</v>
      </c>
      <c r="W51" s="75" t="b">
        <v>0</v>
      </c>
      <c r="X51" cm="1">
        <f t="array" aca="1" ref="X51" ca="1">GetDaysSinceSkiMaintProc()</f>
        <v>5</v>
      </c>
      <c r="Y51" s="75" t="b">
        <v>0</v>
      </c>
      <c r="Z51" s="77"/>
    </row>
    <row r="52" spans="1:26" ht="14.65" customHeight="1" x14ac:dyDescent="0.4">
      <c r="A52" cm="1">
        <f t="array" ref="A52">IF(IsCellInTableFirstRow($A52,table2025_2026[]),1,$A51+1)</f>
        <v>34</v>
      </c>
      <c r="B52" s="76">
        <v>46063</v>
      </c>
      <c r="C52" s="77" t="s">
        <v>12</v>
      </c>
      <c r="D52" cm="1">
        <f t="array" ref="D52">GetDaysSkiedAtResortRunningCount(table2025_2026[Resort Name], table2025_2026[[#This Row],[Resort Name]], table2025_2026[Date], table2025_2026[[#This Row],[Date]])</f>
        <v>3</v>
      </c>
      <c r="E52" s="78">
        <v>10410</v>
      </c>
      <c r="F52" s="78">
        <v>1800</v>
      </c>
      <c r="G52" s="77" t="s">
        <v>42</v>
      </c>
      <c r="H52" cm="1">
        <f t="array" aca="1" ref="H52" ca="1">GetDaysSinceSkiMaintProc()</f>
        <v>0</v>
      </c>
      <c r="I52" s="75" t="b">
        <v>0</v>
      </c>
      <c r="J52" cm="1">
        <f t="array" aca="1" ref="J52" ca="1">GetDaysSinceSkiMaintProc()</f>
        <v>0</v>
      </c>
      <c r="K52" s="75" t="b">
        <v>0</v>
      </c>
      <c r="L52" s="77" cm="1">
        <f t="array" aca="1" ref="L52" ca="1">GetDaysSinceSkiMaintProc()</f>
        <v>17</v>
      </c>
      <c r="M52" s="75" t="b">
        <v>0</v>
      </c>
      <c r="N52" cm="1">
        <f t="array" aca="1" ref="N52" ca="1">GetDaysSinceSkiMaintProc()</f>
        <v>5</v>
      </c>
      <c r="O52" s="75" t="b">
        <v>0</v>
      </c>
      <c r="P52" cm="1">
        <f t="array" aca="1" ref="P52" ca="1">GetDaysSinceSkiMaintProc()</f>
        <v>5</v>
      </c>
      <c r="Q52" s="75" t="b">
        <v>0</v>
      </c>
      <c r="R52" cm="1">
        <f t="array" aca="1" ref="R52" ca="1">GetDaysSinceSkiMaintProc()</f>
        <v>22</v>
      </c>
      <c r="S52" s="75" t="b">
        <v>0</v>
      </c>
      <c r="T52" cm="1">
        <f t="array" aca="1" ref="T52" ca="1">GetDaysSinceSkiMaintProc()</f>
        <v>2</v>
      </c>
      <c r="U52" s="75" t="b">
        <v>0</v>
      </c>
      <c r="V52" cm="1">
        <f t="array" aca="1" ref="V52" ca="1">GetDaysSinceSkiMaintProc()</f>
        <v>0</v>
      </c>
      <c r="W52" s="75" t="b">
        <v>0</v>
      </c>
      <c r="X52" cm="1">
        <f t="array" aca="1" ref="X52" ca="1">GetDaysSinceSkiMaintProc()</f>
        <v>5</v>
      </c>
      <c r="Y52" s="75" t="b">
        <v>0</v>
      </c>
      <c r="Z52" s="77"/>
    </row>
    <row r="53" spans="1:26" ht="14.65" customHeight="1" x14ac:dyDescent="0.4">
      <c r="A53" cm="1">
        <f t="array" ref="A53">IF(IsCellInTableFirstRow($A53,table2025_2026[]),1,$A52+1)</f>
        <v>35</v>
      </c>
      <c r="B53" s="76">
        <v>46064</v>
      </c>
      <c r="C53" s="77" t="s">
        <v>12</v>
      </c>
      <c r="D53" cm="1">
        <f t="array" ref="D53">GetDaysSkiedAtResortRunningCount(table2025_2026[Resort Name], table2025_2026[[#This Row],[Resort Name]], table2025_2026[Date], table2025_2026[[#This Row],[Date]])</f>
        <v>4</v>
      </c>
      <c r="E53" s="78">
        <v>10810</v>
      </c>
      <c r="F53" s="78">
        <v>1467</v>
      </c>
      <c r="G53" s="77" t="s">
        <v>42</v>
      </c>
      <c r="H53" cm="1">
        <f t="array" aca="1" ref="H53" ca="1">GetDaysSinceSkiMaintProc()</f>
        <v>0</v>
      </c>
      <c r="I53" s="75" t="b">
        <v>0</v>
      </c>
      <c r="J53" cm="1">
        <f t="array" aca="1" ref="J53" ca="1">GetDaysSinceSkiMaintProc()</f>
        <v>0</v>
      </c>
      <c r="K53" s="75" t="b">
        <v>0</v>
      </c>
      <c r="L53" s="77" cm="1">
        <f t="array" aca="1" ref="L53" ca="1">GetDaysSinceSkiMaintProc()</f>
        <v>17</v>
      </c>
      <c r="M53" s="75" t="b">
        <v>0</v>
      </c>
      <c r="N53" cm="1">
        <f t="array" aca="1" ref="N53" ca="1">GetDaysSinceSkiMaintProc()</f>
        <v>6</v>
      </c>
      <c r="O53" s="75" t="b">
        <v>1</v>
      </c>
      <c r="P53" cm="1">
        <f t="array" aca="1" ref="P53" ca="1">GetDaysSinceSkiMaintProc()</f>
        <v>6</v>
      </c>
      <c r="Q53" s="75" t="b">
        <v>1</v>
      </c>
      <c r="R53" cm="1">
        <f t="array" aca="1" ref="R53" ca="1">GetDaysSinceSkiMaintProc()</f>
        <v>23</v>
      </c>
      <c r="S53" s="75" t="b">
        <v>0</v>
      </c>
      <c r="T53" cm="1">
        <f t="array" aca="1" ref="T53" ca="1">GetDaysSinceSkiMaintProc()</f>
        <v>2</v>
      </c>
      <c r="U53" s="75" t="b">
        <v>0</v>
      </c>
      <c r="V53" cm="1">
        <f t="array" aca="1" ref="V53" ca="1">GetDaysSinceSkiMaintProc()</f>
        <v>0</v>
      </c>
      <c r="W53" s="75" t="b">
        <v>0</v>
      </c>
      <c r="X53" cm="1">
        <f t="array" aca="1" ref="X53" ca="1">GetDaysSinceSkiMaintProc()</f>
        <v>5</v>
      </c>
      <c r="Y53" s="75" t="b">
        <v>0</v>
      </c>
      <c r="Z53" s="77"/>
    </row>
    <row r="54" spans="1:26" ht="14.65" customHeight="1" x14ac:dyDescent="0.4">
      <c r="A54" cm="1">
        <f t="array" ref="A54">IF(IsCellInTableFirstRow($A54,table2025_2026[]),1,$A53+1)</f>
        <v>36</v>
      </c>
      <c r="B54" s="76">
        <v>46065</v>
      </c>
      <c r="C54" s="77" t="s">
        <v>12</v>
      </c>
      <c r="D54" cm="1">
        <f t="array" ref="D54">GetDaysSkiedAtResortRunningCount(table2025_2026[Resort Name], table2025_2026[[#This Row],[Resort Name]], table2025_2026[Date], table2025_2026[[#This Row],[Date]])</f>
        <v>5</v>
      </c>
      <c r="E54" s="78">
        <v>11570</v>
      </c>
      <c r="F54" s="78">
        <v>1303</v>
      </c>
      <c r="G54" s="77" t="s">
        <v>42</v>
      </c>
      <c r="H54" cm="1">
        <f t="array" aca="1" ref="H54" ca="1">GetDaysSinceSkiMaintProc()</f>
        <v>0</v>
      </c>
      <c r="I54" s="75" t="b">
        <v>0</v>
      </c>
      <c r="J54" cm="1">
        <f t="array" aca="1" ref="J54" ca="1">GetDaysSinceSkiMaintProc()</f>
        <v>0</v>
      </c>
      <c r="K54" s="75" t="b">
        <v>0</v>
      </c>
      <c r="L54" s="77" cm="1">
        <f t="array" aca="1" ref="L54" ca="1">GetDaysSinceSkiMaintProc()</f>
        <v>17</v>
      </c>
      <c r="M54" s="75" t="b">
        <v>0</v>
      </c>
      <c r="N54" cm="1">
        <f t="array" aca="1" ref="N54" ca="1">GetDaysSinceSkiMaintProc()</f>
        <v>1</v>
      </c>
      <c r="O54" s="75" t="b">
        <v>0</v>
      </c>
      <c r="P54" cm="1">
        <f t="array" aca="1" ref="P54" ca="1">GetDaysSinceSkiMaintProc()</f>
        <v>1</v>
      </c>
      <c r="Q54" s="75" t="b">
        <v>0</v>
      </c>
      <c r="R54" cm="1">
        <f t="array" aca="1" ref="R54" ca="1">GetDaysSinceSkiMaintProc()</f>
        <v>24</v>
      </c>
      <c r="S54" s="75" t="b">
        <v>0</v>
      </c>
      <c r="T54" cm="1">
        <f t="array" aca="1" ref="T54" ca="1">GetDaysSinceSkiMaintProc()</f>
        <v>2</v>
      </c>
      <c r="U54" s="75" t="b">
        <v>0</v>
      </c>
      <c r="V54" cm="1">
        <f t="array" aca="1" ref="V54" ca="1">GetDaysSinceSkiMaintProc()</f>
        <v>0</v>
      </c>
      <c r="W54" s="75" t="b">
        <v>0</v>
      </c>
      <c r="X54" cm="1">
        <f t="array" aca="1" ref="X54" ca="1">GetDaysSinceSkiMaintProc()</f>
        <v>5</v>
      </c>
      <c r="Y54" s="75" t="b">
        <v>0</v>
      </c>
      <c r="Z54" s="77"/>
    </row>
    <row r="55" spans="1:26" ht="14.65" customHeight="1" x14ac:dyDescent="0.4">
      <c r="A55" cm="1">
        <f t="array" ref="A55">IF(IsCellInTableFirstRow($A55,table2025_2026[]),1,$A54+1)</f>
        <v>37</v>
      </c>
      <c r="B55" s="76">
        <v>46066</v>
      </c>
      <c r="C55" s="77" t="s">
        <v>12</v>
      </c>
      <c r="D55" cm="1">
        <f t="array" ref="D55">GetDaysSkiedAtResortRunningCount(table2025_2026[Resort Name], table2025_2026[[#This Row],[Resort Name]], table2025_2026[Date], table2025_2026[[#This Row],[Date]])</f>
        <v>6</v>
      </c>
      <c r="E55" s="78">
        <v>10585</v>
      </c>
      <c r="F55" s="78">
        <v>2244</v>
      </c>
      <c r="G55" s="77" t="s">
        <v>42</v>
      </c>
      <c r="H55" cm="1">
        <f t="array" aca="1" ref="H55" ca="1">GetDaysSinceSkiMaintProc()</f>
        <v>0</v>
      </c>
      <c r="I55" s="75" t="b">
        <v>0</v>
      </c>
      <c r="J55" cm="1">
        <f t="array" aca="1" ref="J55" ca="1">GetDaysSinceSkiMaintProc()</f>
        <v>0</v>
      </c>
      <c r="K55" s="75" t="b">
        <v>0</v>
      </c>
      <c r="L55" s="77" cm="1">
        <f t="array" aca="1" ref="L55" ca="1">GetDaysSinceSkiMaintProc()</f>
        <v>17</v>
      </c>
      <c r="M55" s="75" t="b">
        <v>0</v>
      </c>
      <c r="N55" cm="1">
        <f t="array" aca="1" ref="N55" ca="1">GetDaysSinceSkiMaintProc()</f>
        <v>2</v>
      </c>
      <c r="O55" s="75" t="b">
        <v>0</v>
      </c>
      <c r="P55" cm="1">
        <f t="array" aca="1" ref="P55" ca="1">GetDaysSinceSkiMaintProc()</f>
        <v>2</v>
      </c>
      <c r="Q55" s="75" t="b">
        <v>0</v>
      </c>
      <c r="R55" cm="1">
        <f t="array" aca="1" ref="R55" ca="1">GetDaysSinceSkiMaintProc()</f>
        <v>25</v>
      </c>
      <c r="S55" s="75" t="b">
        <v>0</v>
      </c>
      <c r="T55" cm="1">
        <f t="array" aca="1" ref="T55" ca="1">GetDaysSinceSkiMaintProc()</f>
        <v>2</v>
      </c>
      <c r="U55" s="75" t="b">
        <v>0</v>
      </c>
      <c r="V55" cm="1">
        <f t="array" aca="1" ref="V55" ca="1">GetDaysSinceSkiMaintProc()</f>
        <v>0</v>
      </c>
      <c r="W55" s="75" t="b">
        <v>0</v>
      </c>
      <c r="X55" cm="1">
        <f t="array" aca="1" ref="X55" ca="1">GetDaysSinceSkiMaintProc()</f>
        <v>5</v>
      </c>
      <c r="Y55" s="75" t="b">
        <v>0</v>
      </c>
      <c r="Z55" s="77"/>
    </row>
    <row r="56" spans="1:26" ht="14.65" customHeight="1" x14ac:dyDescent="0.4">
      <c r="A56" cm="1">
        <f t="array" ref="A56">IF(IsCellInTableFirstRow($A56,table2025_2026[]),1,$A55+1)</f>
        <v>38</v>
      </c>
      <c r="B56" s="76">
        <v>46067</v>
      </c>
      <c r="C56" s="77" t="s">
        <v>12</v>
      </c>
      <c r="D56" cm="1">
        <f t="array" ref="D56">GetDaysSkiedAtResortRunningCount(table2025_2026[Resort Name], table2025_2026[[#This Row],[Resort Name]], table2025_2026[Date], table2025_2026[[#This Row],[Date]])</f>
        <v>7</v>
      </c>
      <c r="E56" s="78">
        <v>6605</v>
      </c>
      <c r="F56" s="78">
        <v>1302</v>
      </c>
      <c r="G56" s="77" t="s">
        <v>41</v>
      </c>
      <c r="H56" cm="1">
        <f t="array" aca="1" ref="H56" ca="1">GetDaysSinceSkiMaintProc()</f>
        <v>1</v>
      </c>
      <c r="I56" s="75" t="b">
        <v>0</v>
      </c>
      <c r="J56" cm="1">
        <f t="array" aca="1" ref="J56" ca="1">GetDaysSinceSkiMaintProc()</f>
        <v>1</v>
      </c>
      <c r="K56" s="75" t="b">
        <v>0</v>
      </c>
      <c r="L56" s="77" cm="1">
        <f t="array" aca="1" ref="L56" ca="1">GetDaysSinceSkiMaintProc()</f>
        <v>18</v>
      </c>
      <c r="M56" s="75" t="b">
        <v>0</v>
      </c>
      <c r="N56" cm="1">
        <f t="array" aca="1" ref="N56" ca="1">GetDaysSinceSkiMaintProc()</f>
        <v>2</v>
      </c>
      <c r="O56" s="75" t="b">
        <v>0</v>
      </c>
      <c r="P56" cm="1">
        <f t="array" aca="1" ref="P56" ca="1">GetDaysSinceSkiMaintProc()</f>
        <v>2</v>
      </c>
      <c r="Q56" s="75" t="b">
        <v>0</v>
      </c>
      <c r="R56" cm="1">
        <f t="array" aca="1" ref="R56" ca="1">GetDaysSinceSkiMaintProc()</f>
        <v>25</v>
      </c>
      <c r="S56" s="75" t="b">
        <v>0</v>
      </c>
      <c r="T56" cm="1">
        <f t="array" aca="1" ref="T56" ca="1">GetDaysSinceSkiMaintProc()</f>
        <v>2</v>
      </c>
      <c r="U56" s="75" t="b">
        <v>0</v>
      </c>
      <c r="V56" cm="1">
        <f t="array" aca="1" ref="V56" ca="1">GetDaysSinceSkiMaintProc()</f>
        <v>0</v>
      </c>
      <c r="W56" s="75" t="b">
        <v>0</v>
      </c>
      <c r="X56" cm="1">
        <f t="array" aca="1" ref="X56" ca="1">GetDaysSinceSkiMaintProc()</f>
        <v>5</v>
      </c>
      <c r="Y56" s="75" t="b">
        <v>0</v>
      </c>
      <c r="Z56" s="77"/>
    </row>
    <row r="57" spans="1:26" ht="14.75" customHeight="1" x14ac:dyDescent="0.4">
      <c r="A57" cm="1">
        <f t="array" ref="A57">IF(IsCellInTableFirstRow($A57,table2025_2026[]),1,$A56+1)</f>
        <v>39</v>
      </c>
      <c r="B57" s="76">
        <v>46069</v>
      </c>
      <c r="C57" s="77" t="s">
        <v>12</v>
      </c>
      <c r="D57" cm="1">
        <f t="array" ref="D57">GetDaysSkiedAtResortRunningCount(table2025_2026[Resort Name], table2025_2026[[#This Row],[Resort Name]], table2025_2026[Date], table2025_2026[[#This Row],[Date]])</f>
        <v>8</v>
      </c>
      <c r="E57" s="78">
        <v>10780</v>
      </c>
      <c r="F57" s="78">
        <v>2064</v>
      </c>
      <c r="G57" s="77" t="s">
        <v>42</v>
      </c>
      <c r="H57" cm="1">
        <f t="array" aca="1" ref="H57" ca="1">GetDaysSinceSkiMaintProc()</f>
        <v>1</v>
      </c>
      <c r="I57" s="75" t="b">
        <v>1</v>
      </c>
      <c r="J57" cm="1">
        <f t="array" aca="1" ref="J57" ca="1">GetDaysSinceSkiMaintProc()</f>
        <v>1</v>
      </c>
      <c r="K57" s="75" t="b">
        <v>1</v>
      </c>
      <c r="L57" s="77" cm="1">
        <f t="array" aca="1" ref="L57" ca="1">GetDaysSinceSkiMaintProc()</f>
        <v>18</v>
      </c>
      <c r="M57" s="75" t="b">
        <v>0</v>
      </c>
      <c r="N57" cm="1">
        <f t="array" aca="1" ref="N57" ca="1">GetDaysSinceSkiMaintProc()</f>
        <v>3</v>
      </c>
      <c r="O57" s="75" t="b">
        <v>1</v>
      </c>
      <c r="P57" cm="1">
        <f t="array" aca="1" ref="P57" ca="1">GetDaysSinceSkiMaintProc()</f>
        <v>3</v>
      </c>
      <c r="Q57" s="75" t="b">
        <v>1</v>
      </c>
      <c r="R57" cm="1">
        <f t="array" aca="1" ref="R57" ca="1">GetDaysSinceSkiMaintProc()</f>
        <v>26</v>
      </c>
      <c r="S57" s="75" t="b">
        <v>0</v>
      </c>
      <c r="T57" cm="1">
        <f t="array" aca="1" ref="T57" ca="1">GetDaysSinceSkiMaintProc()</f>
        <v>2</v>
      </c>
      <c r="U57" s="75" t="b">
        <v>0</v>
      </c>
      <c r="V57" cm="1">
        <f t="array" aca="1" ref="V57" ca="1">GetDaysSinceSkiMaintProc()</f>
        <v>0</v>
      </c>
      <c r="W57" s="75" t="b">
        <v>0</v>
      </c>
      <c r="X57" cm="1">
        <f t="array" aca="1" ref="X57" ca="1">GetDaysSinceSkiMaintProc()</f>
        <v>5</v>
      </c>
      <c r="Y57" s="75" t="b">
        <v>0</v>
      </c>
      <c r="Z57" s="77"/>
    </row>
    <row r="58" spans="1:26" ht="14.5" customHeight="1" x14ac:dyDescent="0.4">
      <c r="A58" cm="1">
        <f t="array" ref="A58">IF(IsCellInTableFirstRow($A58,table2025_2026[]),1,$A57+1)</f>
        <v>40</v>
      </c>
      <c r="B58" s="76">
        <v>46076</v>
      </c>
      <c r="C58" s="77" t="s">
        <v>52</v>
      </c>
      <c r="D58" cm="1">
        <f t="array" ref="D58">GetDaysSkiedAtResortRunningCount(table2025_2026[Resort Name], table2025_2026[[#This Row],[Resort Name]], table2025_2026[Date], table2025_2026[[#This Row],[Date]])</f>
        <v>2</v>
      </c>
      <c r="E58" s="128">
        <v>5825</v>
      </c>
      <c r="F58" s="128">
        <v>1269</v>
      </c>
      <c r="G58" s="77" t="s">
        <v>41</v>
      </c>
      <c r="H58" cm="1">
        <f t="array" aca="1" ref="H58" ca="1">GetDaysSinceSkiMaintProc()</f>
        <v>1</v>
      </c>
      <c r="I58" s="75" t="b">
        <v>0</v>
      </c>
      <c r="J58" cm="1">
        <f t="array" aca="1" ref="J58" ca="1">GetDaysSinceSkiMaintProc()</f>
        <v>1</v>
      </c>
      <c r="K58" s="75" t="b">
        <v>0</v>
      </c>
      <c r="L58" s="77" cm="1">
        <f t="array" aca="1" ref="L58" ca="1">GetDaysSinceSkiMaintProc()</f>
        <v>19</v>
      </c>
      <c r="M58" s="75" t="b">
        <v>0</v>
      </c>
      <c r="N58" cm="1">
        <f t="array" aca="1" ref="N58" ca="1">GetDaysSinceSkiMaintProc()</f>
        <v>0</v>
      </c>
      <c r="O58" s="75" t="b">
        <v>0</v>
      </c>
      <c r="P58" cm="1">
        <f t="array" aca="1" ref="P58" ca="1">GetDaysSinceSkiMaintProc()</f>
        <v>0</v>
      </c>
      <c r="Q58" s="75" t="b">
        <v>0</v>
      </c>
      <c r="R58" cm="1">
        <f t="array" aca="1" ref="R58" ca="1">GetDaysSinceSkiMaintProc()</f>
        <v>26</v>
      </c>
      <c r="S58" s="75" t="b">
        <v>0</v>
      </c>
      <c r="T58" cm="1">
        <f t="array" aca="1" ref="T58" ca="1">GetDaysSinceSkiMaintProc()</f>
        <v>2</v>
      </c>
      <c r="U58" s="75" t="b">
        <v>0</v>
      </c>
      <c r="V58" cm="1">
        <f t="array" aca="1" ref="V58" ca="1">GetDaysSinceSkiMaintProc()</f>
        <v>0</v>
      </c>
      <c r="W58" s="75" t="b">
        <v>0</v>
      </c>
      <c r="X58" cm="1">
        <f t="array" aca="1" ref="X58" ca="1">GetDaysSinceSkiMaintProc()</f>
        <v>5</v>
      </c>
      <c r="Y58" s="75" t="b">
        <v>0</v>
      </c>
      <c r="Z58" s="77"/>
    </row>
    <row r="59" spans="1:26" ht="14.75" customHeight="1" x14ac:dyDescent="0.4">
      <c r="A59" cm="1">
        <f t="array" ref="A59">IF(IsCellInTableFirstRow($A59,table2025_2026[]),1,$A58+1)</f>
        <v>41</v>
      </c>
      <c r="B59" s="76">
        <v>46077</v>
      </c>
      <c r="C59" s="77" t="s">
        <v>51</v>
      </c>
      <c r="D59" cm="1">
        <f t="array" ref="D59">GetDaysSkiedAtResortRunningCount(table2025_2026[Resort Name], table2025_2026[[#This Row],[Resort Name]], table2025_2026[Date], table2025_2026[[#This Row],[Date]])</f>
        <v>1</v>
      </c>
      <c r="E59" s="128">
        <v>8370</v>
      </c>
      <c r="F59" s="128">
        <v>1245</v>
      </c>
      <c r="G59" s="77" t="s">
        <v>41</v>
      </c>
      <c r="H59" cm="1">
        <f t="array" aca="1" ref="H59" ca="1">GetDaysSinceSkiMaintProc()</f>
        <v>2</v>
      </c>
      <c r="I59" s="75" t="b">
        <v>0</v>
      </c>
      <c r="J59" cm="1">
        <f t="array" aca="1" ref="J59" ca="1">GetDaysSinceSkiMaintProc()</f>
        <v>2</v>
      </c>
      <c r="K59" s="75" t="b">
        <v>0</v>
      </c>
      <c r="L59" s="77" cm="1">
        <f t="array" aca="1" ref="L59" ca="1">GetDaysSinceSkiMaintProc()</f>
        <v>20</v>
      </c>
      <c r="M59" s="75" t="b">
        <v>0</v>
      </c>
      <c r="N59" cm="1">
        <f t="array" aca="1" ref="N59" ca="1">GetDaysSinceSkiMaintProc()</f>
        <v>0</v>
      </c>
      <c r="O59" s="75" t="b">
        <v>0</v>
      </c>
      <c r="P59" cm="1">
        <f t="array" aca="1" ref="P59" ca="1">GetDaysSinceSkiMaintProc()</f>
        <v>0</v>
      </c>
      <c r="Q59" s="75" t="b">
        <v>0</v>
      </c>
      <c r="R59" cm="1">
        <f t="array" aca="1" ref="R59" ca="1">GetDaysSinceSkiMaintProc()</f>
        <v>26</v>
      </c>
      <c r="S59" s="75" t="b">
        <v>0</v>
      </c>
      <c r="T59" cm="1">
        <f t="array" aca="1" ref="T59" ca="1">GetDaysSinceSkiMaintProc()</f>
        <v>2</v>
      </c>
      <c r="U59" s="75" t="b">
        <v>0</v>
      </c>
      <c r="V59" cm="1">
        <f t="array" aca="1" ref="V59" ca="1">GetDaysSinceSkiMaintProc()</f>
        <v>0</v>
      </c>
      <c r="W59" s="75" t="b">
        <v>0</v>
      </c>
      <c r="X59" cm="1">
        <f t="array" aca="1" ref="X59" ca="1">GetDaysSinceSkiMaintProc()</f>
        <v>5</v>
      </c>
      <c r="Y59" s="75" t="b">
        <v>0</v>
      </c>
      <c r="Z59" s="77"/>
    </row>
    <row r="60" spans="1:26" ht="14.65" customHeight="1" x14ac:dyDescent="0.4">
      <c r="A60" cm="1">
        <f t="array" ref="A60">IF(IsCellInTableFirstRow($A60,table2025_2026[]),1,$A59+1)</f>
        <v>42</v>
      </c>
      <c r="B60" s="76">
        <v>46078</v>
      </c>
      <c r="C60" s="77" t="s">
        <v>51</v>
      </c>
      <c r="D60" cm="1">
        <f t="array" ref="D60">GetDaysSkiedAtResortRunningCount(table2025_2026[Resort Name], table2025_2026[[#This Row],[Resort Name]], table2025_2026[Date], table2025_2026[[#This Row],[Date]])</f>
        <v>2</v>
      </c>
      <c r="E60" s="128">
        <v>13311</v>
      </c>
      <c r="F60" s="128">
        <v>1546</v>
      </c>
      <c r="G60" s="77" t="s">
        <v>42</v>
      </c>
      <c r="H60" cm="1">
        <f t="array" aca="1" ref="H60" ca="1">GetDaysSinceSkiMaintProc()</f>
        <v>2</v>
      </c>
      <c r="I60" s="75" t="b">
        <v>0</v>
      </c>
      <c r="J60" cm="1">
        <f t="array" aca="1" ref="J60" ca="1">GetDaysSinceSkiMaintProc()</f>
        <v>2</v>
      </c>
      <c r="K60" s="75" t="b">
        <v>0</v>
      </c>
      <c r="L60" s="77" cm="1">
        <f t="array" aca="1" ref="L60" ca="1">GetDaysSinceSkiMaintProc()</f>
        <v>20</v>
      </c>
      <c r="M60" s="75" t="b">
        <v>0</v>
      </c>
      <c r="N60" cm="1">
        <f t="array" aca="1" ref="N60" ca="1">GetDaysSinceSkiMaintProc()</f>
        <v>1</v>
      </c>
      <c r="O60" s="75" t="b">
        <v>0</v>
      </c>
      <c r="P60" cm="1">
        <f t="array" aca="1" ref="P60" ca="1">GetDaysSinceSkiMaintProc()</f>
        <v>1</v>
      </c>
      <c r="Q60" s="75" t="b">
        <v>0</v>
      </c>
      <c r="R60" cm="1">
        <f t="array" aca="1" ref="R60" ca="1">GetDaysSinceSkiMaintProc()</f>
        <v>27</v>
      </c>
      <c r="S60" s="75" t="b">
        <v>0</v>
      </c>
      <c r="T60" cm="1">
        <f t="array" aca="1" ref="T60" ca="1">GetDaysSinceSkiMaintProc()</f>
        <v>2</v>
      </c>
      <c r="U60" s="75" t="b">
        <v>0</v>
      </c>
      <c r="V60" cm="1">
        <f t="array" aca="1" ref="V60" ca="1">GetDaysSinceSkiMaintProc()</f>
        <v>0</v>
      </c>
      <c r="W60" s="75" t="b">
        <v>0</v>
      </c>
      <c r="X60" cm="1">
        <f t="array" aca="1" ref="X60" ca="1">GetDaysSinceSkiMaintProc()</f>
        <v>5</v>
      </c>
      <c r="Y60" s="75" t="b">
        <v>0</v>
      </c>
      <c r="Z60" s="77"/>
    </row>
    <row r="61" spans="1:26" ht="14.75" customHeight="1" x14ac:dyDescent="0.4">
      <c r="A61" cm="1">
        <f t="array" ref="A61">IF(IsCellInTableFirstRow($A61,table2025_2026[]),1,$A60+1)</f>
        <v>43</v>
      </c>
      <c r="B61" s="76">
        <v>46079</v>
      </c>
      <c r="C61" s="77" t="s">
        <v>51</v>
      </c>
      <c r="D61" cm="1">
        <f t="array" ref="D61">GetDaysSkiedAtResortRunningCount(table2025_2026[Resort Name], table2025_2026[[#This Row],[Resort Name]], table2025_2026[Date], table2025_2026[[#This Row],[Date]])</f>
        <v>3</v>
      </c>
      <c r="E61" s="128">
        <v>9160</v>
      </c>
      <c r="F61" s="128">
        <v>961</v>
      </c>
      <c r="G61" s="77" t="s">
        <v>42</v>
      </c>
      <c r="H61" cm="1">
        <f t="array" aca="1" ref="H61" ca="1">GetDaysSinceSkiMaintProc()</f>
        <v>2</v>
      </c>
      <c r="I61" s="75" t="b">
        <v>0</v>
      </c>
      <c r="J61" cm="1">
        <f t="array" aca="1" ref="J61" ca="1">GetDaysSinceSkiMaintProc()</f>
        <v>2</v>
      </c>
      <c r="K61" s="75" t="b">
        <v>0</v>
      </c>
      <c r="L61" s="77" cm="1">
        <f t="array" aca="1" ref="L61" ca="1">GetDaysSinceSkiMaintProc()</f>
        <v>20</v>
      </c>
      <c r="M61" s="75" t="b">
        <v>0</v>
      </c>
      <c r="N61" cm="1">
        <f t="array" aca="1" ref="N61" ca="1">GetDaysSinceSkiMaintProc()</f>
        <v>2</v>
      </c>
      <c r="O61" s="75" t="b">
        <v>0</v>
      </c>
      <c r="P61" cm="1">
        <f t="array" aca="1" ref="P61" ca="1">GetDaysSinceSkiMaintProc()</f>
        <v>2</v>
      </c>
      <c r="Q61" s="75" t="b">
        <v>0</v>
      </c>
      <c r="R61" cm="1">
        <f t="array" aca="1" ref="R61" ca="1">GetDaysSinceSkiMaintProc()</f>
        <v>28</v>
      </c>
      <c r="S61" s="75" t="b">
        <v>0</v>
      </c>
      <c r="T61" cm="1">
        <f t="array" aca="1" ref="T61" ca="1">GetDaysSinceSkiMaintProc()</f>
        <v>2</v>
      </c>
      <c r="U61" s="75" t="b">
        <v>0</v>
      </c>
      <c r="V61" cm="1">
        <f t="array" aca="1" ref="V61" ca="1">GetDaysSinceSkiMaintProc()</f>
        <v>0</v>
      </c>
      <c r="W61" s="75" t="b">
        <v>0</v>
      </c>
      <c r="X61" cm="1">
        <f t="array" aca="1" ref="X61" ca="1">GetDaysSinceSkiMaintProc()</f>
        <v>5</v>
      </c>
      <c r="Y61" s="75" t="b">
        <v>0</v>
      </c>
      <c r="Z61" s="77"/>
    </row>
    <row r="62" spans="1:26" ht="14.75" customHeight="1" x14ac:dyDescent="0.4">
      <c r="A62" cm="1">
        <f t="array" ref="A62">IF(IsCellInTableFirstRow($A62,table2025_2026[]),1,$A61+1)</f>
        <v>44</v>
      </c>
      <c r="B62" s="76">
        <v>46080</v>
      </c>
      <c r="C62" s="77" t="s">
        <v>51</v>
      </c>
      <c r="D62" cm="1">
        <f t="array" ref="D62">GetDaysSkiedAtResortRunningCount(table2025_2026[Resort Name], table2025_2026[[#This Row],[Resort Name]], table2025_2026[Date], table2025_2026[[#This Row],[Date]])</f>
        <v>4</v>
      </c>
      <c r="E62" s="128">
        <v>9520</v>
      </c>
      <c r="F62" s="128">
        <v>1328</v>
      </c>
      <c r="G62" s="77" t="s">
        <v>41</v>
      </c>
      <c r="H62" cm="1">
        <f t="array" aca="1" ref="H62" ca="1">GetDaysSinceSkiMaintProc()</f>
        <v>3</v>
      </c>
      <c r="I62" s="75" t="b">
        <v>0</v>
      </c>
      <c r="J62" cm="1">
        <f t="array" aca="1" ref="J62" ca="1">GetDaysSinceSkiMaintProc()</f>
        <v>3</v>
      </c>
      <c r="K62" s="75" t="b">
        <v>0</v>
      </c>
      <c r="L62" s="77" cm="1">
        <f t="array" aca="1" ref="L62" ca="1">GetDaysSinceSkiMaintProc()</f>
        <v>21</v>
      </c>
      <c r="M62" s="75" t="b">
        <v>0</v>
      </c>
      <c r="N62" cm="1">
        <f t="array" aca="1" ref="N62" ca="1">GetDaysSinceSkiMaintProc()</f>
        <v>2</v>
      </c>
      <c r="O62" s="75" t="b">
        <v>0</v>
      </c>
      <c r="P62" cm="1">
        <f t="array" aca="1" ref="P62" ca="1">GetDaysSinceSkiMaintProc()</f>
        <v>2</v>
      </c>
      <c r="Q62" s="75" t="b">
        <v>0</v>
      </c>
      <c r="R62" cm="1">
        <f t="array" aca="1" ref="R62" ca="1">GetDaysSinceSkiMaintProc()</f>
        <v>28</v>
      </c>
      <c r="S62" s="75" t="b">
        <v>0</v>
      </c>
      <c r="T62" cm="1">
        <f t="array" aca="1" ref="T62" ca="1">GetDaysSinceSkiMaintProc()</f>
        <v>2</v>
      </c>
      <c r="U62" s="75" t="b">
        <v>0</v>
      </c>
      <c r="V62" cm="1">
        <f t="array" aca="1" ref="V62" ca="1">GetDaysSinceSkiMaintProc()</f>
        <v>0</v>
      </c>
      <c r="W62" s="75" t="b">
        <v>0</v>
      </c>
      <c r="X62" cm="1">
        <f t="array" aca="1" ref="X62" ca="1">GetDaysSinceSkiMaintProc()</f>
        <v>5</v>
      </c>
      <c r="Y62" s="75" t="b">
        <v>0</v>
      </c>
      <c r="Z62" s="77"/>
    </row>
    <row r="63" spans="1:26" ht="14.4" customHeight="1" x14ac:dyDescent="0.4">
      <c r="A63" cm="1">
        <f t="array" ref="A63">IF(IsCellInTableFirstRow($A63,table2025_2026[]),1,$A62+1)</f>
        <v>45</v>
      </c>
      <c r="B63" s="76">
        <v>46082</v>
      </c>
      <c r="C63" s="77" t="s">
        <v>99</v>
      </c>
      <c r="D63" cm="1">
        <f t="array" ref="D63">GetDaysSkiedAtResortRunningCount(table2025_2026[Resort Name], table2025_2026[[#This Row],[Resort Name]], table2025_2026[Date], table2025_2026[[#This Row],[Date]])</f>
        <v>1</v>
      </c>
      <c r="E63" s="128">
        <v>5345</v>
      </c>
      <c r="F63" s="128">
        <v>943</v>
      </c>
      <c r="G63" s="77" t="s">
        <v>42</v>
      </c>
      <c r="H63" cm="1">
        <f t="array" aca="1" ref="H63" ca="1">GetDaysSinceSkiMaintProc()</f>
        <v>3</v>
      </c>
      <c r="I63" s="75" t="b">
        <v>0</v>
      </c>
      <c r="J63" cm="1">
        <f t="array" aca="1" ref="J63" ca="1">GetDaysSinceSkiMaintProc()</f>
        <v>3</v>
      </c>
      <c r="K63" s="75" t="b">
        <v>0</v>
      </c>
      <c r="L63" s="77" cm="1">
        <f t="array" aca="1" ref="L63" ca="1">GetDaysSinceSkiMaintProc()</f>
        <v>21</v>
      </c>
      <c r="M63" s="75" t="b">
        <v>0</v>
      </c>
      <c r="N63" cm="1">
        <f t="array" aca="1" ref="N63" ca="1">GetDaysSinceSkiMaintProc()</f>
        <v>3</v>
      </c>
      <c r="O63" s="75" t="b">
        <v>1</v>
      </c>
      <c r="P63" cm="1">
        <f t="array" aca="1" ref="P63" ca="1">GetDaysSinceSkiMaintProc()</f>
        <v>3</v>
      </c>
      <c r="Q63" s="75" t="b">
        <v>1</v>
      </c>
      <c r="R63" cm="1">
        <f t="array" aca="1" ref="R63" ca="1">GetDaysSinceSkiMaintProc()</f>
        <v>29</v>
      </c>
      <c r="S63" s="75" t="b">
        <v>0</v>
      </c>
      <c r="T63" cm="1">
        <f t="array" aca="1" ref="T63" ca="1">GetDaysSinceSkiMaintProc()</f>
        <v>2</v>
      </c>
      <c r="U63" s="75" t="b">
        <v>0</v>
      </c>
      <c r="V63" cm="1">
        <f t="array" aca="1" ref="V63" ca="1">GetDaysSinceSkiMaintProc()</f>
        <v>0</v>
      </c>
      <c r="W63" s="75" t="b">
        <v>0</v>
      </c>
      <c r="X63" cm="1">
        <f t="array" aca="1" ref="X63" ca="1">GetDaysSinceSkiMaintProc()</f>
        <v>5</v>
      </c>
      <c r="Y63" s="75" t="b">
        <v>0</v>
      </c>
      <c r="Z63" s="77"/>
    </row>
    <row r="64" spans="1:26" ht="14.65" customHeight="1" x14ac:dyDescent="0.4">
      <c r="A64" cm="1">
        <f t="array" ref="A64">IF(IsCellInTableFirstRow($A64,table2025_2026[]),1,$A63+1)</f>
        <v>46</v>
      </c>
      <c r="B64" s="76">
        <v>46083</v>
      </c>
      <c r="C64" s="77" t="s">
        <v>52</v>
      </c>
      <c r="D64" cm="1">
        <f t="array" ref="D64">GetDaysSkiedAtResortRunningCount(table2025_2026[Resort Name], table2025_2026[[#This Row],[Resort Name]], table2025_2026[Date], table2025_2026[[#This Row],[Date]])</f>
        <v>3</v>
      </c>
      <c r="E64" s="128">
        <v>8480</v>
      </c>
      <c r="F64" s="128">
        <v>1038</v>
      </c>
      <c r="G64" s="77" t="s">
        <v>42</v>
      </c>
      <c r="H64" cm="1">
        <f t="array" aca="1" ref="H64" ca="1">GetDaysSinceSkiMaintProc()</f>
        <v>3</v>
      </c>
      <c r="I64" s="75" t="b">
        <v>0</v>
      </c>
      <c r="J64" cm="1">
        <f t="array" aca="1" ref="J64" ca="1">GetDaysSinceSkiMaintProc()</f>
        <v>3</v>
      </c>
      <c r="K64" s="75" t="b">
        <v>0</v>
      </c>
      <c r="L64" s="77" cm="1">
        <f t="array" aca="1" ref="L64" ca="1">GetDaysSinceSkiMaintProc()</f>
        <v>21</v>
      </c>
      <c r="M64" s="75" t="b">
        <v>0</v>
      </c>
      <c r="N64" cm="1">
        <f t="array" aca="1" ref="N64" ca="1">GetDaysSinceSkiMaintProc()</f>
        <v>1</v>
      </c>
      <c r="O64" s="75" t="b">
        <v>0</v>
      </c>
      <c r="P64" cm="1">
        <f t="array" aca="1" ref="P64" ca="1">GetDaysSinceSkiMaintProc()</f>
        <v>1</v>
      </c>
      <c r="Q64" s="75" t="b">
        <v>0</v>
      </c>
      <c r="R64" cm="1">
        <f t="array" aca="1" ref="R64" ca="1">GetDaysSinceSkiMaintProc()</f>
        <v>30</v>
      </c>
      <c r="S64" s="75" t="b">
        <v>0</v>
      </c>
      <c r="T64" cm="1">
        <f t="array" aca="1" ref="T64" ca="1">GetDaysSinceSkiMaintProc()</f>
        <v>2</v>
      </c>
      <c r="U64" s="75" t="b">
        <v>0</v>
      </c>
      <c r="V64" cm="1">
        <f t="array" aca="1" ref="V64" ca="1">GetDaysSinceSkiMaintProc()</f>
        <v>0</v>
      </c>
      <c r="W64" s="75" t="b">
        <v>0</v>
      </c>
      <c r="X64" cm="1">
        <f t="array" aca="1" ref="X64" ca="1">GetDaysSinceSkiMaintProc()</f>
        <v>5</v>
      </c>
      <c r="Y64" s="75" t="b">
        <v>0</v>
      </c>
      <c r="Z64" s="77"/>
    </row>
    <row r="65" spans="1:26" ht="14.65" customHeight="1" x14ac:dyDescent="0.4">
      <c r="A65" cm="1">
        <f t="array" ref="A65">IF(IsCellInTableFirstRow($A65,table2025_2026[]),1,$A64+1)</f>
        <v>47</v>
      </c>
      <c r="B65" s="76">
        <v>46084</v>
      </c>
      <c r="C65" s="77" t="s">
        <v>52</v>
      </c>
      <c r="D65" cm="1">
        <f t="array" ref="D65">GetDaysSkiedAtResortRunningCount(table2025_2026[Resort Name], table2025_2026[[#This Row],[Resort Name]], table2025_2026[Date], table2025_2026[[#This Row],[Date]])</f>
        <v>4</v>
      </c>
      <c r="E65" s="128">
        <v>5540</v>
      </c>
      <c r="F65" s="128">
        <v>958</v>
      </c>
      <c r="G65" s="77" t="s">
        <v>42</v>
      </c>
      <c r="H65" cm="1">
        <f t="array" aca="1" ref="H65" ca="1">GetDaysSinceSkiMaintProc()</f>
        <v>3</v>
      </c>
      <c r="I65" s="75" t="b">
        <v>0</v>
      </c>
      <c r="J65" cm="1">
        <f t="array" aca="1" ref="J65" ca="1">GetDaysSinceSkiMaintProc()</f>
        <v>3</v>
      </c>
      <c r="K65" s="75" t="b">
        <v>0</v>
      </c>
      <c r="L65" s="77" cm="1">
        <f t="array" aca="1" ref="L65" ca="1">GetDaysSinceSkiMaintProc()</f>
        <v>21</v>
      </c>
      <c r="M65" s="75" t="b">
        <v>0</v>
      </c>
      <c r="N65" cm="1">
        <f t="array" aca="1" ref="N65" ca="1">GetDaysSinceSkiMaintProc()</f>
        <v>2</v>
      </c>
      <c r="O65" s="75" t="b">
        <v>0</v>
      </c>
      <c r="P65" cm="1">
        <f t="array" aca="1" ref="P65" ca="1">GetDaysSinceSkiMaintProc()</f>
        <v>2</v>
      </c>
      <c r="Q65" s="75" t="b">
        <v>0</v>
      </c>
      <c r="R65" cm="1">
        <f t="array" aca="1" ref="R65" ca="1">GetDaysSinceSkiMaintProc()</f>
        <v>31</v>
      </c>
      <c r="S65" s="75" t="b">
        <v>0</v>
      </c>
      <c r="T65" cm="1">
        <f t="array" aca="1" ref="T65" ca="1">GetDaysSinceSkiMaintProc()</f>
        <v>2</v>
      </c>
      <c r="U65" s="75" t="b">
        <v>0</v>
      </c>
      <c r="V65" cm="1">
        <f t="array" aca="1" ref="V65" ca="1">GetDaysSinceSkiMaintProc()</f>
        <v>0</v>
      </c>
      <c r="W65" s="75" t="b">
        <v>0</v>
      </c>
      <c r="X65" cm="1">
        <f t="array" aca="1" ref="X65" ca="1">GetDaysSinceSkiMaintProc()</f>
        <v>5</v>
      </c>
      <c r="Y65" s="75" t="b">
        <v>0</v>
      </c>
      <c r="Z65" s="77"/>
    </row>
    <row r="66" spans="1:26" ht="14.65" customHeight="1" x14ac:dyDescent="0.4">
      <c r="A66" cm="1">
        <f t="array" ref="A66">IF(IsCellInTableFirstRow($A66,table2025_2026[]),1,$A65+1)</f>
        <v>48</v>
      </c>
      <c r="B66" s="76">
        <v>46085</v>
      </c>
      <c r="C66" s="77" t="s">
        <v>52</v>
      </c>
      <c r="D66" cm="1">
        <f t="array" ref="D66">GetDaysSkiedAtResortRunningCount(table2025_2026[Resort Name], table2025_2026[[#This Row],[Resort Name]], table2025_2026[Date], table2025_2026[[#This Row],[Date]])</f>
        <v>5</v>
      </c>
      <c r="E66" s="128">
        <v>12840</v>
      </c>
      <c r="F66" s="128">
        <v>1019</v>
      </c>
      <c r="G66" s="77" t="s">
        <v>42</v>
      </c>
      <c r="H66" cm="1">
        <f t="array" aca="1" ref="H66" ca="1">GetDaysSinceSkiMaintProc()</f>
        <v>3</v>
      </c>
      <c r="I66" s="75" t="b">
        <v>0</v>
      </c>
      <c r="J66" cm="1">
        <f t="array" aca="1" ref="J66" ca="1">GetDaysSinceSkiMaintProc()</f>
        <v>3</v>
      </c>
      <c r="K66" s="75" t="b">
        <v>0</v>
      </c>
      <c r="L66" s="77" cm="1">
        <f t="array" aca="1" ref="L66" ca="1">GetDaysSinceSkiMaintProc()</f>
        <v>21</v>
      </c>
      <c r="M66" s="75" t="b">
        <v>0</v>
      </c>
      <c r="N66" cm="1">
        <f t="array" aca="1" ref="N66" ca="1">GetDaysSinceSkiMaintProc()</f>
        <v>3</v>
      </c>
      <c r="O66" s="75" t="b">
        <v>0</v>
      </c>
      <c r="P66" cm="1">
        <f t="array" aca="1" ref="P66" ca="1">GetDaysSinceSkiMaintProc()</f>
        <v>3</v>
      </c>
      <c r="Q66" s="75" t="b">
        <v>0</v>
      </c>
      <c r="R66" cm="1">
        <f t="array" aca="1" ref="R66" ca="1">GetDaysSinceSkiMaintProc()</f>
        <v>32</v>
      </c>
      <c r="S66" s="75" t="b">
        <v>0</v>
      </c>
      <c r="T66" cm="1">
        <f t="array" aca="1" ref="T66" ca="1">GetDaysSinceSkiMaintProc()</f>
        <v>2</v>
      </c>
      <c r="U66" s="75" t="b">
        <v>0</v>
      </c>
      <c r="V66" cm="1">
        <f t="array" aca="1" ref="V66" ca="1">GetDaysSinceSkiMaintProc()</f>
        <v>0</v>
      </c>
      <c r="W66" s="75" t="b">
        <v>0</v>
      </c>
      <c r="X66" cm="1">
        <f t="array" aca="1" ref="X66" ca="1">GetDaysSinceSkiMaintProc()</f>
        <v>5</v>
      </c>
      <c r="Y66" s="75" t="b">
        <v>0</v>
      </c>
      <c r="Z66" s="77"/>
    </row>
    <row r="67" spans="1:26" ht="14.65" customHeight="1" x14ac:dyDescent="0.4">
      <c r="A67" cm="1">
        <f t="array" ref="A67">IF(IsCellInTableFirstRow($A67,table2025_2026[]),1,$A66+1)</f>
        <v>49</v>
      </c>
      <c r="B67" s="76">
        <v>46095</v>
      </c>
      <c r="C67" s="77" t="s">
        <v>13</v>
      </c>
      <c r="D67" cm="1">
        <f t="array" ref="D67">GetDaysSkiedAtResortRunningCount(table2025_2026[Resort Name], table2025_2026[[#This Row],[Resort Name]], table2025_2026[Date], table2025_2026[[#This Row],[Date]])</f>
        <v>1</v>
      </c>
      <c r="E67" s="128">
        <v>6840</v>
      </c>
      <c r="F67" s="128">
        <v>1272</v>
      </c>
      <c r="G67" s="77" t="s">
        <v>42</v>
      </c>
      <c r="H67" cm="1">
        <f t="array" aca="1" ref="H67" ca="1">GetDaysSinceSkiMaintProc()</f>
        <v>3</v>
      </c>
      <c r="I67" s="75" t="b">
        <v>0</v>
      </c>
      <c r="J67" cm="1">
        <f t="array" aca="1" ref="J67" ca="1">GetDaysSinceSkiMaintProc()</f>
        <v>3</v>
      </c>
      <c r="K67" s="75" t="b">
        <v>0</v>
      </c>
      <c r="L67" s="77" cm="1">
        <f t="array" aca="1" ref="L67" ca="1">GetDaysSinceSkiMaintProc()</f>
        <v>21</v>
      </c>
      <c r="M67" s="75" t="b">
        <v>0</v>
      </c>
      <c r="N67" cm="1">
        <f t="array" aca="1" ref="N67" ca="1">GetDaysSinceSkiMaintProc()</f>
        <v>4</v>
      </c>
      <c r="O67" s="75" t="b">
        <v>1</v>
      </c>
      <c r="P67" cm="1">
        <f t="array" aca="1" ref="P67" ca="1">GetDaysSinceSkiMaintProc()</f>
        <v>4</v>
      </c>
      <c r="Q67" s="75" t="b">
        <v>1</v>
      </c>
      <c r="R67" cm="1">
        <f t="array" aca="1" ref="R67" ca="1">GetDaysSinceSkiMaintProc()</f>
        <v>33</v>
      </c>
      <c r="S67" s="75" t="b">
        <v>0</v>
      </c>
      <c r="T67" cm="1">
        <f t="array" aca="1" ref="T67" ca="1">GetDaysSinceSkiMaintProc()</f>
        <v>2</v>
      </c>
      <c r="U67" s="75" t="b">
        <v>0</v>
      </c>
      <c r="V67" cm="1">
        <f t="array" aca="1" ref="V67" ca="1">GetDaysSinceSkiMaintProc()</f>
        <v>0</v>
      </c>
      <c r="W67" s="75" t="b">
        <v>0</v>
      </c>
      <c r="X67" cm="1">
        <f t="array" aca="1" ref="X67" ca="1">GetDaysSinceSkiMaintProc()</f>
        <v>5</v>
      </c>
      <c r="Y67" s="75" t="b">
        <v>0</v>
      </c>
      <c r="Z67" s="77"/>
    </row>
    <row r="68" spans="1:26" ht="14.65" customHeight="1" x14ac:dyDescent="0.4">
      <c r="A68" cm="1">
        <f t="array" ref="A68">IF(IsCellInTableFirstRow($A68,table2025_2026[]),1,$A67+1)</f>
        <v>50</v>
      </c>
      <c r="B68" s="76">
        <v>46096</v>
      </c>
      <c r="C68" s="77" t="s">
        <v>13</v>
      </c>
      <c r="D68" cm="1">
        <f t="array" ref="D68">GetDaysSkiedAtResortRunningCount(table2025_2026[Resort Name], table2025_2026[[#This Row],[Resort Name]], table2025_2026[Date], table2025_2026[[#This Row],[Date]])</f>
        <v>2</v>
      </c>
      <c r="E68" s="128">
        <v>10522</v>
      </c>
      <c r="F68" s="128">
        <f>(7762+2760)/2760*475</f>
        <v>1810.8514492753623</v>
      </c>
      <c r="G68" s="77" t="s">
        <v>41</v>
      </c>
      <c r="H68" cm="1">
        <f t="array" aca="1" ref="H68" ca="1">GetDaysSinceSkiMaintProc()</f>
        <v>4</v>
      </c>
      <c r="I68" s="75" t="b">
        <v>0</v>
      </c>
      <c r="J68" cm="1">
        <f t="array" aca="1" ref="J68" ca="1">GetDaysSinceSkiMaintProc()</f>
        <v>4</v>
      </c>
      <c r="K68" s="75" t="b">
        <v>0</v>
      </c>
      <c r="L68" s="77" cm="1">
        <f t="array" aca="1" ref="L68" ca="1">GetDaysSinceSkiMaintProc()</f>
        <v>22</v>
      </c>
      <c r="M68" s="75" t="b">
        <v>0</v>
      </c>
      <c r="N68" cm="1">
        <f t="array" aca="1" ref="N68" ca="1">GetDaysSinceSkiMaintProc()</f>
        <v>0</v>
      </c>
      <c r="O68" s="75" t="b">
        <v>0</v>
      </c>
      <c r="P68" cm="1">
        <f t="array" aca="1" ref="P68" ca="1">GetDaysSinceSkiMaintProc()</f>
        <v>0</v>
      </c>
      <c r="Q68" s="75" t="b">
        <v>0</v>
      </c>
      <c r="R68" cm="1">
        <f t="array" aca="1" ref="R68" ca="1">GetDaysSinceSkiMaintProc()</f>
        <v>33</v>
      </c>
      <c r="S68" s="75" t="b">
        <v>0</v>
      </c>
      <c r="T68" cm="1">
        <f t="array" aca="1" ref="T68" ca="1">GetDaysSinceSkiMaintProc()</f>
        <v>2</v>
      </c>
      <c r="U68" s="75" t="b">
        <v>0</v>
      </c>
      <c r="V68" cm="1">
        <f t="array" aca="1" ref="V68" ca="1">GetDaysSinceSkiMaintProc()</f>
        <v>0</v>
      </c>
      <c r="W68" s="75" t="b">
        <v>0</v>
      </c>
      <c r="X68" cm="1">
        <f t="array" aca="1" ref="X68" ca="1">GetDaysSinceSkiMaintProc()</f>
        <v>5</v>
      </c>
      <c r="Y68" s="75" t="b">
        <v>0</v>
      </c>
      <c r="Z68" s="77" t="s">
        <v>109</v>
      </c>
    </row>
    <row r="69" spans="1:26" ht="14.65" customHeight="1" x14ac:dyDescent="0.4">
      <c r="A69" cm="1">
        <f t="array" ref="A69">IF(IsCellInTableFirstRow($A69,table2025_2026[]),1,$A68+1)</f>
        <v>51</v>
      </c>
      <c r="B69" s="76">
        <v>46097</v>
      </c>
      <c r="C69" s="77" t="s">
        <v>13</v>
      </c>
      <c r="D69" cm="1">
        <f t="array" ref="D69">GetDaysSkiedAtResortRunningCount(table2025_2026[Resort Name], table2025_2026[[#This Row],[Resort Name]], table2025_2026[Date], table2025_2026[[#This Row],[Date]])</f>
        <v>3</v>
      </c>
      <c r="E69" s="128">
        <v>10689</v>
      </c>
      <c r="F69" s="128">
        <v>962</v>
      </c>
      <c r="G69" s="77" t="s">
        <v>42</v>
      </c>
      <c r="H69" cm="1">
        <f t="array" aca="1" ref="H69" ca="1">GetDaysSinceSkiMaintProc()</f>
        <v>4</v>
      </c>
      <c r="I69" s="75" t="b">
        <v>0</v>
      </c>
      <c r="J69" cm="1">
        <f t="array" aca="1" ref="J69" ca="1">GetDaysSinceSkiMaintProc()</f>
        <v>4</v>
      </c>
      <c r="K69" s="75" t="b">
        <v>0</v>
      </c>
      <c r="L69" s="77" cm="1">
        <f t="array" aca="1" ref="L69" ca="1">GetDaysSinceSkiMaintProc()</f>
        <v>22</v>
      </c>
      <c r="M69" s="75" t="b">
        <v>0</v>
      </c>
      <c r="N69" cm="1">
        <f t="array" aca="1" ref="N69" ca="1">GetDaysSinceSkiMaintProc()</f>
        <v>1</v>
      </c>
      <c r="O69" s="75" t="b">
        <v>0</v>
      </c>
      <c r="P69" cm="1">
        <f t="array" aca="1" ref="P69" ca="1">GetDaysSinceSkiMaintProc()</f>
        <v>1</v>
      </c>
      <c r="Q69" s="75" t="b">
        <v>0</v>
      </c>
      <c r="R69" cm="1">
        <f t="array" aca="1" ref="R69" ca="1">GetDaysSinceSkiMaintProc()</f>
        <v>34</v>
      </c>
      <c r="S69" s="75" t="b">
        <v>0</v>
      </c>
      <c r="T69" cm="1">
        <f t="array" aca="1" ref="T69" ca="1">GetDaysSinceSkiMaintProc()</f>
        <v>2</v>
      </c>
      <c r="U69" s="75" t="b">
        <v>0</v>
      </c>
      <c r="V69" cm="1">
        <f t="array" aca="1" ref="V69" ca="1">GetDaysSinceSkiMaintProc()</f>
        <v>0</v>
      </c>
      <c r="W69" s="75" t="b">
        <v>0</v>
      </c>
      <c r="X69" cm="1">
        <f t="array" aca="1" ref="X69" ca="1">GetDaysSinceSkiMaintProc()</f>
        <v>5</v>
      </c>
      <c r="Y69" s="75" t="b">
        <v>0</v>
      </c>
      <c r="Z69" s="77"/>
    </row>
    <row r="70" spans="1:26" ht="14.65" customHeight="1" x14ac:dyDescent="0.4">
      <c r="A70" cm="1">
        <f t="array" ref="A70">IF(IsCellInTableFirstRow($A70,table2025_2026[]),1,$A69+1)</f>
        <v>52</v>
      </c>
      <c r="B70" s="76">
        <v>46098</v>
      </c>
      <c r="C70" s="77" t="s">
        <v>13</v>
      </c>
      <c r="D70" cm="1">
        <f t="array" ref="D70">GetDaysSkiedAtResortRunningCount(table2025_2026[Resort Name], table2025_2026[[#This Row],[Resort Name]], table2025_2026[Date], table2025_2026[[#This Row],[Date]])</f>
        <v>4</v>
      </c>
      <c r="E70" s="128">
        <v>6640</v>
      </c>
      <c r="F70" s="128">
        <v>545</v>
      </c>
      <c r="G70" s="77" t="s">
        <v>42</v>
      </c>
      <c r="H70" cm="1">
        <f t="array" aca="1" ref="H70" ca="1">GetDaysSinceSkiMaintProc()</f>
        <v>4</v>
      </c>
      <c r="I70" s="75" t="b">
        <v>0</v>
      </c>
      <c r="J70" cm="1">
        <f t="array" aca="1" ref="J70" ca="1">GetDaysSinceSkiMaintProc()</f>
        <v>4</v>
      </c>
      <c r="K70" s="75" t="b">
        <v>0</v>
      </c>
      <c r="L70" s="77" cm="1">
        <f t="array" aca="1" ref="L70" ca="1">GetDaysSinceSkiMaintProc()</f>
        <v>22</v>
      </c>
      <c r="M70" s="75" t="b">
        <v>0</v>
      </c>
      <c r="N70" cm="1">
        <f t="array" aca="1" ref="N70" ca="1">GetDaysSinceSkiMaintProc()</f>
        <v>2</v>
      </c>
      <c r="O70" s="75" t="b">
        <v>1</v>
      </c>
      <c r="P70" cm="1">
        <f t="array" aca="1" ref="P70" ca="1">GetDaysSinceSkiMaintProc()</f>
        <v>2</v>
      </c>
      <c r="Q70" s="75" t="b">
        <v>0</v>
      </c>
      <c r="R70" cm="1">
        <f t="array" aca="1" ref="R70" ca="1">GetDaysSinceSkiMaintProc()</f>
        <v>35</v>
      </c>
      <c r="S70" s="75" t="b">
        <v>0</v>
      </c>
      <c r="T70" cm="1">
        <f t="array" aca="1" ref="T70" ca="1">GetDaysSinceSkiMaintProc()</f>
        <v>2</v>
      </c>
      <c r="U70" s="75" t="b">
        <v>0</v>
      </c>
      <c r="V70" cm="1">
        <f t="array" aca="1" ref="V70" ca="1">GetDaysSinceSkiMaintProc()</f>
        <v>0</v>
      </c>
      <c r="W70" s="75" t="b">
        <v>0</v>
      </c>
      <c r="X70" cm="1">
        <f t="array" aca="1" ref="X70" ca="1">GetDaysSinceSkiMaintProc()</f>
        <v>5</v>
      </c>
      <c r="Y70" s="75" t="b">
        <v>0</v>
      </c>
      <c r="Z70" s="77" t="s">
        <v>110</v>
      </c>
    </row>
    <row r="71" spans="1:26" ht="14.65" customHeight="1" x14ac:dyDescent="0.4">
      <c r="A71" cm="1">
        <f t="array" ref="A71">IF(IsCellInTableFirstRow($A71,table2025_2026[]),1,$A70+1)</f>
        <v>53</v>
      </c>
      <c r="B71" s="76">
        <v>46100</v>
      </c>
      <c r="C71" s="77" t="s">
        <v>13</v>
      </c>
      <c r="D71" cm="1">
        <f t="array" ref="D71">GetDaysSkiedAtResortRunningCount(table2025_2026[Resort Name], table2025_2026[[#This Row],[Resort Name]], table2025_2026[Date], table2025_2026[[#This Row],[Date]])</f>
        <v>5</v>
      </c>
      <c r="E71" s="128">
        <v>11060</v>
      </c>
      <c r="F71" s="128">
        <v>1206</v>
      </c>
      <c r="G71" s="77" t="s">
        <v>42</v>
      </c>
      <c r="H71" cm="1">
        <f t="array" aca="1" ref="H71" ca="1">GetDaysSinceSkiMaintProc()</f>
        <v>4</v>
      </c>
      <c r="I71" s="75" t="b">
        <v>0</v>
      </c>
      <c r="J71" cm="1">
        <f t="array" aca="1" ref="J71" ca="1">GetDaysSinceSkiMaintProc()</f>
        <v>4</v>
      </c>
      <c r="K71" s="75" t="b">
        <v>0</v>
      </c>
      <c r="L71" s="77" cm="1">
        <f t="array" aca="1" ref="L71" ca="1">GetDaysSinceSkiMaintProc()</f>
        <v>22</v>
      </c>
      <c r="M71" s="75" t="b">
        <v>0</v>
      </c>
      <c r="N71" cm="1">
        <f t="array" aca="1" ref="N71" ca="1">GetDaysSinceSkiMaintProc()</f>
        <v>1</v>
      </c>
      <c r="O71" s="75" t="b">
        <v>0</v>
      </c>
      <c r="P71" cm="1">
        <f t="array" aca="1" ref="P71" ca="1">GetDaysSinceSkiMaintProc()</f>
        <v>3</v>
      </c>
      <c r="Q71" s="75" t="b">
        <v>0</v>
      </c>
      <c r="R71" cm="1">
        <f t="array" aca="1" ref="R71" ca="1">GetDaysSinceSkiMaintProc()</f>
        <v>36</v>
      </c>
      <c r="S71" s="75" t="b">
        <v>0</v>
      </c>
      <c r="T71" cm="1">
        <f t="array" aca="1" ref="T71" ca="1">GetDaysSinceSkiMaintProc()</f>
        <v>2</v>
      </c>
      <c r="U71" s="75" t="b">
        <v>0</v>
      </c>
      <c r="V71" cm="1">
        <f t="array" aca="1" ref="V71" ca="1">GetDaysSinceSkiMaintProc()</f>
        <v>0</v>
      </c>
      <c r="W71" s="75" t="b">
        <v>0</v>
      </c>
      <c r="X71" cm="1">
        <f t="array" aca="1" ref="X71" ca="1">GetDaysSinceSkiMaintProc()</f>
        <v>5</v>
      </c>
      <c r="Y71" s="75" t="b">
        <v>0</v>
      </c>
      <c r="Z71" s="77"/>
    </row>
    <row r="72" spans="1:26" ht="14.65" customHeight="1" x14ac:dyDescent="0.4">
      <c r="A72" cm="1">
        <f t="array" ref="A72">IF(IsCellInTableFirstRow($A72,table2025_2026[]),1,$A71+1)</f>
        <v>54</v>
      </c>
      <c r="B72" s="76">
        <v>46101</v>
      </c>
      <c r="C72" s="77" t="s">
        <v>13</v>
      </c>
      <c r="D72" cm="1">
        <f t="array" ref="D72">GetDaysSkiedAtResortRunningCount(table2025_2026[Resort Name], table2025_2026[[#This Row],[Resort Name]], table2025_2026[Date], table2025_2026[[#This Row],[Date]])</f>
        <v>6</v>
      </c>
      <c r="E72" s="128">
        <v>5000</v>
      </c>
      <c r="F72" s="128">
        <v>691</v>
      </c>
      <c r="G72" s="77" t="s">
        <v>42</v>
      </c>
      <c r="H72" cm="1">
        <f t="array" aca="1" ref="H72" ca="1">GetDaysSinceSkiMaintProc()</f>
        <v>4</v>
      </c>
      <c r="I72" s="75" t="b">
        <v>0</v>
      </c>
      <c r="J72" cm="1">
        <f t="array" aca="1" ref="J72" ca="1">GetDaysSinceSkiMaintProc()</f>
        <v>4</v>
      </c>
      <c r="K72" s="75" t="b">
        <v>0</v>
      </c>
      <c r="L72" s="77" cm="1">
        <f t="array" aca="1" ref="L72" ca="1">GetDaysSinceSkiMaintProc()</f>
        <v>22</v>
      </c>
      <c r="M72" s="75" t="b">
        <v>0</v>
      </c>
      <c r="N72" cm="1">
        <f t="array" aca="1" ref="N72" ca="1">GetDaysSinceSkiMaintProc()</f>
        <v>2</v>
      </c>
      <c r="O72" s="75" t="b">
        <v>0</v>
      </c>
      <c r="P72" cm="1">
        <f t="array" aca="1" ref="P72" ca="1">GetDaysSinceSkiMaintProc()</f>
        <v>4</v>
      </c>
      <c r="Q72" s="75" t="b">
        <v>0</v>
      </c>
      <c r="R72" cm="1">
        <f t="array" aca="1" ref="R72" ca="1">GetDaysSinceSkiMaintProc()</f>
        <v>37</v>
      </c>
      <c r="S72" s="75" t="b">
        <v>0</v>
      </c>
      <c r="T72" cm="1">
        <f t="array" aca="1" ref="T72" ca="1">GetDaysSinceSkiMaintProc()</f>
        <v>2</v>
      </c>
      <c r="U72" s="75" t="b">
        <v>0</v>
      </c>
      <c r="V72" cm="1">
        <f t="array" aca="1" ref="V72" ca="1">GetDaysSinceSkiMaintProc()</f>
        <v>0</v>
      </c>
      <c r="W72" s="75" t="b">
        <v>0</v>
      </c>
      <c r="X72" cm="1">
        <f t="array" aca="1" ref="X72" ca="1">GetDaysSinceSkiMaintProc()</f>
        <v>5</v>
      </c>
      <c r="Y72" s="75" t="b">
        <v>0</v>
      </c>
      <c r="Z72" s="77"/>
    </row>
    <row r="73" spans="1:26" ht="14.65" customHeight="1" x14ac:dyDescent="0.35">
      <c r="B73"/>
    </row>
    <row r="74" spans="1:26" ht="14.65" customHeight="1" x14ac:dyDescent="0.35">
      <c r="B74"/>
    </row>
    <row r="75" spans="1:26" ht="14.65" customHeight="1" x14ac:dyDescent="0.35">
      <c r="B75"/>
    </row>
    <row r="76" spans="1:26" x14ac:dyDescent="0.35">
      <c r="B76"/>
    </row>
    <row r="77" spans="1:26" x14ac:dyDescent="0.35">
      <c r="B77"/>
    </row>
    <row r="78" spans="1:26" x14ac:dyDescent="0.35">
      <c r="B78"/>
    </row>
    <row r="79" spans="1:26" x14ac:dyDescent="0.35">
      <c r="B79"/>
    </row>
    <row r="80" spans="1:26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</sheetData>
  <sheetProtection insertRows="0"/>
  <protectedRanges>
    <protectedRange sqref="A14:E17 H14:Z17 F16:G17 F14:G14 A19:Z194" name="TableExpansion"/>
  </protectedRanges>
  <mergeCells count="5">
    <mergeCell ref="H5:H6"/>
    <mergeCell ref="I5:I6"/>
    <mergeCell ref="A1:C1"/>
    <mergeCell ref="A2:C2"/>
    <mergeCell ref="F14:G15"/>
  </mergeCells>
  <phoneticPr fontId="7" type="noConversion"/>
  <dataValidations count="2">
    <dataValidation type="list" allowBlank="1" showInputMessage="1" showErrorMessage="1" sqref="G19:G72" xr:uid="{004D0F97-AB1E-4853-A341-025E7ED12DCD}">
      <formula1>SkiNames</formula1>
    </dataValidation>
    <dataValidation type="list" showErrorMessage="1" sqref="C19:C72" xr:uid="{31257641-35E0-407F-A55E-91EDF7CAD298}">
      <formula1>ResortNames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C3831-4724-4894-842F-754CF6D39D52}">
  <sheetPr codeName="Sheet8"/>
  <dimension ref="A1:H31"/>
  <sheetViews>
    <sheetView topLeftCell="A10" workbookViewId="0">
      <selection activeCell="L13" sqref="L13"/>
    </sheetView>
  </sheetViews>
  <sheetFormatPr defaultRowHeight="14.5" x14ac:dyDescent="0.35"/>
  <cols>
    <col min="1" max="1" width="26.453125" customWidth="1"/>
    <col min="2" max="8" width="12.6328125" customWidth="1"/>
  </cols>
  <sheetData>
    <row r="1" spans="1:8" ht="18.5" x14ac:dyDescent="0.45">
      <c r="A1" s="9" t="s">
        <v>4</v>
      </c>
    </row>
    <row r="2" spans="1:8" ht="15" thickBot="1" x14ac:dyDescent="0.4"/>
    <row r="3" spans="1:8" ht="15" thickBot="1" x14ac:dyDescent="0.4">
      <c r="B3" s="197" t="s">
        <v>57</v>
      </c>
      <c r="C3" s="198"/>
      <c r="D3" s="198"/>
      <c r="E3" s="198"/>
      <c r="F3" s="198"/>
      <c r="G3" s="198"/>
      <c r="H3" s="199"/>
    </row>
    <row r="4" spans="1:8" x14ac:dyDescent="0.35">
      <c r="A4" s="58" t="s">
        <v>25</v>
      </c>
      <c r="B4" s="59" t="s">
        <v>58</v>
      </c>
      <c r="C4" s="60" t="s">
        <v>59</v>
      </c>
      <c r="D4" s="60" t="s">
        <v>60</v>
      </c>
      <c r="E4" s="60" t="s">
        <v>61</v>
      </c>
      <c r="F4" s="60" t="s">
        <v>62</v>
      </c>
      <c r="G4" s="60" t="s">
        <v>63</v>
      </c>
      <c r="H4" s="61" t="s">
        <v>64</v>
      </c>
    </row>
    <row r="5" spans="1:8" x14ac:dyDescent="0.35">
      <c r="A5" s="92" t="s">
        <v>17</v>
      </c>
      <c r="B5" s="56">
        <f>IFERROR(IF(tableResorts[[#This Row],[Name]]="","",COUNTIF('2022-2023'!$C$11:$C$110,tableResorts[[#This Row],[Name]])),"")</f>
        <v>1</v>
      </c>
      <c r="C5">
        <f>IFERROR(IF(tableResorts[[#This Row],[Name]]="","",COUNTIF('2023-2024'!$C$11:$C$110,tableResorts[[#This Row],[Name]])),"")</f>
        <v>0</v>
      </c>
      <c r="D5">
        <f>IFERROR(IF(tableResorts[[#This Row],[Name]]="","",COUNTIF('2024-2025'!$C$14:$C$113,tableResorts[[#This Row],[Name]])),"")</f>
        <v>4</v>
      </c>
      <c r="E5" cm="1">
        <f t="array" aca="1" ref="E5" ca="1">IFERROR(GetResortCountBySeason(), "Undefined")</f>
        <v>4</v>
      </c>
      <c r="F5" t="str" cm="1">
        <f t="array" aca="1" ref="F5" ca="1">IFERROR(GetResortCountBySeason(), "Undefined")</f>
        <v>Undefined</v>
      </c>
      <c r="G5" t="str" cm="1">
        <f t="array" aca="1" ref="G5" ca="1">IFERROR(GetResortCountBySeason(), "Undefined")</f>
        <v>Undefined</v>
      </c>
      <c r="H5" s="57" t="str" cm="1">
        <f t="array" aca="1" ref="H5" ca="1">IFERROR(GetResortCountBySeason(), "Undefined")</f>
        <v>Undefined</v>
      </c>
    </row>
    <row r="6" spans="1:8" x14ac:dyDescent="0.35">
      <c r="A6" s="92" t="s">
        <v>50</v>
      </c>
      <c r="B6" s="56">
        <f>IFERROR(IF(tableResorts[[#This Row],[Name]]="","",COUNTIF('2022-2023'!$C$11:$C$110,tableResorts[[#This Row],[Name]])),"")</f>
        <v>0</v>
      </c>
      <c r="C6">
        <f>IFERROR(IF(tableResorts[[#This Row],[Name]]="","",COUNTIF('2023-2024'!$C$11:$C$110,tableResorts[[#This Row],[Name]])),"")</f>
        <v>0</v>
      </c>
      <c r="D6">
        <f>IFERROR(IF(tableResorts[[#This Row],[Name]]="","",COUNTIF('2024-2025'!$C$14:$C$113,tableResorts[[#This Row],[Name]])),"")</f>
        <v>3</v>
      </c>
      <c r="E6" cm="1">
        <f t="array" aca="1" ref="E6" ca="1">IFERROR(GetResortCountBySeason(), "Undefined")</f>
        <v>1</v>
      </c>
      <c r="F6" t="str" cm="1">
        <f t="array" aca="1" ref="F6" ca="1">IFERROR(GetResortCountBySeason(), "Undefined")</f>
        <v>Undefined</v>
      </c>
      <c r="G6" t="str" cm="1">
        <f t="array" aca="1" ref="G6" ca="1">IFERROR(GetResortCountBySeason(), "Undefined")</f>
        <v>Undefined</v>
      </c>
      <c r="H6" s="57" t="str" cm="1">
        <f t="array" aca="1" ref="H6" ca="1">IFERROR(GetResortCountBySeason(), "Undefined")</f>
        <v>Undefined</v>
      </c>
    </row>
    <row r="7" spans="1:8" x14ac:dyDescent="0.35">
      <c r="A7" s="92" t="s">
        <v>29</v>
      </c>
      <c r="B7" s="56">
        <f>IFERROR(IF(tableResorts[[#This Row],[Name]]="","",COUNTIF('2022-2023'!$C$11:$C$110,tableResorts[[#This Row],[Name]])),"")</f>
        <v>0</v>
      </c>
      <c r="C7">
        <f>IFERROR(IF(tableResorts[[#This Row],[Name]]="","",COUNTIF('2023-2024'!$C$11:$C$110,tableResorts[[#This Row],[Name]])),"")</f>
        <v>1</v>
      </c>
      <c r="D7">
        <f>IFERROR(IF(tableResorts[[#This Row],[Name]]="","",COUNTIF('2024-2025'!$C$14:$C$113,tableResorts[[#This Row],[Name]])),"")</f>
        <v>0</v>
      </c>
      <c r="E7" cm="1">
        <f t="array" aca="1" ref="E7" ca="1">IFERROR(GetResortCountBySeason(), "Undefined")</f>
        <v>0</v>
      </c>
      <c r="F7" t="str" cm="1">
        <f t="array" aca="1" ref="F7" ca="1">IFERROR(GetResortCountBySeason(), "Undefined")</f>
        <v>Undefined</v>
      </c>
      <c r="G7" t="str" cm="1">
        <f t="array" aca="1" ref="G7" ca="1">IFERROR(GetResortCountBySeason(), "Undefined")</f>
        <v>Undefined</v>
      </c>
      <c r="H7" s="57" t="str" cm="1">
        <f t="array" aca="1" ref="H7" ca="1">IFERROR(GetResortCountBySeason(), "Undefined")</f>
        <v>Undefined</v>
      </c>
    </row>
    <row r="8" spans="1:8" x14ac:dyDescent="0.35">
      <c r="A8" s="92" t="s">
        <v>30</v>
      </c>
      <c r="B8" s="56">
        <f>IFERROR(IF(tableResorts[[#This Row],[Name]]="","",COUNTIF('2022-2023'!$C$11:$C$110,tableResorts[[#This Row],[Name]])),"")</f>
        <v>0</v>
      </c>
      <c r="C8">
        <f>IFERROR(IF(tableResorts[[#This Row],[Name]]="","",COUNTIF('2023-2024'!$C$11:$C$110,tableResorts[[#This Row],[Name]])),"")</f>
        <v>0</v>
      </c>
      <c r="D8">
        <f>IFERROR(IF(tableResorts[[#This Row],[Name]]="","",COUNTIF('2024-2025'!$C$14:$C$113,tableResorts[[#This Row],[Name]])),"")</f>
        <v>0</v>
      </c>
      <c r="E8" cm="1">
        <f t="array" aca="1" ref="E8" ca="1">IFERROR(GetResortCountBySeason(), "Undefined")</f>
        <v>0</v>
      </c>
      <c r="F8" t="str" cm="1">
        <f t="array" aca="1" ref="F8" ca="1">IFERROR(GetResortCountBySeason(), "Undefined")</f>
        <v>Undefined</v>
      </c>
      <c r="G8" t="str" cm="1">
        <f t="array" aca="1" ref="G8" ca="1">IFERROR(GetResortCountBySeason(), "Undefined")</f>
        <v>Undefined</v>
      </c>
      <c r="H8" s="57" t="str" cm="1">
        <f t="array" aca="1" ref="H8" ca="1">IFERROR(GetResortCountBySeason(), "Undefined")</f>
        <v>Undefined</v>
      </c>
    </row>
    <row r="9" spans="1:8" x14ac:dyDescent="0.35">
      <c r="A9" s="92" t="s">
        <v>52</v>
      </c>
      <c r="B9" s="56">
        <f>IFERROR(IF(tableResorts[[#This Row],[Name]]="","",COUNTIF('2022-2023'!$C$11:$C$110,tableResorts[[#This Row],[Name]])),"")</f>
        <v>0</v>
      </c>
      <c r="C9">
        <f>IFERROR(IF(tableResorts[[#This Row],[Name]]="","",COUNTIF('2023-2024'!$C$11:$C$110,tableResorts[[#This Row],[Name]])),"")</f>
        <v>0</v>
      </c>
      <c r="D9">
        <f>IFERROR(IF(tableResorts[[#This Row],[Name]]="","",COUNTIF('2024-2025'!$C$14:$C$113,tableResorts[[#This Row],[Name]])),"")</f>
        <v>0</v>
      </c>
      <c r="E9" cm="1">
        <f t="array" aca="1" ref="E9" ca="1">IFERROR(GetResortCountBySeason(), "Undefined")</f>
        <v>5</v>
      </c>
      <c r="F9" t="str" cm="1">
        <f t="array" aca="1" ref="F9" ca="1">IFERROR(GetResortCountBySeason(), "Undefined")</f>
        <v>Undefined</v>
      </c>
      <c r="G9" t="str" cm="1">
        <f t="array" aca="1" ref="G9" ca="1">IFERROR(GetResortCountBySeason(), "Undefined")</f>
        <v>Undefined</v>
      </c>
      <c r="H9" s="57" t="str" cm="1">
        <f t="array" aca="1" ref="H9" ca="1">IFERROR(GetResortCountBySeason(), "Undefined")</f>
        <v>Undefined</v>
      </c>
    </row>
    <row r="10" spans="1:8" x14ac:dyDescent="0.35">
      <c r="A10" s="92" t="s">
        <v>13</v>
      </c>
      <c r="B10" s="56">
        <f>IFERROR(IF(tableResorts[[#This Row],[Name]]="","",COUNTIF('2022-2023'!$C$11:$C$110,tableResorts[[#This Row],[Name]])),"")</f>
        <v>3</v>
      </c>
      <c r="C10">
        <f>IFERROR(IF(tableResorts[[#This Row],[Name]]="","",COUNTIF('2023-2024'!$C$11:$C$110,tableResorts[[#This Row],[Name]])),"")</f>
        <v>3</v>
      </c>
      <c r="D10">
        <f>IFERROR(IF(tableResorts[[#This Row],[Name]]="","",COUNTIF('2024-2025'!$C$14:$C$113,tableResorts[[#This Row],[Name]])),"")</f>
        <v>7</v>
      </c>
      <c r="E10" cm="1">
        <f t="array" aca="1" ref="E10" ca="1">IFERROR(GetResortCountBySeason(), "Undefined")</f>
        <v>6</v>
      </c>
      <c r="F10" t="str" cm="1">
        <f t="array" aca="1" ref="F10" ca="1">IFERROR(GetResortCountBySeason(), "Undefined")</f>
        <v>Undefined</v>
      </c>
      <c r="G10" t="str" cm="1">
        <f t="array" aca="1" ref="G10" ca="1">IFERROR(GetResortCountBySeason(), "Undefined")</f>
        <v>Undefined</v>
      </c>
      <c r="H10" s="57" t="str" cm="1">
        <f t="array" aca="1" ref="H10" ca="1">IFERROR(GetResortCountBySeason(), "Undefined")</f>
        <v>Undefined</v>
      </c>
    </row>
    <row r="11" spans="1:8" x14ac:dyDescent="0.35">
      <c r="A11" s="92" t="s">
        <v>38</v>
      </c>
      <c r="B11" s="56">
        <f>IFERROR(IF(tableResorts[[#This Row],[Name]]="","",COUNTIF('2022-2023'!$C$11:$C$110,tableResorts[[#This Row],[Name]])),"")</f>
        <v>0</v>
      </c>
      <c r="C11">
        <f>IFERROR(IF(tableResorts[[#This Row],[Name]]="","",COUNTIF('2023-2024'!$C$11:$C$110,tableResorts[[#This Row],[Name]])),"")</f>
        <v>0</v>
      </c>
      <c r="D11">
        <f>IFERROR(IF(tableResorts[[#This Row],[Name]]="","",COUNTIF('2024-2025'!$C$14:$C$113,tableResorts[[#This Row],[Name]])),"")</f>
        <v>2</v>
      </c>
      <c r="E11" cm="1">
        <f t="array" aca="1" ref="E11" ca="1">IFERROR(GetResortCountBySeason(), "Undefined")</f>
        <v>3</v>
      </c>
      <c r="F11" t="str" cm="1">
        <f t="array" aca="1" ref="F11" ca="1">IFERROR(GetResortCountBySeason(), "Undefined")</f>
        <v>Undefined</v>
      </c>
      <c r="G11" t="str" cm="1">
        <f t="array" aca="1" ref="G11" ca="1">IFERROR(GetResortCountBySeason(), "Undefined")</f>
        <v>Undefined</v>
      </c>
      <c r="H11" s="57" t="str" cm="1">
        <f t="array" aca="1" ref="H11" ca="1">IFERROR(GetResortCountBySeason(), "Undefined")</f>
        <v>Undefined</v>
      </c>
    </row>
    <row r="12" spans="1:8" x14ac:dyDescent="0.35">
      <c r="A12" s="92" t="s">
        <v>31</v>
      </c>
      <c r="B12" s="56">
        <f>IFERROR(IF(tableResorts[[#This Row],[Name]]="","",COUNTIF('2022-2023'!$C$11:$C$110,tableResorts[[#This Row],[Name]])),"")</f>
        <v>0</v>
      </c>
      <c r="C12">
        <f>IFERROR(IF(tableResorts[[#This Row],[Name]]="","",COUNTIF('2023-2024'!$C$11:$C$110,tableResorts[[#This Row],[Name]])),"")</f>
        <v>1</v>
      </c>
      <c r="D12">
        <f>IFERROR(IF(tableResorts[[#This Row],[Name]]="","",COUNTIF('2024-2025'!$C$14:$C$113,tableResorts[[#This Row],[Name]])),"")</f>
        <v>0</v>
      </c>
      <c r="E12" cm="1">
        <f t="array" aca="1" ref="E12" ca="1">IFERROR(GetResortCountBySeason(), "Undefined")</f>
        <v>0</v>
      </c>
      <c r="F12" t="str" cm="1">
        <f t="array" aca="1" ref="F12" ca="1">IFERROR(GetResortCountBySeason(), "Undefined")</f>
        <v>Undefined</v>
      </c>
      <c r="G12" t="str" cm="1">
        <f t="array" aca="1" ref="G12" ca="1">IFERROR(GetResortCountBySeason(), "Undefined")</f>
        <v>Undefined</v>
      </c>
      <c r="H12" s="57" t="str" cm="1">
        <f t="array" aca="1" ref="H12" ca="1">IFERROR(GetResortCountBySeason(), "Undefined")</f>
        <v>Undefined</v>
      </c>
    </row>
    <row r="13" spans="1:8" x14ac:dyDescent="0.35">
      <c r="A13" s="92" t="s">
        <v>9</v>
      </c>
      <c r="B13" s="56">
        <f>IFERROR(IF(tableResorts[[#This Row],[Name]]="","",COUNTIF('2022-2023'!$C$11:$C$110,tableResorts[[#This Row],[Name]])),"")</f>
        <v>2</v>
      </c>
      <c r="C13">
        <f>IFERROR(IF(tableResorts[[#This Row],[Name]]="","",COUNTIF('2023-2024'!$C$11:$C$110,tableResorts[[#This Row],[Name]])),"")</f>
        <v>0</v>
      </c>
      <c r="D13">
        <f>IFERROR(IF(tableResorts[[#This Row],[Name]]="","",COUNTIF('2024-2025'!$C$14:$C$113,tableResorts[[#This Row],[Name]])),"")</f>
        <v>3</v>
      </c>
      <c r="E13" cm="1">
        <f t="array" aca="1" ref="E13" ca="1">IFERROR(GetResortCountBySeason(), "Undefined")</f>
        <v>1</v>
      </c>
      <c r="F13" t="str" cm="1">
        <f t="array" aca="1" ref="F13" ca="1">IFERROR(GetResortCountBySeason(), "Undefined")</f>
        <v>Undefined</v>
      </c>
      <c r="G13" t="str" cm="1">
        <f t="array" aca="1" ref="G13" ca="1">IFERROR(GetResortCountBySeason(), "Undefined")</f>
        <v>Undefined</v>
      </c>
      <c r="H13" s="57" t="str" cm="1">
        <f t="array" aca="1" ref="H13" ca="1">IFERROR(GetResortCountBySeason(), "Undefined")</f>
        <v>Undefined</v>
      </c>
    </row>
    <row r="14" spans="1:8" x14ac:dyDescent="0.35">
      <c r="A14" s="92" t="s">
        <v>8</v>
      </c>
      <c r="B14" s="56">
        <f>IFERROR(IF(tableResorts[[#This Row],[Name]]="","",COUNTIF('2022-2023'!$C$11:$C$110,tableResorts[[#This Row],[Name]])),"")</f>
        <v>2</v>
      </c>
      <c r="C14">
        <f>IFERROR(IF(tableResorts[[#This Row],[Name]]="","",COUNTIF('2023-2024'!$C$11:$C$110,tableResorts[[#This Row],[Name]])),"")</f>
        <v>0</v>
      </c>
      <c r="D14">
        <f>IFERROR(IF(tableResorts[[#This Row],[Name]]="","",COUNTIF('2024-2025'!$C$14:$C$113,tableResorts[[#This Row],[Name]])),"")</f>
        <v>1</v>
      </c>
      <c r="E14" cm="1">
        <f t="array" aca="1" ref="E14" ca="1">IFERROR(GetResortCountBySeason(), "Undefined")</f>
        <v>1</v>
      </c>
      <c r="F14" t="str" cm="1">
        <f t="array" aca="1" ref="F14" ca="1">IFERROR(GetResortCountBySeason(), "Undefined")</f>
        <v>Undefined</v>
      </c>
      <c r="G14" t="str" cm="1">
        <f t="array" aca="1" ref="G14" ca="1">IFERROR(GetResortCountBySeason(), "Undefined")</f>
        <v>Undefined</v>
      </c>
      <c r="H14" s="57" t="str" cm="1">
        <f t="array" aca="1" ref="H14" ca="1">IFERROR(GetResortCountBySeason(), "Undefined")</f>
        <v>Undefined</v>
      </c>
    </row>
    <row r="15" spans="1:8" x14ac:dyDescent="0.35">
      <c r="A15" s="92" t="s">
        <v>53</v>
      </c>
      <c r="B15" s="56">
        <f>IFERROR(IF(tableResorts[[#This Row],[Name]]="","",COUNTIF('2022-2023'!$C$11:$C$110,tableResorts[[#This Row],[Name]])),"")</f>
        <v>0</v>
      </c>
      <c r="C15">
        <f>IFERROR(IF(tableResorts[[#This Row],[Name]]="","",COUNTIF('2023-2024'!$C$11:$C$110,tableResorts[[#This Row],[Name]])),"")</f>
        <v>0</v>
      </c>
      <c r="D15">
        <f>IFERROR(IF(tableResorts[[#This Row],[Name]]="","",COUNTIF('2024-2025'!$C$14:$C$113,tableResorts[[#This Row],[Name]])),"")</f>
        <v>0</v>
      </c>
      <c r="E15" cm="1">
        <f t="array" aca="1" ref="E15" ca="1">IFERROR(GetResortCountBySeason(), "Undefined")</f>
        <v>5</v>
      </c>
      <c r="F15" t="str" cm="1">
        <f t="array" aca="1" ref="F15" ca="1">IFERROR(GetResortCountBySeason(), "Undefined")</f>
        <v>Undefined</v>
      </c>
      <c r="G15" t="str" cm="1">
        <f t="array" aca="1" ref="G15" ca="1">IFERROR(GetResortCountBySeason(), "Undefined")</f>
        <v>Undefined</v>
      </c>
      <c r="H15" s="57" t="str" cm="1">
        <f t="array" aca="1" ref="H15" ca="1">IFERROR(GetResortCountBySeason(), "Undefined")</f>
        <v>Undefined</v>
      </c>
    </row>
    <row r="16" spans="1:8" x14ac:dyDescent="0.35">
      <c r="A16" s="92" t="s">
        <v>51</v>
      </c>
      <c r="B16" s="56">
        <f>IFERROR(IF(tableResorts[[#This Row],[Name]]="","",COUNTIF('2022-2023'!$C$11:$C$110,tableResorts[[#This Row],[Name]])),"")</f>
        <v>0</v>
      </c>
      <c r="C16">
        <f>IFERROR(IF(tableResorts[[#This Row],[Name]]="","",COUNTIF('2023-2024'!$C$11:$C$110,tableResorts[[#This Row],[Name]])),"")</f>
        <v>0</v>
      </c>
      <c r="D16">
        <f>IFERROR(IF(tableResorts[[#This Row],[Name]]="","",COUNTIF('2024-2025'!$C$14:$C$113,tableResorts[[#This Row],[Name]])),"")</f>
        <v>0</v>
      </c>
      <c r="E16" cm="1">
        <f t="array" aca="1" ref="E16" ca="1">IFERROR(GetResortCountBySeason(), "Undefined")</f>
        <v>4</v>
      </c>
      <c r="F16" t="str" cm="1">
        <f t="array" aca="1" ref="F16" ca="1">IFERROR(GetResortCountBySeason(), "Undefined")</f>
        <v>Undefined</v>
      </c>
      <c r="G16" t="str" cm="1">
        <f t="array" aca="1" ref="G16" ca="1">IFERROR(GetResortCountBySeason(), "Undefined")</f>
        <v>Undefined</v>
      </c>
      <c r="H16" s="57" t="str" cm="1">
        <f t="array" aca="1" ref="H16" ca="1">IFERROR(GetResortCountBySeason(), "Undefined")</f>
        <v>Undefined</v>
      </c>
    </row>
    <row r="17" spans="1:8" x14ac:dyDescent="0.35">
      <c r="A17" s="92" t="s">
        <v>99</v>
      </c>
      <c r="B17" s="56">
        <f>IFERROR(IF(tableResorts[[#This Row],[Name]]="","",COUNTIF('2022-2023'!$C$11:$C$110,tableResorts[[#This Row],[Name]])),"")</f>
        <v>0</v>
      </c>
      <c r="C17">
        <f>IFERROR(IF(tableResorts[[#This Row],[Name]]="","",COUNTIF('2023-2024'!$C$11:$C$110,tableResorts[[#This Row],[Name]])),"")</f>
        <v>0</v>
      </c>
      <c r="D17">
        <f>IFERROR(IF(tableResorts[[#This Row],[Name]]="","",COUNTIF('2024-2025'!$C$14:$C$113,tableResorts[[#This Row],[Name]])),"")</f>
        <v>0</v>
      </c>
      <c r="E17" cm="1">
        <f t="array" aca="1" ref="E17" ca="1">IFERROR(GetResortCountBySeason(), "Undefined")</f>
        <v>1</v>
      </c>
      <c r="F17" t="str" cm="1">
        <f t="array" aca="1" ref="F17" ca="1">IFERROR(GetResortCountBySeason(), "Undefined")</f>
        <v>Undefined</v>
      </c>
      <c r="G17" t="str" cm="1">
        <f t="array" aca="1" ref="G17" ca="1">IFERROR(GetResortCountBySeason(), "Undefined")</f>
        <v>Undefined</v>
      </c>
      <c r="H17" s="57" t="str" cm="1">
        <f t="array" aca="1" ref="H17" ca="1">IFERROR(GetResortCountBySeason(), "Undefined")</f>
        <v>Undefined</v>
      </c>
    </row>
    <row r="18" spans="1:8" x14ac:dyDescent="0.35">
      <c r="A18" s="92" t="s">
        <v>7</v>
      </c>
      <c r="B18" s="56">
        <f>IFERROR(IF(tableResorts[[#This Row],[Name]]="","",COUNTIF('2022-2023'!$C$11:$C$110,tableResorts[[#This Row],[Name]])),"")</f>
        <v>18</v>
      </c>
      <c r="C18">
        <f>IFERROR(IF(tableResorts[[#This Row],[Name]]="","",COUNTIF('2023-2024'!$C$11:$C$110,tableResorts[[#This Row],[Name]])),"")</f>
        <v>0</v>
      </c>
      <c r="D18">
        <f>IFERROR(IF(tableResorts[[#This Row],[Name]]="","",COUNTIF('2024-2025'!$C$14:$C$113,tableResorts[[#This Row],[Name]])),"")</f>
        <v>0</v>
      </c>
      <c r="E18" cm="1">
        <f t="array" aca="1" ref="E18" ca="1">IFERROR(GetResortCountBySeason(), "Undefined")</f>
        <v>0</v>
      </c>
      <c r="F18" t="str" cm="1">
        <f t="array" aca="1" ref="F18" ca="1">IFERROR(GetResortCountBySeason(), "Undefined")</f>
        <v>Undefined</v>
      </c>
      <c r="G18" t="str" cm="1">
        <f t="array" aca="1" ref="G18" ca="1">IFERROR(GetResortCountBySeason(), "Undefined")</f>
        <v>Undefined</v>
      </c>
      <c r="H18" s="57" t="str" cm="1">
        <f t="array" aca="1" ref="H18" ca="1">IFERROR(GetResortCountBySeason(), "Undefined")</f>
        <v>Undefined</v>
      </c>
    </row>
    <row r="19" spans="1:8" x14ac:dyDescent="0.35">
      <c r="A19" s="92" t="s">
        <v>32</v>
      </c>
      <c r="B19" s="56">
        <f>IFERROR(IF(tableResorts[[#This Row],[Name]]="","",COUNTIF('2022-2023'!$C$11:$C$110,tableResorts[[#This Row],[Name]])),"")</f>
        <v>0</v>
      </c>
      <c r="C19">
        <f>IFERROR(IF(tableResorts[[#This Row],[Name]]="","",COUNTIF('2023-2024'!$C$11:$C$110,tableResorts[[#This Row],[Name]])),"")</f>
        <v>3</v>
      </c>
      <c r="D19">
        <f>IFERROR(IF(tableResorts[[#This Row],[Name]]="","",COUNTIF('2024-2025'!$C$14:$C$113,tableResorts[[#This Row],[Name]])),"")</f>
        <v>0</v>
      </c>
      <c r="E19" cm="1">
        <f t="array" aca="1" ref="E19" ca="1">IFERROR(GetResortCountBySeason(), "Undefined")</f>
        <v>0</v>
      </c>
      <c r="F19" t="str" cm="1">
        <f t="array" aca="1" ref="F19" ca="1">IFERROR(GetResortCountBySeason(), "Undefined")</f>
        <v>Undefined</v>
      </c>
      <c r="G19" t="str" cm="1">
        <f t="array" aca="1" ref="G19" ca="1">IFERROR(GetResortCountBySeason(), "Undefined")</f>
        <v>Undefined</v>
      </c>
      <c r="H19" s="57" t="str" cm="1">
        <f t="array" aca="1" ref="H19" ca="1">IFERROR(GetResortCountBySeason(), "Undefined")</f>
        <v>Undefined</v>
      </c>
    </row>
    <row r="20" spans="1:8" x14ac:dyDescent="0.35">
      <c r="A20" s="92" t="s">
        <v>33</v>
      </c>
      <c r="B20" s="56">
        <f>IFERROR(IF(tableResorts[[#This Row],[Name]]="","",COUNTIF('2022-2023'!$C$11:$C$110,tableResorts[[#This Row],[Name]])),"")</f>
        <v>0</v>
      </c>
      <c r="C20">
        <f>IFERROR(IF(tableResorts[[#This Row],[Name]]="","",COUNTIF('2023-2024'!$C$11:$C$110,tableResorts[[#This Row],[Name]])),"")</f>
        <v>1</v>
      </c>
      <c r="D20">
        <f>IFERROR(IF(tableResorts[[#This Row],[Name]]="","",COUNTIF('2024-2025'!$C$14:$C$113,tableResorts[[#This Row],[Name]])),"")</f>
        <v>0</v>
      </c>
      <c r="E20" cm="1">
        <f t="array" aca="1" ref="E20" ca="1">IFERROR(GetResortCountBySeason(), "Undefined")</f>
        <v>7</v>
      </c>
      <c r="F20" t="str" cm="1">
        <f t="array" aca="1" ref="F20" ca="1">IFERROR(GetResortCountBySeason(), "Undefined")</f>
        <v>Undefined</v>
      </c>
      <c r="G20" t="str" cm="1">
        <f t="array" aca="1" ref="G20" ca="1">IFERROR(GetResortCountBySeason(), "Undefined")</f>
        <v>Undefined</v>
      </c>
      <c r="H20" s="57" t="str" cm="1">
        <f t="array" aca="1" ref="H20" ca="1">IFERROR(GetResortCountBySeason(), "Undefined")</f>
        <v>Undefined</v>
      </c>
    </row>
    <row r="21" spans="1:8" x14ac:dyDescent="0.35">
      <c r="A21" s="92" t="s">
        <v>14</v>
      </c>
      <c r="B21" s="56">
        <f>IFERROR(IF(tableResorts[[#This Row],[Name]]="","",COUNTIF('2022-2023'!$C$11:$C$110,tableResorts[[#This Row],[Name]])),"")</f>
        <v>5</v>
      </c>
      <c r="C21">
        <f>IFERROR(IF(tableResorts[[#This Row],[Name]]="","",COUNTIF('2023-2024'!$C$11:$C$110,tableResorts[[#This Row],[Name]])),"")</f>
        <v>3</v>
      </c>
      <c r="D21">
        <f>IFERROR(IF(tableResorts[[#This Row],[Name]]="","",COUNTIF('2024-2025'!$C$14:$C$113,tableResorts[[#This Row],[Name]])),"")</f>
        <v>0</v>
      </c>
      <c r="E21" cm="1">
        <f t="array" aca="1" ref="E21" ca="1">IFERROR(GetResortCountBySeason(), "Undefined")</f>
        <v>0</v>
      </c>
      <c r="F21" t="str" cm="1">
        <f t="array" aca="1" ref="F21" ca="1">IFERROR(GetResortCountBySeason(), "Undefined")</f>
        <v>Undefined</v>
      </c>
      <c r="G21" t="str" cm="1">
        <f t="array" aca="1" ref="G21" ca="1">IFERROR(GetResortCountBySeason(), "Undefined")</f>
        <v>Undefined</v>
      </c>
      <c r="H21" s="57" t="str" cm="1">
        <f t="array" aca="1" ref="H21" ca="1">IFERROR(GetResortCountBySeason(), "Undefined")</f>
        <v>Undefined</v>
      </c>
    </row>
    <row r="22" spans="1:8" x14ac:dyDescent="0.35">
      <c r="A22" s="92" t="s">
        <v>11</v>
      </c>
      <c r="B22" s="56">
        <f>IFERROR(IF(tableResorts[[#This Row],[Name]]="","",COUNTIF('2022-2023'!$C$11:$C$110,tableResorts[[#This Row],[Name]])),"")</f>
        <v>1</v>
      </c>
      <c r="C22">
        <f>IFERROR(IF(tableResorts[[#This Row],[Name]]="","",COUNTIF('2023-2024'!$C$11:$C$110,tableResorts[[#This Row],[Name]])),"")</f>
        <v>0</v>
      </c>
      <c r="D22">
        <f>IFERROR(IF(tableResorts[[#This Row],[Name]]="","",COUNTIF('2024-2025'!$C$14:$C$113,tableResorts[[#This Row],[Name]])),"")</f>
        <v>2</v>
      </c>
      <c r="E22" cm="1">
        <f t="array" aca="1" ref="E22" ca="1">IFERROR(GetResortCountBySeason(), "Undefined")</f>
        <v>1</v>
      </c>
      <c r="F22" t="str" cm="1">
        <f t="array" aca="1" ref="F22" ca="1">IFERROR(GetResortCountBySeason(), "Undefined")</f>
        <v>Undefined</v>
      </c>
      <c r="G22" t="str" cm="1">
        <f t="array" aca="1" ref="G22" ca="1">IFERROR(GetResortCountBySeason(), "Undefined")</f>
        <v>Undefined</v>
      </c>
      <c r="H22" s="57" t="str" cm="1">
        <f t="array" aca="1" ref="H22" ca="1">IFERROR(GetResortCountBySeason(), "Undefined")</f>
        <v>Undefined</v>
      </c>
    </row>
    <row r="23" spans="1:8" x14ac:dyDescent="0.35">
      <c r="A23" s="92" t="s">
        <v>54</v>
      </c>
      <c r="B23" s="56">
        <f>IFERROR(IF(tableResorts[[#This Row],[Name]]="","",COUNTIF('2022-2023'!$C$11:$C$110,tableResorts[[#This Row],[Name]])),"")</f>
        <v>0</v>
      </c>
      <c r="C23">
        <f>IFERROR(IF(tableResorts[[#This Row],[Name]]="","",COUNTIF('2023-2024'!$C$11:$C$110,tableResorts[[#This Row],[Name]])),"")</f>
        <v>0</v>
      </c>
      <c r="D23">
        <f>IFERROR(IF(tableResorts[[#This Row],[Name]]="","",COUNTIF('2024-2025'!$C$14:$C$113,tableResorts[[#This Row],[Name]])),"")</f>
        <v>0</v>
      </c>
      <c r="E23" cm="1">
        <f t="array" aca="1" ref="E23" ca="1">IFERROR(GetResortCountBySeason(), "Undefined")</f>
        <v>1</v>
      </c>
      <c r="F23" t="str" cm="1">
        <f t="array" aca="1" ref="F23" ca="1">IFERROR(GetResortCountBySeason(), "Undefined")</f>
        <v>Undefined</v>
      </c>
      <c r="G23" t="str" cm="1">
        <f t="array" aca="1" ref="G23" ca="1">IFERROR(GetResortCountBySeason(), "Undefined")</f>
        <v>Undefined</v>
      </c>
      <c r="H23" s="57" t="str" cm="1">
        <f t="array" aca="1" ref="H23" ca="1">IFERROR(GetResortCountBySeason(), "Undefined")</f>
        <v>Undefined</v>
      </c>
    </row>
    <row r="24" spans="1:8" x14ac:dyDescent="0.35">
      <c r="A24" s="92" t="s">
        <v>28</v>
      </c>
      <c r="B24" s="56">
        <f>IFERROR(IF(tableResorts[[#This Row],[Name]]="","",COUNTIF('2022-2023'!$C$11:$C$110,tableResorts[[#This Row],[Name]])),"")</f>
        <v>0</v>
      </c>
      <c r="C24">
        <f>IFERROR(IF(tableResorts[[#This Row],[Name]]="","",COUNTIF('2023-2024'!$C$11:$C$110,tableResorts[[#This Row],[Name]])),"")</f>
        <v>1</v>
      </c>
      <c r="D24">
        <f>IFERROR(IF(tableResorts[[#This Row],[Name]]="","",COUNTIF('2024-2025'!$C$14:$C$113,tableResorts[[#This Row],[Name]])),"")</f>
        <v>0</v>
      </c>
      <c r="E24" cm="1">
        <f t="array" aca="1" ref="E24" ca="1">IFERROR(GetResortCountBySeason(), "Undefined")</f>
        <v>0</v>
      </c>
      <c r="F24" t="str" cm="1">
        <f t="array" aca="1" ref="F24" ca="1">IFERROR(GetResortCountBySeason(), "Undefined")</f>
        <v>Undefined</v>
      </c>
      <c r="G24" t="str" cm="1">
        <f t="array" aca="1" ref="G24" ca="1">IFERROR(GetResortCountBySeason(), "Undefined")</f>
        <v>Undefined</v>
      </c>
      <c r="H24" s="57" t="str" cm="1">
        <f t="array" aca="1" ref="H24" ca="1">IFERROR(GetResortCountBySeason(), "Undefined")</f>
        <v>Undefined</v>
      </c>
    </row>
    <row r="25" spans="1:8" x14ac:dyDescent="0.35">
      <c r="A25" s="92" t="s">
        <v>10</v>
      </c>
      <c r="B25" s="56">
        <f>IFERROR(IF(tableResorts[[#This Row],[Name]]="","",COUNTIF('2022-2023'!$C$11:$C$110,tableResorts[[#This Row],[Name]])),"")</f>
        <v>1</v>
      </c>
      <c r="C25">
        <f>IFERROR(IF(tableResorts[[#This Row],[Name]]="","",COUNTIF('2023-2024'!$C$11:$C$110,tableResorts[[#This Row],[Name]])),"")</f>
        <v>0</v>
      </c>
      <c r="D25">
        <f>IFERROR(IF(tableResorts[[#This Row],[Name]]="","",COUNTIF('2024-2025'!$C$14:$C$113,tableResorts[[#This Row],[Name]])),"")</f>
        <v>0</v>
      </c>
      <c r="E25" cm="1">
        <f t="array" aca="1" ref="E25" ca="1">IFERROR(GetResortCountBySeason(), "Undefined")</f>
        <v>1</v>
      </c>
      <c r="F25" t="str" cm="1">
        <f t="array" aca="1" ref="F25" ca="1">IFERROR(GetResortCountBySeason(), "Undefined")</f>
        <v>Undefined</v>
      </c>
      <c r="G25" t="str" cm="1">
        <f t="array" aca="1" ref="G25" ca="1">IFERROR(GetResortCountBySeason(), "Undefined")</f>
        <v>Undefined</v>
      </c>
      <c r="H25" s="57" t="str" cm="1">
        <f t="array" aca="1" ref="H25" ca="1">IFERROR(GetResortCountBySeason(), "Undefined")</f>
        <v>Undefined</v>
      </c>
    </row>
    <row r="26" spans="1:8" x14ac:dyDescent="0.35">
      <c r="A26" s="92" t="s">
        <v>6</v>
      </c>
      <c r="B26" s="56">
        <f>IFERROR(IF(tableResorts[[#This Row],[Name]]="","",COUNTIF('2022-2023'!$C$11:$C$110,tableResorts[[#This Row],[Name]])),"")</f>
        <v>7</v>
      </c>
      <c r="C26">
        <f>IFERROR(IF(tableResorts[[#This Row],[Name]]="","",COUNTIF('2023-2024'!$C$11:$C$110,tableResorts[[#This Row],[Name]])),"")</f>
        <v>0</v>
      </c>
      <c r="D26">
        <f>IFERROR(IF(tableResorts[[#This Row],[Name]]="","",COUNTIF('2024-2025'!$C$14:$C$113,tableResorts[[#This Row],[Name]])),"")</f>
        <v>6</v>
      </c>
      <c r="E26" cm="1">
        <f t="array" aca="1" ref="E26" ca="1">IFERROR(GetResortCountBySeason(), "Undefined")</f>
        <v>2</v>
      </c>
      <c r="F26" t="str" cm="1">
        <f t="array" aca="1" ref="F26" ca="1">IFERROR(GetResortCountBySeason(), "Undefined")</f>
        <v>Undefined</v>
      </c>
      <c r="G26" t="str" cm="1">
        <f t="array" aca="1" ref="G26" ca="1">IFERROR(GetResortCountBySeason(), "Undefined")</f>
        <v>Undefined</v>
      </c>
      <c r="H26" s="57" t="str" cm="1">
        <f t="array" aca="1" ref="H26" ca="1">IFERROR(GetResortCountBySeason(), "Undefined")</f>
        <v>Undefined</v>
      </c>
    </row>
    <row r="27" spans="1:8" x14ac:dyDescent="0.35">
      <c r="A27" s="92" t="s">
        <v>16</v>
      </c>
      <c r="B27" s="56">
        <f>IFERROR(IF(tableResorts[[#This Row],[Name]]="","",COUNTIF('2022-2023'!$C$11:$C$110,tableResorts[[#This Row],[Name]])),"")</f>
        <v>1</v>
      </c>
      <c r="C27">
        <f>IFERROR(IF(tableResorts[[#This Row],[Name]]="","",COUNTIF('2023-2024'!$C$11:$C$110,tableResorts[[#This Row],[Name]])),"")</f>
        <v>0</v>
      </c>
      <c r="D27">
        <f>IFERROR(IF(tableResorts[[#This Row],[Name]]="","",COUNTIF('2024-2025'!$C$14:$C$113,tableResorts[[#This Row],[Name]])),"")</f>
        <v>0</v>
      </c>
      <c r="E27" cm="1">
        <f t="array" aca="1" ref="E27" ca="1">IFERROR(GetResortCountBySeason(), "Undefined")</f>
        <v>0</v>
      </c>
      <c r="F27" t="str" cm="1">
        <f t="array" aca="1" ref="F27" ca="1">IFERROR(GetResortCountBySeason(), "Undefined")</f>
        <v>Undefined</v>
      </c>
      <c r="G27" t="str" cm="1">
        <f t="array" aca="1" ref="G27" ca="1">IFERROR(GetResortCountBySeason(), "Undefined")</f>
        <v>Undefined</v>
      </c>
      <c r="H27" s="57" t="str" cm="1">
        <f t="array" aca="1" ref="H27" ca="1">IFERROR(GetResortCountBySeason(), "Undefined")</f>
        <v>Undefined</v>
      </c>
    </row>
    <row r="28" spans="1:8" x14ac:dyDescent="0.35">
      <c r="A28" s="92" t="s">
        <v>12</v>
      </c>
      <c r="B28" s="56">
        <f>IFERROR(IF(tableResorts[[#This Row],[Name]]="","",COUNTIF('2022-2023'!$C$11:$C$110,tableResorts[[#This Row],[Name]])),"")</f>
        <v>6</v>
      </c>
      <c r="C28">
        <f>IFERROR(IF(tableResorts[[#This Row],[Name]]="","",COUNTIF('2023-2024'!$C$11:$C$110,tableResorts[[#This Row],[Name]])),"")</f>
        <v>26</v>
      </c>
      <c r="D28">
        <f>IFERROR(IF(tableResorts[[#This Row],[Name]]="","",COUNTIF('2024-2025'!$C$14:$C$113,tableResorts[[#This Row],[Name]])),"")</f>
        <v>10</v>
      </c>
      <c r="E28" cm="1">
        <f t="array" aca="1" ref="E28" ca="1">IFERROR(GetResortCountBySeason(), "Undefined")</f>
        <v>8</v>
      </c>
      <c r="F28" t="str" cm="1">
        <f t="array" aca="1" ref="F28" ca="1">IFERROR(GetResortCountBySeason(), "Undefined")</f>
        <v>Undefined</v>
      </c>
      <c r="G28" t="str" cm="1">
        <f t="array" aca="1" ref="G28" ca="1">IFERROR(GetResortCountBySeason(), "Undefined")</f>
        <v>Undefined</v>
      </c>
      <c r="H28" s="57" t="str" cm="1">
        <f t="array" aca="1" ref="H28" ca="1">IFERROR(GetResortCountBySeason(), "Undefined")</f>
        <v>Undefined</v>
      </c>
    </row>
    <row r="29" spans="1:8" ht="15" thickBot="1" x14ac:dyDescent="0.4">
      <c r="A29" s="93" t="s">
        <v>19</v>
      </c>
      <c r="B29" s="55">
        <f>IFERROR(IF(tableResorts[[#This Row],[Name]]="","",COUNTIF('2022-2023'!$C$11:$C$110,tableResorts[[#This Row],[Name]])),"")</f>
        <v>0</v>
      </c>
      <c r="C29" s="53">
        <f>IFERROR(IF(tableResorts[[#This Row],[Name]]="","",COUNTIF('2023-2024'!$C$11:$C$110,tableResorts[[#This Row],[Name]])),"")</f>
        <v>3</v>
      </c>
      <c r="D29" s="53">
        <f>IFERROR(IF(tableResorts[[#This Row],[Name]]="","",COUNTIF('2024-2025'!$C$14:$C$113,tableResorts[[#This Row],[Name]])),"")</f>
        <v>4</v>
      </c>
      <c r="E29" s="53" cm="1">
        <f t="array" aca="1" ref="E29" ca="1">IFERROR(GetResortCountBySeason(), "Undefined")</f>
        <v>0</v>
      </c>
      <c r="F29" s="53" t="str" cm="1">
        <f t="array" aca="1" ref="F29" ca="1">IFERROR(GetResortCountBySeason(), "Undefined")</f>
        <v>Undefined</v>
      </c>
      <c r="G29" s="53" t="str" cm="1">
        <f t="array" aca="1" ref="G29" ca="1">IFERROR(GetResortCountBySeason(), "Undefined")</f>
        <v>Undefined</v>
      </c>
      <c r="H29" s="54" t="str" cm="1">
        <f t="array" aca="1" ref="H29" ca="1">IFERROR(GetResortCountBySeason(), "Undefined")</f>
        <v>Undefined</v>
      </c>
    </row>
    <row r="30" spans="1:8" x14ac:dyDescent="0.35">
      <c r="A30" s="92" t="s">
        <v>5</v>
      </c>
      <c r="B30" s="56">
        <f>IFERROR(IF(tableResorts[[#This Row],[Name]]="","",COUNTIF('2022-2023'!$C$11:$C$110,tableResorts[[#This Row],[Name]])),"")</f>
        <v>3</v>
      </c>
      <c r="C30">
        <f>IFERROR(IF(tableResorts[[#This Row],[Name]]="","",COUNTIF('2023-2024'!$C$11:$C$110,tableResorts[[#This Row],[Name]])),"")</f>
        <v>5</v>
      </c>
      <c r="D30">
        <f>IFERROR(IF(tableResorts[[#This Row],[Name]]="","",COUNTIF('2024-2025'!$C$14:$C$113,tableResorts[[#This Row],[Name]])),"")</f>
        <v>9</v>
      </c>
      <c r="E30" cm="1">
        <f t="array" aca="1" ref="E30" ca="1">IFERROR(GetResortCountBySeason(), "Undefined")</f>
        <v>3</v>
      </c>
      <c r="F30" t="str" cm="1">
        <f t="array" aca="1" ref="F30" ca="1">IFERROR(GetResortCountBySeason(), "Undefined")</f>
        <v>Undefined</v>
      </c>
      <c r="G30" t="str" cm="1">
        <f t="array" aca="1" ref="G30" ca="1">IFERROR(GetResortCountBySeason(), "Undefined")</f>
        <v>Undefined</v>
      </c>
      <c r="H30" s="57" t="str" cm="1">
        <f t="array" aca="1" ref="H30" ca="1">IFERROR(GetResortCountBySeason(), "Undefined")</f>
        <v>Undefined</v>
      </c>
    </row>
    <row r="31" spans="1:8" x14ac:dyDescent="0.35">
      <c r="A31" s="92" t="s">
        <v>47</v>
      </c>
      <c r="B31" s="56">
        <f>SUBTOTAL(109,tableResorts[2022-2023])</f>
        <v>50</v>
      </c>
      <c r="C31">
        <f>SUBTOTAL(109,tableResorts[2023-2024])</f>
        <v>47</v>
      </c>
      <c r="D31">
        <f>SUBTOTAL(109,tableResorts[2024-2025])</f>
        <v>51</v>
      </c>
      <c r="E31">
        <f ca="1">SUBTOTAL(109,tableResorts[2025-2026])</f>
        <v>54</v>
      </c>
      <c r="F31">
        <f ca="1">SUBTOTAL(109,tableResorts[2026-2027])</f>
        <v>0</v>
      </c>
      <c r="G31">
        <f ca="1">SUBTOTAL(109,tableResorts[2027-2028])</f>
        <v>0</v>
      </c>
      <c r="H31" s="57">
        <f ca="1">SUBTOTAL(109,tableResorts[2028-2029])</f>
        <v>0</v>
      </c>
    </row>
  </sheetData>
  <sortState xmlns:xlrd2="http://schemas.microsoft.com/office/spreadsheetml/2017/richdata2" ref="A5:A29">
    <sortCondition ref="A5:A29"/>
  </sortState>
  <mergeCells count="1">
    <mergeCell ref="B3:H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8C0F-17CE-4FA6-96A5-E99CAF9AA677}">
  <sheetPr codeName="Sheet9"/>
  <dimension ref="A1:I6"/>
  <sheetViews>
    <sheetView workbookViewId="0">
      <selection activeCell="I5" sqref="I5"/>
    </sheetView>
  </sheetViews>
  <sheetFormatPr defaultRowHeight="14.5" x14ac:dyDescent="0.35"/>
  <cols>
    <col min="1" max="1" width="23.81640625" customWidth="1"/>
    <col min="2" max="2" width="8.90625" customWidth="1"/>
    <col min="3" max="8" width="12.54296875" customWidth="1"/>
  </cols>
  <sheetData>
    <row r="1" spans="1:9" ht="15.5" x14ac:dyDescent="0.35">
      <c r="A1" s="2" t="s">
        <v>56</v>
      </c>
    </row>
    <row r="2" spans="1:9" x14ac:dyDescent="0.35">
      <c r="C2" s="94" t="s">
        <v>107</v>
      </c>
      <c r="D2" s="152"/>
      <c r="E2" s="152"/>
      <c r="F2" s="152"/>
      <c r="G2" s="152"/>
      <c r="H2" s="152"/>
    </row>
    <row r="3" spans="1:9" x14ac:dyDescent="0.35">
      <c r="A3" s="60" t="s">
        <v>25</v>
      </c>
      <c r="B3" s="60" t="s">
        <v>91</v>
      </c>
      <c r="C3" s="60" t="s">
        <v>60</v>
      </c>
      <c r="D3" s="60" t="s">
        <v>61</v>
      </c>
      <c r="E3" s="60" t="s">
        <v>62</v>
      </c>
      <c r="F3" s="60" t="s">
        <v>63</v>
      </c>
      <c r="G3" s="60" t="s">
        <v>64</v>
      </c>
      <c r="H3" s="60" t="s">
        <v>108</v>
      </c>
      <c r="I3" s="60" t="s">
        <v>47</v>
      </c>
    </row>
    <row r="4" spans="1:9" x14ac:dyDescent="0.35">
      <c r="A4" s="77" t="s">
        <v>41</v>
      </c>
      <c r="B4" s="77" t="s">
        <v>92</v>
      </c>
      <c r="C4" s="77">
        <v>3</v>
      </c>
      <c r="D4" s="77" cm="1">
        <f t="array" aca="1" ref="D4" ca="1">IFERROR(GetDaySkisUsedCountBySeason(),"Undefined")</f>
        <v>15</v>
      </c>
      <c r="E4" s="77" t="str" cm="1">
        <f t="array" aca="1" ref="E4" ca="1">IFERROR(GetDaySkisUsedCountBySeason(),"Undefined")</f>
        <v>Undefined</v>
      </c>
      <c r="F4" s="77" t="str" cm="1">
        <f t="array" aca="1" ref="F4" ca="1">IFERROR(GetDaySkisUsedCountBySeason(),"Undefined")</f>
        <v>Undefined</v>
      </c>
      <c r="G4" s="77" t="str" cm="1">
        <f t="array" aca="1" ref="G4" ca="1">IFERROR(GetDaySkisUsedCountBySeason(),"Undefined")</f>
        <v>Undefined</v>
      </c>
      <c r="H4" s="77" t="str" cm="1">
        <f t="array" aca="1" ref="H4" ca="1">IFERROR(GetDaySkisUsedCountBySeason(),"Undefined")</f>
        <v>Undefined</v>
      </c>
      <c r="I4" s="77">
        <f ca="1">SUM($C4:H4)</f>
        <v>18</v>
      </c>
    </row>
    <row r="5" spans="1:9" x14ac:dyDescent="0.35">
      <c r="A5" s="77" t="s">
        <v>42</v>
      </c>
      <c r="B5" s="77" t="s">
        <v>88</v>
      </c>
      <c r="C5" s="77">
        <v>7</v>
      </c>
      <c r="D5" s="77" cm="1">
        <f t="array" aca="1" ref="D5" ca="1">IFERROR(GetDaySkisUsedCountBySeason(),"Undefined")</f>
        <v>37</v>
      </c>
      <c r="E5" s="77" t="str" cm="1">
        <f t="array" aca="1" ref="E5" ca="1">IFERROR(GetDaySkisUsedCountBySeason(),"Undefined")</f>
        <v>Undefined</v>
      </c>
      <c r="F5" s="77" t="str" cm="1">
        <f t="array" aca="1" ref="F5" ca="1">IFERROR(GetDaySkisUsedCountBySeason(),"Undefined")</f>
        <v>Undefined</v>
      </c>
      <c r="G5" s="77" t="str" cm="1">
        <f t="array" aca="1" ref="G5" ca="1">IFERROR(GetDaySkisUsedCountBySeason(),"Undefined")</f>
        <v>Undefined</v>
      </c>
      <c r="H5" s="77" t="str" cm="1">
        <f t="array" aca="1" ref="H5" ca="1">IFERROR(GetDaySkisUsedCountBySeason(),"Undefined")</f>
        <v>Undefined</v>
      </c>
      <c r="I5" s="77">
        <f ca="1">SUM($C5:H5)</f>
        <v>44</v>
      </c>
    </row>
    <row r="6" spans="1:9" x14ac:dyDescent="0.35">
      <c r="A6" s="77" t="s">
        <v>40</v>
      </c>
      <c r="B6" s="77" t="s">
        <v>93</v>
      </c>
      <c r="C6" s="77">
        <v>41</v>
      </c>
      <c r="D6" s="77" cm="1">
        <f t="array" aca="1" ref="D6" ca="1">IFERROR(GetDaySkisUsedCountBySeason(),"Undefined")</f>
        <v>2</v>
      </c>
      <c r="E6" s="77" t="str" cm="1">
        <f t="array" aca="1" ref="E6" ca="1">IFERROR(GetDaySkisUsedCountBySeason(),"Undefined")</f>
        <v>Undefined</v>
      </c>
      <c r="F6" s="77" t="str" cm="1">
        <f t="array" aca="1" ref="F6" ca="1">IFERROR(GetDaySkisUsedCountBySeason(),"Undefined")</f>
        <v>Undefined</v>
      </c>
      <c r="G6" s="77" t="str" cm="1">
        <f t="array" aca="1" ref="G6" ca="1">IFERROR(GetDaySkisUsedCountBySeason(),"Undefined")</f>
        <v>Undefined</v>
      </c>
      <c r="H6" s="77" t="str" cm="1">
        <f t="array" aca="1" ref="H6" ca="1">IFERROR(GetDaySkisUsedCountBySeason(),"Undefined")</f>
        <v>Undefined</v>
      </c>
      <c r="I6" s="77">
        <f ca="1">SUM($C6:H6)</f>
        <v>43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E7D8F-5DA7-4673-A590-9986D894D7ED}">
  <sheetPr codeName="Sheet5"/>
  <dimension ref="A1:C7"/>
  <sheetViews>
    <sheetView tabSelected="1" workbookViewId="0">
      <selection activeCell="B7" sqref="B7"/>
    </sheetView>
  </sheetViews>
  <sheetFormatPr defaultRowHeight="14.5" x14ac:dyDescent="0.35"/>
  <cols>
    <col min="1" max="1" width="18.453125" customWidth="1"/>
    <col min="2" max="2" width="16.453125" customWidth="1"/>
    <col min="3" max="3" width="23.90625" customWidth="1"/>
  </cols>
  <sheetData>
    <row r="1" spans="1:3" x14ac:dyDescent="0.35">
      <c r="A1" s="8" t="s">
        <v>100</v>
      </c>
    </row>
    <row r="5" spans="1:3" ht="15" thickBot="1" x14ac:dyDescent="0.4"/>
    <row r="6" spans="1:3" ht="15" thickBot="1" x14ac:dyDescent="0.4">
      <c r="A6" s="133" t="s">
        <v>25</v>
      </c>
      <c r="B6" s="134" t="s">
        <v>102</v>
      </c>
      <c r="C6" s="135" t="s">
        <v>104</v>
      </c>
    </row>
    <row r="7" spans="1:3" ht="15" thickBot="1" x14ac:dyDescent="0.4">
      <c r="A7" s="130" t="s">
        <v>103</v>
      </c>
      <c r="B7" s="131" t="s">
        <v>101</v>
      </c>
      <c r="C7" s="132" t="s"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nprotectAllSheetsAndCharts">
                <anchor moveWithCells="1" sizeWithCells="1">
                  <from>
                    <xdr:col>2</xdr:col>
                    <xdr:colOff>12700</xdr:colOff>
                    <xdr:row>0</xdr:row>
                    <xdr:rowOff>146050</xdr:rowOff>
                  </from>
                  <to>
                    <xdr:col>6</xdr:col>
                    <xdr:colOff>82550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otectAllSheetsAndCharts">
                <anchor moveWithCells="1" sizeWithCells="1">
                  <from>
                    <xdr:col>2</xdr:col>
                    <xdr:colOff>25400</xdr:colOff>
                    <xdr:row>2</xdr:row>
                    <xdr:rowOff>107950</xdr:rowOff>
                  </from>
                  <to>
                    <xdr:col>6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3DC28BF-B7A0-4A72-B281-0AB624BD739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3857734-C871-4C18-952B-7D2A5E43EC60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2022-2023</vt:lpstr>
      <vt:lpstr>2023-2024</vt:lpstr>
      <vt:lpstr>2024-2025</vt:lpstr>
      <vt:lpstr>2025-2026</vt:lpstr>
      <vt:lpstr>Resorts</vt:lpstr>
      <vt:lpstr>Skis</vt:lpstr>
      <vt:lpstr>Settings</vt:lpstr>
      <vt:lpstr>ResortNames</vt:lpstr>
      <vt:lpstr>SkiNames</vt:lpstr>
      <vt:lpstr>WorkbookTitle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Taylor</dc:creator>
  <cp:lastModifiedBy>Robert Taylor</cp:lastModifiedBy>
  <cp:lastPrinted>2023-02-25T11:34:57Z</cp:lastPrinted>
  <dcterms:created xsi:type="dcterms:W3CDTF">2023-02-25T11:00:34Z</dcterms:created>
  <dcterms:modified xsi:type="dcterms:W3CDTF">2026-09-08T00:15:35Z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9c30d4b0-c498-427c-842c-d2c2de469e14</vt:lpwstr>
  </property>
</Properties>
</file>
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tables/table15.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tables/table16.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18.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tables/table19.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User\Google Drive Streaming\My Drive\My Documents\Recreation\Ski Snow\Logs\"/>
    </mc:Choice>
  </mc:AlternateContent>
  <xr:revisionPtr revIDLastSave="0" documentId="13_ncr:1_{20281D07-45E6-4A81-B2C0-496C2F2810EE}" xr6:coauthVersionLast="47" xr6:coauthVersionMax="47" xr10:uidLastSave="{00000000-0000-0000-0000-000000000000}"/>
  <bookViews>
    <workbookView xWindow="-110" yWindow="-110" windowWidth="38620" windowHeight="21100" firstSheet="4" activeTab="11" xr2:uid="{BDE1E40C-703D-4A8A-9139-D91D4CFEC14D}"/>
  </bookViews>
  <sheets>
    <sheet name="2022-2023" sheetId="3" r:id="rId1"/>
    <sheet name="2023-2024" sheetId="1" r:id="rId2"/>
    <sheet name="2024-2025" sheetId="4" r:id="rId3"/>
    <sheet name="2025-2026" sheetId="13" r:id="rId4"/>
    <sheet name="2026-2027" sheetId="16" r:id="rId5"/>
    <sheet name="2027-2028" sheetId="17" r:id="rId6"/>
    <sheet name="2028-2029" sheetId="18" r:id="rId7"/>
    <sheet name="2029-2030" sheetId="19" r:id="rId8"/>
    <sheet name="Resorts" sheetId="2" r:id="rId9"/>
    <sheet name="Skis" sheetId="12" r:id="rId10"/>
    <sheet name="Misc Values" sheetId="14" r:id="rId11"/>
    <sheet name="Exec Utils" sheetId="15" r:id="rId12"/>
    <sheet name="DV All Rpt" sheetId="21" r:id="rId13"/>
    <sheet name="DV by F Rpt" sheetId="22" r:id="rId14"/>
    <sheet name="Tables Ws Refs Rpt" sheetId="23" r:id="rId15"/>
    <sheet name="Def Names Ws Refs Rpt" sheetId="24" r:id="rId16"/>
    <sheet name="Def Names All Refs" sheetId="25" r:id="rId17"/>
  </sheets>
  <functionGroups builtInGroupCount="19"/>
  <definedNames>
    <definedName name="_xleta.COUNT" hidden="1" xlm="1">#NAME?</definedName>
    <definedName name="_xleta.COUNTA" hidden="1" xlm="1">#NAME?</definedName>
    <definedName name="_xleta.COUNTIF" hidden="1" xlm="1">#NAME?</definedName>
    <definedName name="_xleta.DAYS" hidden="1" xlm="1">#NAME?</definedName>
    <definedName name="_xleta.IF" hidden="1" xlm="1">#NAME?</definedName>
    <definedName name="_xleta.INDEX" hidden="1" xlm="1">#NAME?</definedName>
    <definedName name="_xleta.INDIRECT" hidden="1" xlm="1">#NAME?</definedName>
    <definedName name="_xleta.OFFSET" hidden="1" xlm="1">#NAME?</definedName>
    <definedName name="_xleta.ROWS" hidden="1" xlm="1">#NAME?</definedName>
    <definedName name="_xleta.SUM" hidden="1" xlm="1">#NAME?</definedName>
    <definedName name="_xleta.T" hidden="1" xlm="1">#NAME?</definedName>
    <definedName name="_xleta.UNIQUE" hidden="1" xlm="1">#NAME?</definedName>
    <definedName name="_xleta.XLOOKUP" hidden="1" xlm="1">#NAME?</definedName>
    <definedName name="_xlop.cell_ref" hidden="1" xlm="1">#NAME?</definedName>
    <definedName name="_xlop.pColSki" hidden="1" xlm="1">#NAME?</definedName>
    <definedName name="_xlop.pColSkiName" hidden="1" xlm="1">#NAME?</definedName>
    <definedName name="_xlop.pCurrentSeasonWrkshtName" hidden="1" xlm="1">#NAME?</definedName>
    <definedName name="_xlop.pCurSeasonWrkshtName" hidden="1" xlm="1">#NAME?</definedName>
    <definedName name="_xlop.pCursSeasonWrkshtName" hidden="1" xlm="1">#NAME?</definedName>
    <definedName name="_xlop.pGetOnlyNotEmptyString" hidden="1" xlm="1">#NAME?</definedName>
    <definedName name="_xlop.pLastValue" hidden="1" xlm="1">#NAME?</definedName>
    <definedName name="_xlop.pNotEmptyString" hidden="1" xlm="1">#NAME?</definedName>
    <definedName name="_xlop.pResortName" hidden="1" xlm="1">#NAME?</definedName>
    <definedName name="_xlop.pSeasonName" hidden="1" xlm="1">#NAME?</definedName>
    <definedName name="_xlop.pSeasonWrkshtName" hidden="1" xlm="1">#NAME?</definedName>
    <definedName name="_xlop.pSkiAlphaAndMaintProcAbbrev" hidden="1" xlm="1">#NAME?</definedName>
    <definedName name="_xlop.pSkiMainProcAbbrev" hidden="1" xlm="1">#NAME?</definedName>
    <definedName name="_xlop.pSkiName" hidden="1" xlm="1">#NAME?</definedName>
    <definedName name="_xlop.pTableName" hidden="1" xlm="1">#NAME?</definedName>
    <definedName name="_xlop.pWrkshtname" hidden="1" xlm="1">#NAME?</definedName>
    <definedName name="_xlop.ref" hidden="1" xlm="1">#NAME?</definedName>
    <definedName name="_xlpm._" hidden="1" xlm="1">#NAME?</definedName>
    <definedName name="_xlpm.__cellColNum" hidden="1" xlm="1">#NAME?</definedName>
    <definedName name="_xlpm.__colDoneName" hidden="1" xlm="1">#NAME?</definedName>
    <definedName name="_xlpm.__colDoneRef" hidden="1" xlm="1">#NAME?</definedName>
    <definedName name="_xlpm.__colSkiAlphabeticIndicator" hidden="1" xlm="1">#NAME?</definedName>
    <definedName name="_xlpm.__colSkiName" hidden="1" xlm="1">#NAME?</definedName>
    <definedName name="_xlpm.__headerRowRef" hidden="1" xlm="1">#NAME?</definedName>
    <definedName name="_xlpm.__indexParam" hidden="1" xlm="1">#NAME?</definedName>
    <definedName name="_xlpm.__isDateEmpty" hidden="1" xlm="1">#NAME?</definedName>
    <definedName name="_xlpm.__param" hidden="1" xlm="1">#NAME?</definedName>
    <definedName name="_xlpm.__prelimValue" hidden="1" xlm="1">#NAME?</definedName>
    <definedName name="_xlpm.__result" hidden="1" xlm="1">#NAME?</definedName>
    <definedName name="_xlpm.__rowSkiName" hidden="1" xlm="1">#NAME?</definedName>
    <definedName name="_xlpm.__seasonName" hidden="1" xlm="1">#NAME?</definedName>
    <definedName name="_xlpm.__tableFirstColNum" hidden="1" xlm="1">#NAME?</definedName>
    <definedName name="_xlpm._addForCurDaySkiMatch" hidden="1" xlm="1">#NAME?</definedName>
    <definedName name="_xlpm._adjustedDays" hidden="1" xlm="1">#NAME?</definedName>
    <definedName name="_xlpm._adjustmentVal" hidden="1" xlm="1">#NAME?</definedName>
    <definedName name="_xlpm._c" hidden="1" xlm="1">#NAME?</definedName>
    <definedName name="_xlpm._c_result" hidden="1" xlm="1">#NAME?</definedName>
    <definedName name="_xlpm._ce_result" hidden="1" xlm="1">#NAME?</definedName>
    <definedName name="_xlpm._cel_result" hidden="1" xlm="1">#NAME?</definedName>
    <definedName name="_xlpm._cell_result" hidden="1" xlm="1">#NAME?</definedName>
    <definedName name="_xlpm._cellR_result" hidden="1" xlm="1">#NAME?</definedName>
    <definedName name="_xlpm._cellRo_result" hidden="1" xlm="1">#NAME?</definedName>
    <definedName name="_xlpm._cellRow" hidden="1" xlm="1">#NAME?</definedName>
    <definedName name="_xlpm._cellRow_result" hidden="1" xlm="1">#NAME?</definedName>
    <definedName name="_xlpm._co" hidden="1" xlm="1">#NAME?</definedName>
    <definedName name="_xlpm._col" hidden="1" xlm="1">#NAME?</definedName>
    <definedName name="_xlpm._colDaysName" hidden="1" xlm="1">#NAME?</definedName>
    <definedName name="_xlpm._colN" hidden="1" xlm="1">#NAME?</definedName>
    <definedName name="_xlpm._colNa" hidden="1" xlm="1">#NAME?</definedName>
    <definedName name="_xlpm._colNam" hidden="1" xlm="1">#NAME?</definedName>
    <definedName name="_xlpm._colName" hidden="1" xlm="1">#NAME?</definedName>
    <definedName name="_xlpm._colNum" hidden="1" xlm="1">#NAME?</definedName>
    <definedName name="_xlpm._colRef" hidden="1" xlm="1">#NAME?</definedName>
    <definedName name="_xlpm._colResortName" hidden="1" xlm="1">#NAME?</definedName>
    <definedName name="_xlpm._colu" hidden="1" xlm="1">#NAME?</definedName>
    <definedName name="_xlpm._colum" hidden="1" xlm="1">#NAME?</definedName>
    <definedName name="_xlpm._column" hidden="1" xlm="1">#NAME?</definedName>
    <definedName name="_xlpm._comment" hidden="1" xlm="1">#NAME?</definedName>
    <definedName name="_xlpm._countCriteria" hidden="1" xlm="1">#NAME?</definedName>
    <definedName name="_xlpm._countRange" hidden="1" xlm="1">#NAME?</definedName>
    <definedName name="_xlpm._currentCell" hidden="1" xlm="1">#NAME?</definedName>
    <definedName name="_xlpm._currentCellInFirstRow" hidden="1" xlm="1">#NAME?</definedName>
    <definedName name="_xlpm._currentCellRow" hidden="1" xlm="1">#NAME?</definedName>
    <definedName name="_xlpm._currentEndYear" hidden="1" xlm="1">#NAME?</definedName>
    <definedName name="_xlpm._currentSeasonWrkshtName" hidden="1" xlm="1">#NAME?</definedName>
    <definedName name="_xlpm._currentStartYear" hidden="1" xlm="1">#NAME?</definedName>
    <definedName name="_xlpm._done" hidden="1" xlm="1">#NAME?</definedName>
    <definedName name="_xlpm._fileName" hidden="1" xlm="1">#NAME?</definedName>
    <definedName name="_xlpm._fullColumn" hidden="1" xlm="1">#NAME?</definedName>
    <definedName name="_xlpm._functionName" hidden="1" xlm="1">#NAME?</definedName>
    <definedName name="_xlpm._getOnlyNotEmptyString" hidden="1" xlm="1">#NAME?</definedName>
    <definedName name="_xlpm._headersRef" hidden="1" xlm="1">#NAME?</definedName>
    <definedName name="_xlpm._if_not_found" hidden="1" xlm="1">#NAME?</definedName>
    <definedName name="_xlpm._indirectParam" hidden="1" xlm="1">#NAME?</definedName>
    <definedName name="_xlpm._indirectRef" hidden="1" xlm="1">#NAME?</definedName>
    <definedName name="_xlpm._indirectRefS" hidden="1" xlm="1">#NAME?</definedName>
    <definedName name="_xlpm._indirectRefSt" hidden="1" xlm="1">#NAME?</definedName>
    <definedName name="_xlpm._indirectRefStr" hidden="1" xlm="1">#NAME?</definedName>
    <definedName name="_xlpm._indirectRefStri" hidden="1" xlm="1">#NAME?</definedName>
    <definedName name="_xlpm._indirectRefStrin" hidden="1" xlm="1">#NAME?</definedName>
    <definedName name="_xlpm._indirectRefString" hidden="1" xlm="1">#NAME?</definedName>
    <definedName name="_xlpm._isCurrentCellInTableFirstRow" hidden="1" xlm="1">#NAME?</definedName>
    <definedName name="_xlpm._isDateEmpty" hidden="1" xlm="1">#NAME?</definedName>
    <definedName name="_xlpm._lastEOSdays" hidden="1" xlm="1">#NAME?</definedName>
    <definedName name="_xlpm._lastEOSdone" hidden="1" xlm="1">#NAME?</definedName>
    <definedName name="_xlpm._lastValue" hidden="1" xlm="1">#NAME?</definedName>
    <definedName name="_xlpm._lookup_array" hidden="1" xlm="1">#NAME?</definedName>
    <definedName name="_xlpm._lookup_value" hidden="1" xlm="1">#NAME?</definedName>
    <definedName name="_xlpm._match_mode" hidden="1" xlm="1">#NAME?</definedName>
    <definedName name="_xlpm._newValue" hidden="1" xlm="1">#NAME?</definedName>
    <definedName name="_xlpm._notEmptyString" hidden="1" xlm="1">#NAME?</definedName>
    <definedName name="_xlpm._prelimDays" hidden="1" xlm="1">#NAME?</definedName>
    <definedName name="_xlpm._prelimResult" hidden="1" xlm="1">#NAME?</definedName>
    <definedName name="_xlpm._prevEOStableName" hidden="1" xlm="1">#NAME?</definedName>
    <definedName name="_xlpm._previousDayCount" hidden="1" xlm="1">#NAME?</definedName>
    <definedName name="_xlpm._previousDays" hidden="1" xlm="1">#NAME?</definedName>
    <definedName name="_xlpm._previousDone" hidden="1" xlm="1">#NAME?</definedName>
    <definedName name="_xlpm._priorSeasonName" hidden="1" xlm="1">#NAME?</definedName>
    <definedName name="_xlpm._priorSeasonWrkshtName" hidden="1" xlm="1">#NAME?</definedName>
    <definedName name="_xlpm._priorYearEnd" hidden="1" xlm="1">#NAME?</definedName>
    <definedName name="_xlpm._priorYearStart" hidden="1" xlm="1">#NAME?</definedName>
    <definedName name="_xlpm._ref" hidden="1" xlm="1">#NAME?</definedName>
    <definedName name="_xlpm._result" hidden="1" xlm="1">#NAME?</definedName>
    <definedName name="_xlpm._resultIncludeEmpty" hidden="1" xlm="1">#NAME?</definedName>
    <definedName name="_xlpm._resultNotEmpty" hidden="1" xlm="1">#NAME?</definedName>
    <definedName name="_xlpm._return_array" hidden="1" xlm="1">#NAME?</definedName>
    <definedName name="_xlpm._rowAndProcSkiMatch" hidden="1" xlm="1">#NAME?</definedName>
    <definedName name="_xlpm._rowNum" hidden="1" xlm="1">#NAME?</definedName>
    <definedName name="_xlpm._rowSki" hidden="1" xlm="1">#NAME?</definedName>
    <definedName name="_xlpm._search_mode" hidden="1" xlm="1">#NAME?</definedName>
    <definedName name="_xlpm._seasonTableName" hidden="1" xlm="1">#NAME?</definedName>
    <definedName name="_xlpm._skiAlpha" hidden="1" xlm="1">#NAME?</definedName>
    <definedName name="_xlpm._skiAlphaAndMaintProcAbbrev" hidden="1" xlm="1">#NAME?</definedName>
    <definedName name="_xlpm._SkiIdxPlusMainProcAbbrev" hidden="1" xlm="1">#NAME?</definedName>
    <definedName name="_xlpm._tableFirstRow" hidden="1" xlm="1">#NAME?</definedName>
    <definedName name="_xlpm._tableName" hidden="1" xlm="1">#NAME?</definedName>
    <definedName name="_xlpm._tableRef" hidden="1" xlm="1">#NAME?</definedName>
    <definedName name="_xlpm._unadjustedDays" hidden="1" xlm="1">#NAME?</definedName>
    <definedName name="_xlpm._useLastSeasonVals" hidden="1" xlm="1">#NAME?</definedName>
    <definedName name="_xlpm._wasMaintenanceDone" hidden="1" xlm="1">#NAME?</definedName>
    <definedName name="_xlpm._wrkshtName" hidden="1" xlm="1">#NAME?</definedName>
    <definedName name="_xlpm.abbrev_input" hidden="1" xlm="1">#NAME?</definedName>
    <definedName name="_xlpm.ableName" hidden="1" xlm="1">#NAME?</definedName>
    <definedName name="_xlpm.accum" hidden="1" xlm="1">#NAME?</definedName>
    <definedName name="_xlpm.aintenanceTypeAbrrev" hidden="1" xlm="1">#NAME?</definedName>
    <definedName name="_xlpm.ame" hidden="1" xlm="1">#NAME?</definedName>
    <definedName name="_xlpm.bleName" hidden="1" xlm="1">#NAME?</definedName>
    <definedName name="_xlpm.C" hidden="1" xlm="1">#NAME?</definedName>
    <definedName name="_xlpm.cell_ref" hidden="1" xlm="1">#NAME?</definedName>
    <definedName name="_xlpm.cellRef" hidden="1" xlm="1">#NAME?</definedName>
    <definedName name="_xlpm.Co" hidden="1" xlm="1">#NAME?</definedName>
    <definedName name="_xlpm.col" hidden="1" xlm="1">#NAME?</definedName>
    <definedName name="_xlpm.colN" hidden="1" xlm="1">#NAME?</definedName>
    <definedName name="_xlpm.colNa" hidden="1" xlm="1">#NAME?</definedName>
    <definedName name="_xlpm.colNam" hidden="1" xlm="1">#NAME?</definedName>
    <definedName name="_xlpm.colName" hidden="1" xlm="1">#NAME?</definedName>
    <definedName name="_xlpm.ColSki" hidden="1" xlm="1">#NAME?</definedName>
    <definedName name="_xlpm.currentCell" hidden="1" xlm="1">#NAME?</definedName>
    <definedName name="_xlpm.currentDate" hidden="1" xlm="1">#NAME?</definedName>
    <definedName name="_xlpm.currentResort" hidden="1" xlm="1">#NAME?</definedName>
    <definedName name="_xlpm.dateCol" hidden="1" xlm="1">#NAME?</definedName>
    <definedName name="_xlpm.DateRef" hidden="1" xlm="1">#NAME?</definedName>
    <definedName name="_xlpm.DoneRef" hidden="1" xlm="1">#NAME?</definedName>
    <definedName name="_xlpm.e" hidden="1" xlm="1">#NAME?</definedName>
    <definedName name="_xlpm.eName" hidden="1" xlm="1">#NAME?</definedName>
    <definedName name="_xlpm.end" hidden="1" xlm="1">#NAME?</definedName>
    <definedName name="_xlpm.eoskiLetter" hidden="1" xlm="1">#NAME?</definedName>
    <definedName name="_xlpm.eosskiLetter" hidden="1" xlm="1">#NAME?</definedName>
    <definedName name="_xlpm.eosTableName" hidden="1" xlm="1">#NAME?</definedName>
    <definedName name="_xlpm.eosTableNameskiLetter" hidden="1" xlm="1">#NAME?</definedName>
    <definedName name="_xlpm.eosTableNamskiLetter" hidden="1" xlm="1">#NAME?</definedName>
    <definedName name="_xlpm.eosTableNaskiLetter" hidden="1" xlm="1">#NAME?</definedName>
    <definedName name="_xlpm.eosTableNskiLetter" hidden="1" xlm="1">#NAME?</definedName>
    <definedName name="_xlpm.eosTableskiLetter" hidden="1" xlm="1">#NAME?</definedName>
    <definedName name="_xlpm.eosTablskiLetter" hidden="1" xlm="1">#NAME?</definedName>
    <definedName name="_xlpm.eosTabskiLetter" hidden="1" xlm="1">#NAME?</definedName>
    <definedName name="_xlpm.eosTaskiLetter" hidden="1" xlm="1">#NAME?</definedName>
    <definedName name="_xlpm.eosTskiLetter" hidden="1" xlm="1">#NAME?</definedName>
    <definedName name="_xlpm.eskiLetter" hidden="1" xlm="1">#NAME?</definedName>
    <definedName name="_xlpm.f" hidden="1" xlm="1">#NAME?</definedName>
    <definedName name="_xlpm.headersRef" hidden="1" xlm="1">#NAME?</definedName>
    <definedName name="_xlpm.I_countRange" hidden="1" xlm="1">#NAME?</definedName>
    <definedName name="_xlpm.In_countRange" hidden="1" xlm="1">#NAME?</definedName>
    <definedName name="_xlpm.Ind_countRange" hidden="1" xlm="1">#NAME?</definedName>
    <definedName name="_xlpm.Inde_countRange" hidden="1" xlm="1">#NAME?</definedName>
    <definedName name="_xlpm.Index_countRange" hidden="1" xlm="1">#NAME?</definedName>
    <definedName name="_xlpm.LastCount" hidden="1" xlm="1">#NAME?</definedName>
    <definedName name="_xlpm.lastValue" hidden="1" xlm="1">#NAME?</definedName>
    <definedName name="_xlpm.leName" hidden="1" xlm="1">#NAME?</definedName>
    <definedName name="_xlpm.maintenanceLetterAbbrev" hidden="1" xlm="1">#NAME?</definedName>
    <definedName name="_xlpm.maintenanceTypeAbrrev" hidden="1" xlm="1">#NAME?</definedName>
    <definedName name="_xlpm.me" hidden="1" xlm="1">#NAME?</definedName>
    <definedName name="_xlpm.Name" hidden="1" xlm="1">#NAME?</definedName>
    <definedName name="_xlpm.name_input" hidden="1" xlm="1">#NAME?</definedName>
    <definedName name="_xlpm.new" hidden="1" xlm="1">#NAME?</definedName>
    <definedName name="_xlpm.osTableName" hidden="1" xlm="1">#NAME?</definedName>
    <definedName name="_xlpm.pCellRef" hidden="1" xlm="1">#NAME?</definedName>
    <definedName name="_xlpm.pCol" hidden="1" xlm="1">#NAME?</definedName>
    <definedName name="_xlpm.pColOffset" hidden="1" xlm="1">#NAME?</definedName>
    <definedName name="_xlpm.pColSki" hidden="1" xlm="1">#NAME?</definedName>
    <definedName name="_xlpm.pColSkiName" hidden="1" xlm="1">#NAME?</definedName>
    <definedName name="_xlpm.pCurCell" hidden="1" xlm="1">#NAME?</definedName>
    <definedName name="_xlpm.pCurrentSeasonWrkshtName" hidden="1" xlm="1">#NAME?</definedName>
    <definedName name="_xlpm.pCurSeasonName" hidden="1" xlm="1">#NAME?</definedName>
    <definedName name="_xlpm.pCurSeasonWrkshtName" hidden="1" xlm="1">#NAME?</definedName>
    <definedName name="_xlpm.pCursSeasonWrkshtName" hidden="1" xlm="1">#NAME?</definedName>
    <definedName name="_xlpm.pDayIdx" hidden="1" xlm="1">#NAME?</definedName>
    <definedName name="_xlpm.pFullRng" hidden="1" xlm="1">#NAME?</definedName>
    <definedName name="_xlpm.pGetOnlyNotEmptyString" hidden="1" xlm="1">#NAME?</definedName>
    <definedName name="_xlpm.pLastDaysVal" hidden="1" xlm="1">#NAME?</definedName>
    <definedName name="_xlpm.pLastDoneVal" hidden="1" xlm="1">#NAME?</definedName>
    <definedName name="_xlpm.pLastValue" hidden="1" xlm="1">#NAME?</definedName>
    <definedName name="_xlpm.pMainProcName" hidden="1" xlm="1">#NAME?</definedName>
    <definedName name="_xlpm.pMaintProcAbbrev" hidden="1" xlm="1">#NAME?</definedName>
    <definedName name="_xlpm.pMaintProcName" hidden="1" xlm="1">#NAME?</definedName>
    <definedName name="_xlpm.pMaintSkiIdx" hidden="1" xlm="1">#NAME?</definedName>
    <definedName name="_xlpm.pNotEmptyString" hidden="1" xlm="1">#NAME?</definedName>
    <definedName name="_xlpm.pRef" hidden="1" xlm="1">#NAME?</definedName>
    <definedName name="_xlpm.pResortName" hidden="1" xlm="1">#NAME?</definedName>
    <definedName name="_xlpm.previous_count" hidden="1" xlm="1">#NAME?</definedName>
    <definedName name="_xlpm.pRowOffset" hidden="1" xlm="1">#NAME?</definedName>
    <definedName name="_xlpm.pRowSkiIdx" hidden="1" xlm="1">#NAME?</definedName>
    <definedName name="_xlpm.pRowSkiName" hidden="1" xlm="1">#NAME?</definedName>
    <definedName name="_xlpm.pSeasonName" hidden="1" xlm="1">#NAME?</definedName>
    <definedName name="_xlpm.pSeasonWrkshtName" hidden="1" xlm="1">#NAME?</definedName>
    <definedName name="_xlpm.pSkiAlphaAndMaintProcAbbrev" hidden="1" xlm="1">#NAME?</definedName>
    <definedName name="_xlpm.pSkiIdx" hidden="1" xlm="1">#NAME?</definedName>
    <definedName name="_xlpm.pSkiIdxPlusMainProcAbbrev" hidden="1" xlm="1">#NAME?</definedName>
    <definedName name="_xlpm.pSkiMainProcAbbrev" hidden="1" xlm="1">#NAME?</definedName>
    <definedName name="_xlpm.pSkiMaintProcAbbrev" hidden="1" xlm="1">#NAME?</definedName>
    <definedName name="_xlpm.pSkiName" hidden="1" xlm="1">#NAME?</definedName>
    <definedName name="_xlpm.pSkiPlusMainProcAbbrev" hidden="1" xlm="1">#NAME?</definedName>
    <definedName name="_xlpm.pSkiSeasonName" hidden="1" xlm="1">#NAME?</definedName>
    <definedName name="_xlpm.pTableColRef" hidden="1" xlm="1">#NAME?</definedName>
    <definedName name="_xlpm.pTableName" hidden="1" xlm="1">#NAME?</definedName>
    <definedName name="_xlpm.pTableRef" hidden="1" xlm="1">#NAME?</definedName>
    <definedName name="_xlpm.pWrkshtname" hidden="1" xlm="1">#NAME?</definedName>
    <definedName name="_xlpm.pWsName" hidden="1" xlm="1">#NAME?</definedName>
    <definedName name="_xlpm.ref" hidden="1" xlm="1">#NAME?</definedName>
    <definedName name="_xlpm.reference" hidden="1" xlm="1">#NAME?</definedName>
    <definedName name="_xlpm.resortCol" hidden="1" xlm="1">#NAME?</definedName>
    <definedName name="_xlpm.resortName" hidden="1" xlm="1">#NAME?</definedName>
    <definedName name="_xlpm.result" hidden="1" xlm="1">#NAME?</definedName>
    <definedName name="_xlpm.row" hidden="1" xlm="1">#NAME?</definedName>
    <definedName name="_xlpm.RowSki" hidden="1" xlm="1">#NAME?</definedName>
    <definedName name="_xlpm.skiLetter" hidden="1" xlm="1">#NAME?</definedName>
    <definedName name="_xlpm.skiLetterAbbrev" hidden="1" xlm="1">#NAME?</definedName>
    <definedName name="_xlpm.skiLetterAndMaintenanceType" hidden="1" xlm="1">#NAME?</definedName>
    <definedName name="_xlpm.skiSeasonName" hidden="1" xlm="1">#NAME?</definedName>
    <definedName name="_xlpm.sTableName" hidden="1" xlm="1">#NAME?</definedName>
    <definedName name="_xlpm.start" hidden="1" xlm="1">#NAME?</definedName>
    <definedName name="_xlpm.t" hidden="1" xlm="1">#NAME?</definedName>
    <definedName name="_xlpm.ta" hidden="1" xlm="1">#NAME?</definedName>
    <definedName name="_xlpm.tab" hidden="1" xlm="1">#NAME?</definedName>
    <definedName name="_xlpm.tabl" hidden="1" xlm="1">#NAME?</definedName>
    <definedName name="_xlpm.table" hidden="1" xlm="1">#NAME?</definedName>
    <definedName name="_xlpm.table_ef" hidden="1" xlm="1">#NAME?</definedName>
    <definedName name="_xlpm.table_ref" hidden="1" xlm="1">#NAME?</definedName>
    <definedName name="_xlpm.tableef" hidden="1" xlm="1">#NAME?</definedName>
    <definedName name="_xlpm.tableN" hidden="1" xlm="1">#NAME?</definedName>
    <definedName name="_xlpm.tableNa" hidden="1" xlm="1">#NAME?</definedName>
    <definedName name="_xlpm.tableNam" hidden="1" xlm="1">#NAME?</definedName>
    <definedName name="_xlpm.tableName" hidden="1" xlm="1">#NAME?</definedName>
    <definedName name="_xlpm.tableNametable2025_2026" hidden="1" xlm="1">#NAME?</definedName>
    <definedName name="_xlpm.tableR" hidden="1" xlm="1">#NAME?</definedName>
    <definedName name="_xlpm.tableRe" hidden="1" xlm="1">#NAME?</definedName>
    <definedName name="_xlpm.tableRef" hidden="1" xlm="1">#NAME?</definedName>
    <definedName name="_xlpm.tbl" hidden="1" xlm="1">#NAME?</definedName>
    <definedName name="_xlpm.vals" hidden="1" xlm="1">#NAME?</definedName>
    <definedName name="_xlpm.x" hidden="1" xlm="1">#NAME?</definedName>
    <definedName name="_xlpm.y" hidden="1" xlm="1">#NAME?</definedName>
    <definedName name="c_NOT_FOUND">'Misc Values'!$B$6</definedName>
    <definedName name="c_WORKBOOK_TITLE">'Misc Values'!$B$5</definedName>
    <definedName name="fn_DaysSkiedCountByResortAndSeason" comment="Gets the count of days skied during the season specified by name at the resort specified by name.">_xlfn.LAMBDA(_xlpm.pResortName,_xlpm.pSeasonName,_xlfn.LET(_xlpm._functionName,N("fn_GetDaysSkiedCountByResortAndSeason"),_xlpm._comment,N("Gets the count of days skied during the season specified by name at the resort specified by name."),_xlpm._colResortName,fn_GetTblDaysColResortNameBySeason(_xlpm.pSeasonName),_xlpm._prelimResult,COUNTIF(_xlpm._colResortName,_xlpm.pResortName),_xlpm._result,IFERROR(_xlpm._prelimResult,""),_xlpm._result))</definedName>
    <definedName name="fn_GET_LAST_IDX_IN_COL" comment="Gets the index of the last value in the specified array or column, optionally ignoring cells that contain an empty string.">_xlfn.LAMBDA(_xlpm.pCol,_xlop.pGetOnlyNotEmptyString,_xlfn.LET(_xlpm._functionName,N("fn_GET_LAST_IDX_IN_COL"),_xlpm._comment,N("Gets the index of the last value in the specified array or column, optionally ignoring cells that contain an empty string."),_xlpm._getOnlyNotEmptyString,IF(_xlfn.ISOMITTED(_xlpm.pGetOnlyNotEmptyString),TRUE,_xlpm.pGetOnlyNotEmptyString),_xlpm._resultIncludeEmpty,ROWS(_xlpm.pCol),_xlpm._lookup_value,TRUE,_xlpm._lookup_array,_xlpm.pCol&lt;&gt;"",_xlpm._match_mode,0,_xlpm._search_mode,-1,_xlpm._resultNotEmpty,_xlfn.XMATCH(_xlpm._lookup_value,_xlpm._lookup_array,_xlpm._match_mode,_xlpm._search_mode),_xlpm._prelimResult,IF(_xlpm._getOnlyNotEmptyString,_xlpm._resultNotEmpty,_xlpm._resultIncludeEmpty),_xlpm._result,_xlfn.IFNA(_xlpm._prelimResult,c_NOT_FOUND),_xlpm._result))</definedName>
    <definedName name="fn_GET_LAST_VAL_IN_COL" comment="Gets the last value in the specified array or column, optionally ignoring cells that contain an empty string.">_xlfn.LAMBDA(_xlpm.pCol,_xlop.pGetOnlyNotEmptyString, _xlfn.LET( _xlpm._functionName, N( "fn_GET_LAST_VAL_IN_COL" ), _xlpm._comment, N( "Gets the last value in the specified array or column, optionally ignoring cells that contain an empty string." ), _xlpm._getOnlyNotEmptyString, IF( _xlfn.ISOMITTED( _xlpm.pGetOnlyNotEmptyString ), TRUE, _xlpm.pGetOnlyNotEmptyString ), _xlpm._resultIncludeEmpty, _xlfn.CHOOSEROWS( _xlpm.pCol, - 1 ), _xlpm._lookup_value, TRUE, _xlpm._lookup_array, _xlpm.pCol &lt;&gt; "", _xlpm._return_array, _xlpm.pCol, _xlpm._if_not_found, c_NOT_FOUND, _xlpm._match_mode, 0, _xlpm._search_mode, - 1, _xlpm._resultNotEmpty, _xlfn.XLOOKUP( _xlpm._lookup_value, _xlpm._lookup_array, _xlpm._return_array, _xlpm._if_not_found, _xlpm._match_mode, _xlpm._search_mode ), _xlpm._result, IF( _xlpm._getOnlyNotEmptyString, _xlpm._resultNotEmpty, _xlpm._resultIncludeEmpty ), _xlpm._result ) )</definedName>
    <definedName name="fn_GET_UNIQUE_VALS_RUNNING_COUNTS" comment="Get the running count of occurrences of unique values in a one dimensional range.">_xlfn.LAMBDA(_xlpm.pFullRng,_xlpm.pCurCell, _xlfn.LET( _xlpm._functionName, N( "fn_GET_UNIQUE_VALS_RUNNING_COUNTS" ), _xlpm._comment, N( "Get the running count of occurrences of unique values in a one dimensional range." ), _xlpm._result, COUNTIFS( INDEX( _xlpm.pFullRng, 1 ) :_xlpm.pCurCell, _xlpm.pCurCell ), _xlpm._result ) )</definedName>
    <definedName name="fn_GET_WS_NAME" comment="Gets the name of the worksheet that contains the cell that calls this function.">_xlfn.LAMBDA(_xlpm.pRef,_xlfn.LET(_xlpm._functionName,N("fn_GET_WS_NAME"),_xlpm._comment,N("Gets the name of the worksheet that contains the cell that calls this function."),_xlpm._fileName,CELL("filename",_xlpm.pRef),_xlpm._result,_xlfn.TEXTAFTER(_xlpm._fileName,"]"),_xlpm._result))</definedName>
    <definedName name="fn_Get20242025EosSkiMaintDaysByProcAbbrev" comment="Gets the 2024-2025 end of season days since last maintenance performed for the specified maintenance procedure.">_xlfn.LAMBDA(_xlpm.pSkiIdxPlusMainProcAbbrev, _xlfn.LET( _xlpm._functionName, N( "fn_Get20242025EosSkiMaintDaysByProcAbbrev" ), _xlpm._comment, N( "Gets the 2024-2025 end of season days since last maintenance performed for the specified maintenance procedure." ), _xlpm._result, _xlfn.SWITCH( _xlpm.pSkiIdxPlusMainProcAbbrev, "1W", tbl_2024_2025_EOS[1W_Days], "1E", tbl_2024_2025_EOS[1E_Days], "1FT", tbl_2024_2025_EOS[1FT_Days], "2W", tbl_2024_2025_EOS[2W_Days], "2E", tbl_2024_2025_EOS[2E_Days], "2FT", tbl_2024_2025_EOS[2FT_Days], "3W", tbl_2024_2025_EOS[3W_Days], "3E", tbl_2024_2025_EOS[3E_Days], "3FT", tbl_2024_2025_EOS[3FT_Days], c_NOT_FOUND ), _xlpm._result ) )</definedName>
    <definedName name="fn_Get20242025EosSkiMaintDoneByProcAbbrev" comment="Gets the 2024-2025 end of season maintenance was done value for the specified maintenance procedure.">_xlfn.LAMBDA(_xlpm.pSkiIdxPlusMainProcAbbrev, _xlfn.LET( _xlpm._functionName, N( "fn_Get20242025EosSkiMaintDoneByProcAbbrev" ), _xlpm._comment, N( "Gets the 2024-2025 end of season maintenance was done value for the specified maintenance procedure." ), _xlpm._result, _xlfn.SWITCH( _xlpm.pSkiIdxPlusMainProcAbbrev, "1W", tbl_2024_2025_EOS[1W_Done], "1E", tbl_2024_2025_EOS[1E_Done], "1FT", tbl_2024_2025_EOS[1FT_Done], "2W", tbl_2024_2025_EOS[2W_Done], "2E", tbl_2024_2025_EOS[2E_Done], "2FT", tbl_2024_2025_EOS[2FT_Done], "3W", tbl_2024_2025_EOS[3W_Done], "3E", tbl_2024_2025_EOS[3E_Done], "3FT", tbl_2024_2025_EOS[3FT_Done], c_NOT_FOUND ), _xlpm._result ) )</definedName>
    <definedName name="fn_Get20252026EosSkiMaintDaysByProcAbbrev" comment="Gets the 2025-2026 end of season days since last maintenance performed for the specified maintenance procedure.">_xlfn.LAMBDA(_xlpm.pSkiIdxPlusMainProcAbbrev, _xlfn.LET( _xlpm._functionName, N( "fn_Get20252026EosSkiMaintDaysByProcAbbrev" ), _xlpm._comment, N( "Gets the 2025-2026 end of season days since last maintenance performed for the specified maintenance procedure." ), _xlpm._result, _xlfn.SWITCH( _xlpm.pSkiIdxPlusMainProcAbbrev, "1W", tbl_2025_2026_EOS[1W_Days], "1E", tbl_2025_2026_EOS[1E_Days], "1FT", tbl_2025_2026_EOS[1FT_Days], "2W", tbl_2025_2026_EOS[2W_Days], "2E", tbl_2025_2026_EOS[2E_Days], "2FT", tbl_2025_2026_EOS[2FT_Days], "3W", tbl_2025_2026_EOS[3W_Days], "3E", tbl_2025_2026_EOS[3E_Days], "3FT", tbl_2025_2026_EOS[3FT_Days], c_NOT_FOUND ), _xlpm._result ) )</definedName>
    <definedName name="fn_Get20252026EosSkiMaintDoneByProcAbbrev" comment="Gets the 2025-2026 end of season maintenance was done value for the specified maintenance procedure.">_xlfn.LAMBDA(_xlpm.pSkiIdxPlusMainProcAbbrev, _xlfn.LET( _xlpm._functionName, N( "fn_Get20252026EosSkiMaintDoneByProcAbbrev" ), _xlpm._comment, N( "Gets the 2025-2026 end of season maintenance was done value for the specified maintenance procedure." ), _xlpm._result, _xlfn.SWITCH( _xlpm.pSkiIdxPlusMainProcAbbrev, "1W", tbl_2025_2026_EOS[1W_Done], "1E", tbl_2025_2026_EOS[1E_Done], "1FT", tbl_2025_2026_EOS[1FT_Done], "2W", tbl_2025_2026_EOS[2W_Done], "2E", tbl_2025_2026_EOS[2E_Done], "2FT", tbl_2025_2026_EOS[2FT_Done], "3W", tbl_2025_2026_EOS[3W_Done], "3E", tbl_2025_2026_EOS[3E_Done], "3FT", tbl_2025_2026_EOS[3FT_Done], c_NOT_FOUND ), _xlpm._result ) )</definedName>
    <definedName name="fn_Get20262027EosSkiMaintDaysByProcAbbrev" comment="Gets the 2026-2027 end of season days since last maintenance performed for the specified maintenance procedure.">_xlfn.LAMBDA(_xlpm.pSkiIdxPlusMainProcAbbrev, _xlfn.LET( _xlpm._functionName, N( "fn_Get20262027EosSkiMaintDaysByProcAbbrev" ), _xlpm._comment, N( "Gets the 2026-2027 end of season days since last maintenance performed for the specified maintenance procedure." ), _xlpm._result, _xlfn.SWITCH( _xlpm.pSkiIdxPlusMainProcAbbrev, "1W", tbl_2026_2027_EOS[1W_Days], "1E", tbl_2026_2027_EOS[1E_Days], "1FT", tbl_2026_2027_EOS[1FT_Days], "2W", tbl_2026_2027_EOS[2W_Days], "2E", tbl_2026_2027_EOS[2E_Days], "2FT", tbl_2026_2027_EOS[2FT_Days], "3W", tbl_2026_2027_EOS[3W_Days], "3E", tbl_2026_2027_EOS[3E_Days], "3FT", tbl_2026_2027_EOS[3FT_Days], c_NOT_FOUND ), _xlpm._result ) )</definedName>
    <definedName name="fn_Get20262027EosSkiMaintDoneByProcAbbrev" comment="Gets the 2026-2027 end of season maintenance was done value for the specified maintenance procedure.">_xlfn.LAMBDA(_xlpm.pSkiIdxPlusMainProcAbbrev, _xlfn.LET( _xlpm._functionName, N( "fn_Get20262027EosSkiMaintDoneByProcAbbrev" ), _xlpm._comment, N( "Gets the 2026-2027 end of season maintenance was done value for the specified maintenance procedure." ), _xlpm._result, _xlfn.SWITCH( _xlpm.pSkiIdxPlusMainProcAbbrev, "1W", tbl_2026_2027_EOS[1W_Done], "1E", tbl_2026_2027_EOS[1E_Done], "1FT", tbl_2026_2027_EOS[1FT_Done], "2W", tbl_2026_2027_EOS[2W_Done], "2E", tbl_2026_2027_EOS[2E_Done], "2FT", tbl_2026_2027_EOS[2FT_Done], "3W", tbl_2026_2027_EOS[3W_Done], "3E", tbl_2026_2027_EOS[3E_Done], "3FT", tbl_2026_2027_EOS[3FT_Done], c_NOT_FOUND ), _xlpm._result ) )</definedName>
    <definedName name="fn_Get20272028EosSkiMaintDaysByProcAbbrev" comment="Gets the 2027-2028 end of season days since last maintenance performed for the specified maintenance procedure.">_xlfn.LAMBDA(_xlpm.pSkiIdxPlusMainProcAbbrev, _xlfn.LET( _xlpm._functionName, N( "fn_Get20272028EosSkiMaintDaysByProcAbbrev" ), _xlpm._comment, N( "Gets the 2027-2028 end of season days since last maintenance performed for the specified maintenance procedure." ), _xlpm._result, _xlfn.SWITCH( _xlpm.pSkiIdxPlusMainProcAbbrev, "1W", tbl_2027_2028_EOS[1W_Days], "1E", tbl_2027_2028_EOS[1E_Days], "1FT", tbl_2027_2028_EOS[1FT_Days], "2W", tbl_2027_2028_EOS[2W_Days], "2E", tbl_2027_2028_EOS[2E_Days], "2FT", tbl_2027_2028_EOS[2FT_Days], "3W", tbl_2027_2028_EOS[3W_Days], "3E", tbl_2027_2028_EOS[3E_Days], "3FT", tbl_2027_2028_EOS[3FT_Days], c_NOT_FOUND ), _xlpm._result ) )</definedName>
    <definedName name="fn_Get20272028EosSkiMaintDoneByProcAbbrev" comment="Gets the 2027-2028 end of season maintenance was done value for the specified maintenance procedure.">_xlfn.LAMBDA(_xlpm.pSkiIdxPlusMainProcAbbrev, _xlfn.LET( _xlpm._functionName, N( "fn_Get20272028EosSkiMaintDoneByProcAbbrev" ), _xlpm._comment, N( "Gets the 2027-2028 end of season maintenance was done value for the specified maintenance procedure." ), _xlpm._result, _xlfn.SWITCH( _xlpm.pSkiIdxPlusMainProcAbbrev, "1W", tbl_2027_2028_EOS[1W_Done], "1E", tbl_2027_2028_EOS[1E_Done], "1FT", tbl_2027_2028_EOS[1FT_Done], "2W", tbl_2027_2028_EOS[2W_Done], "2E", tbl_2027_2028_EOS[2E_Done], "2FT", tbl_2027_2028_EOS[2FT_Done], "3W", tbl_2027_2028_EOS[3W_Done], "3E", tbl_2027_2028_EOS[3E_Done], "3FT", tbl_2027_2028_EOS[3FT_Done], c_NOT_FOUND ), _xlpm._result ) )</definedName>
    <definedName name="fn_Get20282029EosSkiMaintDaysByProcAbbrev" comment="Gets the 2028-2029 end of season days since last maintenance performed for the specified maintenance procedure.">_xlfn.LAMBDA(_xlpm.pSkiIdxPlusMainProcAbbrev, _xlfn.LET( _xlpm._functionName, N( "fn_Get20282029EosSkiMaintDaysByProcAbbrev" ), _xlpm._comment, N( "Gets the 2028-2029 end of season days since last maintenance performed for the specified maintenance procedure." ), _xlpm._result, _xlfn.SWITCH( _xlpm.pSkiIdxPlusMainProcAbbrev, "1W", tbl_2028_2029_EOS[1W_Days], "1E", tbl_2028_2029_EOS[1E_Days], "1FT", tbl_2028_2029_EOS[1FT_Days], "2W", tbl_2028_2029_EOS[2W_Days], "2E", tbl_2028_2029_EOS[2E_Days], "2FT", tbl_2028_2029_EOS[2FT_Days], "3W", tbl_2028_2029_EOS[3W_Days], "3E", tbl_2028_2029_EOS[3E_Days], "3FT", tbl_2028_2029_EOS[3FT_Days], c_NOT_FOUND ), _xlpm._result ) )</definedName>
    <definedName name="fn_Get20282029EosSkiMaintDoneByProcAbbrev" comment="Gets the 2028-2029 end of season maintenance was done value for the specified maintenance procedure.">_xlfn.LAMBDA(_xlpm.pSkiIdxPlusMainProcAbbrev, _xlfn.LET( _xlpm._functionName, N( "fn_Get20282029EosSkiMaintDoneByProcAbbrev" ), _xlpm._comment, N( "Gets the 2028-2029 end of season maintenance was done value for the specified maintenance procedure." ), _xlpm._result, _xlfn.SWITCH( _xlpm.pSkiIdxPlusMainProcAbbrev, "1W", tbl_2028_2029_EOS[1W_Done], "1E", tbl_2028_2029_EOS[1E_Done], "1FT", tbl_2028_2029_EOS[1FT_Done], "2W", tbl_2028_2029_EOS[2W_Done], "2E", tbl_2028_2029_EOS[2E_Done], "2FT", tbl_2028_2029_EOS[2FT_Done], "3W", tbl_2028_2029_EOS[3W_Done], "3E", tbl_2028_2029_EOS[3E_Done], "3FT", tbl_2028_2029_EOS[3FT_Done], c_NOT_FOUND ), _xlpm._result ) )</definedName>
    <definedName name="fn_Get20292030EosSkiMaintDaysByProcAbbrev" comment="Gets the 2029-2030 end of season days since last maintenance performed for the specified maintenance procedure.">_xlfn.LAMBDA(_xlpm.pSkiIdxPlusMainProcAbbrev, _xlfn.LET( _xlpm._functionName, N( "fn_Get20292030EosSkiMaintDaysByProcAbbrev" ), _xlpm._comment, N( "Gets the 2029-2030 end of season days since last maintenance performed for the specified maintenance procedure." ), _xlpm._result, _xlfn.SWITCH( _xlpm.pSkiIdxPlusMainProcAbbrev, "1W", tbl_2029_2030_EOS[1W_Days], "1E", tbl_2029_2030_EOS[1E_Days], "1FT", tbl_2029_2030_EOS[1FT_Days], "2W", tbl_2029_2030_EOS[2W_Days], "2E", tbl_2029_2030_EOS[2E_Days], "2FT", tbl_2029_2030_EOS[2FT_Days], "3W", tbl_2029_2030_EOS[3W_Days], "3E", tbl_2029_2030_EOS[3E_Days], "3FT", tbl_2029_2030_EOS[3FT_Days], c_NOT_FOUND ), _xlpm._result ) )</definedName>
    <definedName name="fn_Get20292030EosSkiMaintDoneByProcAbbrev" comment="Gets the 2029-2030 end of season maintenance was done value for the specified maintenance procedure.">_xlfn.LAMBDA(_xlpm.pSkiIdxPlusMainProcAbbrev, _xlfn.LET( _xlpm._functionName, N( "fn_Get20292030EosSkiMaintDoneByProcAbbrev" ), _xlpm._comment, N( "Gets the 2029-2030 end of season maintenance was done value for the specified maintenance procedure." ), _xlpm._result, _xlfn.SWITCH( _xlpm.pSkiIdxPlusMainProcAbbrev, "1W", tbl_2029_2030_EOS[1W_Done], "1E", tbl_2029_2030_EOS[1E_Done], "1FT", tbl_2029_2030_EOS[1FT_Done], "2W", tbl_2029_2030_EOS[2W_Done], "2E", tbl_2029_2030_EOS[2E_Done], "2FT", tbl_2029_2030_EOS[2FT_Done], "3W", tbl_2029_2030_EOS[3W_Done], "3E", tbl_2029_2030_EOS[3E_Done], "3FT", tbl_2029_2030_EOS[3FT_Done], c_NOT_FOUND ), _xlpm._result ) )</definedName>
    <definedName name="fn_GetDaysSinceSkiMaintProc" comment="Gets the count of days since the specified maintenance procedure was performed on the specified ski.">_xlfn.LAMBDA(_xlpm.pCurSeasonName,_xlpm.pDayIdx,_xlpm.pLastDaysVal,_xlpm.pLastDoneVal,_xlpm.pMaintSkiIdx,_xlpm.pMaintProcAbbrev,_xlpm.pRowSkiName,_xlfn.LET(_xlpm._functionName,N("fn_GetDaysSinceSkiMaintProc"),_xlpm._comment,N("Gets the count of days since the specified maintenance procedure was performed on the specified ski."),_xlpm._SkiIdxPlusMainProcAbbrev,TEXT(_xlpm.pMaintSkiIdx,"0")&amp;_xlpm.pMaintProcAbbrev,_xlpm._priorSeasonName,fn_GetPriorSeasonName(_xlpm.pCurSeasonName),_xlpm._lastEOSdone,fn_GetEosSkiMaintDoneBySeasonAndProc(_xlpm._priorSeasonName,_xlpm._SkiIdxPlusMainProcAbbrev),_xlpm._lastEOSdays,fn_GetEosSkiMaintDaysBySeasonAndProc(_xlpm._priorSeasonName,_xlpm._SkiIdxPlusMainProcAbbrev),_xlpm.pRowSkiIdx,fn_GetSkiIdxFromSkiName(_xlpm.pRowSkiName),_xlpm._rowAndProcSkiMatch,_xlpm.pRowSkiIdx=_xlpm.pMaintSkiIdx,_xlpm._useLastSeasonVals,_xlpm.pDayIdx=1,_xlpm._done,IF(_xlpm._useLastSeasonVals,_xlpm._lastEOSdone,_xlpm.pLastDoneVal),_xlpm._prelimDays,IF(_xlpm._useLastSeasonVals,_xlpm._lastEOSdays,_xlpm.pLastDaysVal),_xlpm._addForCurDaySkiMatch,IF(_xlpm._rowAndProcSkiMatch,1,0),_xlpm._result,IF(_xlpm._done,_xlpm._addForCurDaySkiMatch,_xlpm._prelimDays+_xlpm._addForCurDaySkiMatch),_xlpm._result))</definedName>
    <definedName name="fn_GetDaysSkiUsedCountBySeasonNameAndSkiName" comment="Gets the count of days the specified ski was used during the specified season.">_xlfn.LAMBDA(_xlpm.pSeasonName,_xlpm.pSkiName, _xlfn.LET( _xlpm._functionName, N( "fn_GetDaysSkiUsedCountBySeasonNameAndSkiName" ), _xlpm._comment, N( "Gets the count of days the specified ski was used during the specified season." ), _xlpm._col, fn_GetTblSeasonDaysColSkiBySeasonName( _xlpm.pSeasonName ), _xlpm._result, COUNTIF( _xlpm._col, _xlpm.pSkiName ), _xlpm._result ) )</definedName>
    <definedName name="fn_GetEosSkiMaintDaysBySeasonAndProc" comment="Gets the end of season days since last maintenance performed for the specified maintenance procedure and season.">_xlfn.LAMBDA(_xlpm.pSkiSeasonName,_xlpm.pSkiIdxPlusMainProcAbbrev, _xlfn.LET( _xlpm._functionName, N( "fn_GetEosSkiMaintDaysBySeasonAndProc" ), _xlpm._comment, N( "Gets the end of season days since last maintenance performed for the specified maintenance procedure and season." ), _xlpm._result, _xlfn.SWITCH( _xlpm.pSkiSeasonName, "2024-2025", fn_Get20242025EosSkiMaintDaysByProcAbbrev( _xlpm.pSkiIdxPlusMainProcAbbrev ), "2025-2026", fn_Get20252026EosSkiMaintDaysByProcAbbrev( _xlpm.pSkiIdxPlusMainProcAbbrev ), "2026-2027", fn_Get20262027EosSkiMaintDaysByProcAbbrev( _xlpm.pSkiIdxPlusMainProcAbbrev ), "2027-2028", fn_Get20272028EosSkiMaintDaysByProcAbbrev( _xlpm.pSkiIdxPlusMainProcAbbrev ), "2028-2029", fn_Get20282029EosSkiMaintDaysByProcAbbrev( _xlpm.pSkiIdxPlusMainProcAbbrev ), "2029-2030", fn_Get20292030EosSkiMaintDaysByProcAbbrev( _xlpm.pSkiIdxPlusMainProcAbbrev ), c_NOT_FOUND ), _xlpm._result ) )</definedName>
    <definedName name="fn_GetEosSkiMaintDoneBySeasonAndProc" comment="Gets the end of season maintenance was done value for the specified maintenance procedure and season">_xlfn.LAMBDA(_xlpm.pSkiSeasonName,_xlpm.pSkiIdxPlusMainProcAbbrev, _xlfn.LET( _xlpm._functionName, N( "fn_GetEosSkiMaintDoneBySeasonAndProc" ), _xlpm._comment, N( "Gets the end of season maintenance was done value for the specified maintenance procedure and season" ), _xlpm._result, _xlfn.SWITCH( _xlpm.pSkiSeasonName, "2024-2025", fn_Get20242025EosSkiMaintDoneByProcAbbrev( _xlpm.pSkiIdxPlusMainProcAbbrev ), "2025-2026", fn_Get20252026EosSkiMaintDoneByProcAbbrev( _xlpm.pSkiIdxPlusMainProcAbbrev ), "2026-2027", fn_Get20262027EosSkiMaintDoneByProcAbbrev( _xlpm.pSkiIdxPlusMainProcAbbrev ), "2027-2028", fn_Get20272028EosSkiMaintDoneByProcAbbrev( _xlpm.pSkiIdxPlusMainProcAbbrev ), "2028-2029", fn_Get20282029EosSkiMaintDoneByProcAbbrev( _xlpm.pSkiIdxPlusMainProcAbbrev ), "2029-2030", fn_Get20292030EosSkiMaintDoneByProcAbbrev( _xlpm.pSkiIdxPlusMainProcAbbrev ), c_NOT_FOUND ), _xlpm._result ) )</definedName>
    <definedName name="fn_GetMaintProcAbbrevFromName" comment="Get the abbreviated name for the specified ski maintenance procedure.">_xlfn.LAMBDA(_xlpm.pMaintProcName, _xlfn.LET( _xlpm._functionName, N( "fn_GetMaintProcAbbrevFromName" ), _xlpm._comment, N( "Get the abbreviated name for the specified ski maintenance procedure." ), _xlpm._result, _xlfn.SWITCH( LOWER( _xlpm.pMaintProcName ), LOWER( "Edges" ), "E", LOWER( "Full Tune" ), "FT", LOWER( "Wax" ), "W", "Not Defined" ), _xlpm._result ) )</definedName>
    <definedName name="fn_GetMaintProcNameFromAbbrev" comment="Get the name of the ski maintenance procedure by its abbreviation.">_xlfn.LAMBDA(_xlpm.pMaintProcAbbrev, _xlfn.LET( _xlpm._functionName, N( "fn_GetMaintProcNameFromAbbrev" ), _xlpm._comment, N( "Get the name of the ski maintenance procedure by its abbreviation." ), _xlpm._result, _xlfn.SWITCH( UPPER( _xlpm.pMaintProcAbbrev ), UPPER( "E" ), "Edges", UPPER( "FT" ), "Full Tune", UPPER( "W" ), "Wax", "Not Defined" ), _xlpm._result ) )</definedName>
    <definedName name="fn_GetPriorSeasonName" comment="Gets name of the season the precedes the current season specified by name.">_xlfn.LAMBDA(_xlpm.pCurSeasonName, _xlfn.LET( _xlpm._functionName, N( "fn_GetPriorSeasonName" ), _xlpm._comment, N( "Gets name of the season the precedes the current season specified by name." ), _xlpm._currentStartYear, LEFT( _xlpm.pCurSeasonName, 4 ), _xlpm._currentEndYear, RIGHT( _xlpm.pCurSeasonName, 4 ), _xlpm._priorYearStart, _xlpm._currentStartYear - 1, _xlpm._priorYearEnd, _xlpm._currentEndYear - 1, _xlpm._result, _xlpm._priorYearStart &amp; "-" &amp; _xlpm._priorYearEnd, _xlpm._result ) )</definedName>
    <definedName name="fn_GetSkiIdxFromSkiName" comment="Get the ski index specified by ski name.">_xlfn.LAMBDA(_xlpm.pSkiName, _xlfn.LET( _xlpm._functionName, N( "fn_GetSkiIdxFromSkiName" ), _xlpm._comment, N( "Get the ski index specified by ski name." ), _xlpm._lookup_value, _xlpm.pSkiName, _xlpm._lookup_array, tbl_Skis[Name], _xlpm._return_array, tbl_Skis[Index], _xlpm._if_not_found, c_NOT_FOUND, _xlpm._match_mode, 0, _xlpm._result, _xlfn.XLOOKUP( _xlpm._lookup_value, _xlpm._lookup_array, _xlpm._return_array, _xlpm._if_not_found, _xlpm._match_mode ), _xlpm._result ) )</definedName>
    <definedName name="fn_GetSkiNameFromSkiIdx" comment="Get the ski name specified by ski index.">_xlfn.LAMBDA(_xlpm.pSkiIdx,_xlfn.LET(_xlpm._functionName,N("fn_GetSkiNameFromSkiIdx"),_xlpm._comment,N("Get the ski name specified by ski index."),_xlpm._result,INDEX(tbl_Skis[Name],_xlpm.pSkiIdx),_xlpm._result))</definedName>
    <definedName name="fn_GetTblDaysColResortNameBySeason" comment="Gets the resort name column from the individual days table for the season specified by worksheet name.">_xlfn.LAMBDA(_xlpm.pWsName,_xlfn.LET(_xlpm._functionName,N("fn_GetTblDaysColResortNameBySeason"),_xlpm._comment,N("Gets the resort name column from the individual days table for the season specified by worksheet name."),_xlpm._result,_xlfn.SWITCH(_xlpm.pWsName,"2025-2026",tbl_2025_2026_Days[Resort Name],"2026-2027",#REF!,"2027-2028",#REF!,"2028-2029",#REF!,"2029-2030",#REF!,"Table Not Found",),_xlpm._result))</definedName>
    <definedName name="fn_GetTblSeasonDaysColSkiBySeasonName" comment="Gets the ski column from the Days table for the specified season.">_xlfn.LAMBDA(_xlpm.pSeasonName, _xlfn.LET( _xlpm._functionName, N( "fn_GetTblSeasonDaysColSkiBySeasonName" ), _xlpm._comment, N( "Gets the ski column from the Days table for the specified season." ), _xlpm._result, _xlfn.SWITCH( LOWER( _xlpm.pSeasonName ), LOWER( "2025-2026" ), tbl_2025_2026_Days[Ski], LOWER( "2026-2027" ), tbl_2026_2027_Days[Ski], LOWER( "2027-2028" ), tbl_2027_2028_Days[Ski], LOWER( "2028-2029" ), tbl_2028_2029_Days[Ski], LOWER( "2029-2030" ), tbl_2028_2029_Days[Ski], c_NOT_FOUND ), _xlpm._result ) )</definedName>
    <definedName name="fn_IsTableCellInFirstRow" comment="Determines if the specified cell is in the first row of the specified table.">_xlfn.LAMBDA(_xlpm.pCellRef,_xlpm.pTableRef,_xlfn.LET(_xlpm._functionName,N("fn_IsTableCellInFirstRow"),_xlpm._comment,N("Determines if the specified cell is in the first row of the specified table."),_xlpm._cellRow,ROW(_xlpm.pCellRef),_xlpm._tableFirstRow,ROW(INDEX(_xlpm.pTableRef,1,1)),_xlpm._result,_xlpm._cellRow=_xlpm._tableFirstRow,_xlpm._result))</definedName>
    <definedName name="ResortNames">tbl_Resorts[Name]</definedName>
    <definedName name="SkiNames">tbl_Skis[Name]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6" i="2" l="1"/>
  <c r="C16" i="2"/>
  <c r="D16" i="2"/>
  <c r="E16" i="2" a="1"/>
  <c r="E16" i="2" s="1"/>
  <c r="F16" i="2" a="1"/>
  <c r="F16" i="2" s="1"/>
  <c r="G16" i="2" a="1"/>
  <c r="G16" i="2" s="1"/>
  <c r="H16" i="2" a="1"/>
  <c r="H16" i="2" s="1"/>
  <c r="I16" i="2" a="1"/>
  <c r="I16" i="2" s="1"/>
  <c r="D18" i="4" a="1"/>
  <c r="D18" i="4" s="1"/>
  <c r="D14" i="4" a="1"/>
  <c r="D14" i="4" s="1"/>
  <c r="D15" i="4" a="1"/>
  <c r="D15" i="4" s="1"/>
  <c r="D16" i="4" a="1"/>
  <c r="D16" i="4" s="1"/>
  <c r="D17" i="4" a="1"/>
  <c r="D17" i="4" s="1"/>
  <c r="D19" i="4" a="1"/>
  <c r="D19" i="4" s="1"/>
  <c r="D20" i="4" a="1"/>
  <c r="D20" i="4" s="1"/>
  <c r="D21" i="4" a="1"/>
  <c r="D21" i="4" s="1"/>
  <c r="D22" i="4" a="1"/>
  <c r="D22" i="4" s="1"/>
  <c r="D23" i="4" a="1"/>
  <c r="D23" i="4" s="1"/>
  <c r="D24" i="4" a="1"/>
  <c r="D24" i="4" s="1"/>
  <c r="D25" i="4" a="1"/>
  <c r="D25" i="4" s="1"/>
  <c r="D26" i="4" a="1"/>
  <c r="D26" i="4" s="1"/>
  <c r="D27" i="4" a="1"/>
  <c r="D27" i="4" s="1"/>
  <c r="D28" i="4" a="1"/>
  <c r="D28" i="4" s="1"/>
  <c r="D29" i="4" a="1"/>
  <c r="D29" i="4" s="1"/>
  <c r="D30" i="4" a="1"/>
  <c r="D30" i="4" s="1"/>
  <c r="D31" i="4" a="1"/>
  <c r="D31" i="4" s="1"/>
  <c r="D32" i="4" a="1"/>
  <c r="D32" i="4" s="1"/>
  <c r="D33" i="4" a="1"/>
  <c r="D33" i="4" s="1"/>
  <c r="D34" i="4" a="1"/>
  <c r="D34" i="4" s="1"/>
  <c r="D35" i="4" a="1"/>
  <c r="D35" i="4" s="1"/>
  <c r="D36" i="4" a="1"/>
  <c r="D36" i="4" s="1"/>
  <c r="D37" i="4" a="1"/>
  <c r="D37" i="4" s="1"/>
  <c r="D38" i="4" a="1"/>
  <c r="D38" i="4" s="1"/>
  <c r="D39" i="4" a="1"/>
  <c r="D39" i="4" s="1"/>
  <c r="D40" i="4" a="1"/>
  <c r="D40" i="4" s="1"/>
  <c r="D41" i="4" a="1"/>
  <c r="D41" i="4" s="1"/>
  <c r="D42" i="4" a="1"/>
  <c r="D42" i="4" s="1"/>
  <c r="D43" i="4" a="1"/>
  <c r="D43" i="4" s="1"/>
  <c r="D44" i="4" a="1"/>
  <c r="D44" i="4" s="1"/>
  <c r="D45" i="4" a="1"/>
  <c r="D45" i="4" s="1"/>
  <c r="D46" i="4" a="1"/>
  <c r="D46" i="4" s="1"/>
  <c r="D47" i="4" a="1"/>
  <c r="D47" i="4" s="1"/>
  <c r="D48" i="4" a="1"/>
  <c r="D48" i="4" s="1"/>
  <c r="D49" i="4" a="1"/>
  <c r="D49" i="4" s="1"/>
  <c r="D50" i="4" a="1"/>
  <c r="D50" i="4" s="1"/>
  <c r="D51" i="4" a="1"/>
  <c r="D51" i="4" s="1"/>
  <c r="D52" i="4" a="1"/>
  <c r="D52" i="4" s="1"/>
  <c r="D53" i="4" a="1"/>
  <c r="D53" i="4" s="1"/>
  <c r="D54" i="4" a="1"/>
  <c r="D54" i="4" s="1"/>
  <c r="D55" i="4" a="1"/>
  <c r="D55" i="4" s="1"/>
  <c r="D56" i="4" a="1"/>
  <c r="D56" i="4" s="1"/>
  <c r="D57" i="4" a="1"/>
  <c r="D57" i="4" s="1"/>
  <c r="D58" i="4" a="1"/>
  <c r="D58" i="4" s="1"/>
  <c r="D59" i="4" a="1"/>
  <c r="D59" i="4" s="1"/>
  <c r="D60" i="4" a="1"/>
  <c r="D60" i="4" s="1"/>
  <c r="D61" i="4" a="1"/>
  <c r="D61" i="4" s="1"/>
  <c r="D62" i="4" a="1"/>
  <c r="D62" i="4" s="1"/>
  <c r="D63" i="4" a="1"/>
  <c r="D63" i="4" s="1"/>
  <c r="D64" i="4" a="1"/>
  <c r="D64" i="4" s="1"/>
  <c r="D65" i="4" a="1"/>
  <c r="D65" i="4" s="1"/>
  <c r="D66" i="4" a="1"/>
  <c r="D66" i="4" s="1"/>
  <c r="D67" i="4" a="1"/>
  <c r="D67" i="4" s="1"/>
  <c r="D68" i="4" a="1"/>
  <c r="D68" i="4" s="1"/>
  <c r="D69" i="4" a="1"/>
  <c r="D69" i="4" s="1"/>
  <c r="D70" i="4" a="1"/>
  <c r="D70" i="4" s="1"/>
  <c r="D71" i="4" a="1"/>
  <c r="D71" i="4" s="1"/>
  <c r="D72" i="4" a="1"/>
  <c r="D72" i="4" s="1"/>
  <c r="D73" i="4" a="1"/>
  <c r="D73" i="4" s="1"/>
  <c r="D74" i="4" a="1"/>
  <c r="D74" i="4" s="1"/>
  <c r="D75" i="4" a="1"/>
  <c r="D75" i="4" s="1"/>
  <c r="D76" i="4" a="1"/>
  <c r="D76" i="4" s="1"/>
  <c r="D77" i="4" a="1"/>
  <c r="D77" i="4" s="1"/>
  <c r="D78" i="4" a="1"/>
  <c r="D78" i="4" s="1"/>
  <c r="D79" i="4" a="1"/>
  <c r="D79" i="4" s="1"/>
  <c r="D80" i="4" a="1"/>
  <c r="D80" i="4" s="1"/>
  <c r="D81" i="4" a="1"/>
  <c r="D81" i="4" s="1"/>
  <c r="D82" i="4" a="1"/>
  <c r="D82" i="4" s="1"/>
  <c r="D83" i="4" a="1"/>
  <c r="D83" i="4" s="1"/>
  <c r="D84" i="4" a="1"/>
  <c r="D84" i="4" s="1"/>
  <c r="D85" i="4" a="1"/>
  <c r="D85" i="4" s="1"/>
  <c r="D86" i="4" a="1"/>
  <c r="D86" i="4" s="1"/>
  <c r="D87" i="4" a="1"/>
  <c r="D87" i="4" s="1"/>
  <c r="D88" i="4" a="1"/>
  <c r="D88" i="4" s="1"/>
  <c r="D89" i="4" a="1"/>
  <c r="D89" i="4" s="1"/>
  <c r="D90" i="4" a="1"/>
  <c r="D90" i="4" s="1"/>
  <c r="D91" i="4" a="1"/>
  <c r="D91" i="4" s="1"/>
  <c r="D92" i="4" a="1"/>
  <c r="D92" i="4" s="1"/>
  <c r="D93" i="4" a="1"/>
  <c r="D93" i="4" s="1"/>
  <c r="D94" i="4" a="1"/>
  <c r="D94" i="4" s="1"/>
  <c r="D95" i="4" a="1"/>
  <c r="D95" i="4" s="1"/>
  <c r="D96" i="4" a="1"/>
  <c r="D96" i="4" s="1"/>
  <c r="D97" i="4" a="1"/>
  <c r="D97" i="4" s="1"/>
  <c r="D98" i="4" a="1"/>
  <c r="D98" i="4" s="1"/>
  <c r="D99" i="4" a="1"/>
  <c r="D99" i="4" s="1"/>
  <c r="D100" i="4" a="1"/>
  <c r="D100" i="4" s="1"/>
  <c r="D101" i="4" a="1"/>
  <c r="D101" i="4" s="1"/>
  <c r="D102" i="4" a="1"/>
  <c r="D102" i="4" s="1"/>
  <c r="D103" i="4" a="1"/>
  <c r="D103" i="4" s="1"/>
  <c r="D104" i="4" a="1"/>
  <c r="D104" i="4" s="1"/>
  <c r="D105" i="4" a="1"/>
  <c r="D105" i="4" s="1"/>
  <c r="D106" i="4" a="1"/>
  <c r="D106" i="4" s="1"/>
  <c r="D107" i="4" a="1"/>
  <c r="D107" i="4" s="1"/>
  <c r="D108" i="4" a="1"/>
  <c r="D108" i="4" s="1"/>
  <c r="D109" i="4" a="1"/>
  <c r="D109" i="4" s="1"/>
  <c r="D110" i="4" a="1"/>
  <c r="D110" i="4" s="1"/>
  <c r="D111" i="4" a="1"/>
  <c r="D111" i="4" s="1"/>
  <c r="D112" i="4" a="1"/>
  <c r="D112" i="4" s="1"/>
  <c r="D113" i="4" a="1"/>
  <c r="D113" i="4" s="1"/>
  <c r="D19" i="19" a="1"/>
  <c r="D19" i="19" s="1"/>
  <c r="D19" i="18" a="1"/>
  <c r="D19" i="18" s="1"/>
  <c r="D19" i="17" a="1"/>
  <c r="D19" i="17" s="1"/>
  <c r="D19" i="16" a="1"/>
  <c r="D19" i="16" s="1"/>
  <c r="D19" i="13" a="1"/>
  <c r="D19" i="13" s="1"/>
  <c r="D20" i="13" a="1"/>
  <c r="D20" i="13" s="1"/>
  <c r="D21" i="13" a="1"/>
  <c r="D21" i="13" s="1"/>
  <c r="D22" i="13" a="1"/>
  <c r="D22" i="13" s="1"/>
  <c r="D23" i="13" a="1"/>
  <c r="D23" i="13" s="1"/>
  <c r="D24" i="13" a="1"/>
  <c r="D24" i="13" s="1"/>
  <c r="D25" i="13" a="1"/>
  <c r="D25" i="13" s="1"/>
  <c r="D26" i="13" a="1"/>
  <c r="D26" i="13" s="1"/>
  <c r="D27" i="13" a="1"/>
  <c r="D27" i="13" s="1"/>
  <c r="D28" i="13" a="1"/>
  <c r="D28" i="13" s="1"/>
  <c r="D29" i="13" a="1"/>
  <c r="D29" i="13" s="1"/>
  <c r="D30" i="13" a="1"/>
  <c r="D30" i="13" s="1"/>
  <c r="D31" i="13" a="1"/>
  <c r="D31" i="13" s="1"/>
  <c r="D32" i="13" a="1"/>
  <c r="D32" i="13" s="1"/>
  <c r="D33" i="13" a="1"/>
  <c r="D33" i="13" s="1"/>
  <c r="D34" i="13" a="1"/>
  <c r="D34" i="13" s="1"/>
  <c r="D35" i="13" a="1"/>
  <c r="D35" i="13" s="1"/>
  <c r="D36" i="13" a="1"/>
  <c r="D36" i="13" s="1"/>
  <c r="D37" i="13" a="1"/>
  <c r="D37" i="13" s="1"/>
  <c r="D38" i="13" a="1"/>
  <c r="D38" i="13" s="1"/>
  <c r="D39" i="13" a="1"/>
  <c r="D39" i="13" s="1"/>
  <c r="D40" i="13" a="1"/>
  <c r="D40" i="13" s="1"/>
  <c r="D41" i="13" a="1"/>
  <c r="D41" i="13" s="1"/>
  <c r="D42" i="13" a="1"/>
  <c r="D42" i="13" s="1"/>
  <c r="D43" i="13" a="1"/>
  <c r="D43" i="13" s="1"/>
  <c r="D44" i="13" a="1"/>
  <c r="D44" i="13" s="1"/>
  <c r="D45" i="13" a="1"/>
  <c r="D45" i="13" s="1"/>
  <c r="D46" i="13" a="1"/>
  <c r="D46" i="13" s="1"/>
  <c r="D47" i="13" a="1"/>
  <c r="D47" i="13" s="1"/>
  <c r="D48" i="13" a="1"/>
  <c r="D48" i="13" s="1"/>
  <c r="D49" i="13" a="1"/>
  <c r="D49" i="13" s="1"/>
  <c r="D50" i="13" a="1"/>
  <c r="D50" i="13" s="1"/>
  <c r="D51" i="13" a="1"/>
  <c r="D51" i="13" s="1"/>
  <c r="D52" i="13" a="1"/>
  <c r="D52" i="13" s="1"/>
  <c r="D53" i="13" a="1"/>
  <c r="D53" i="13" s="1"/>
  <c r="D54" i="13" a="1"/>
  <c r="D54" i="13" s="1"/>
  <c r="D55" i="13" a="1"/>
  <c r="D55" i="13" s="1"/>
  <c r="D56" i="13" a="1"/>
  <c r="D56" i="13" s="1"/>
  <c r="D57" i="13" a="1"/>
  <c r="D57" i="13" s="1"/>
  <c r="D58" i="13" a="1"/>
  <c r="D58" i="13" s="1"/>
  <c r="D59" i="13" a="1"/>
  <c r="D59" i="13" s="1"/>
  <c r="D60" i="13" a="1"/>
  <c r="D60" i="13" s="1"/>
  <c r="D61" i="13" a="1"/>
  <c r="D61" i="13" s="1"/>
  <c r="D62" i="13" a="1"/>
  <c r="D62" i="13" s="1"/>
  <c r="D63" i="13" a="1"/>
  <c r="D63" i="13" s="1"/>
  <c r="D64" i="13" a="1"/>
  <c r="D64" i="13" s="1"/>
  <c r="D65" i="13" a="1"/>
  <c r="D65" i="13" s="1"/>
  <c r="D66" i="13" a="1"/>
  <c r="D66" i="13" s="1"/>
  <c r="D67" i="13" a="1"/>
  <c r="D67" i="13" s="1"/>
  <c r="D68" i="13" a="1"/>
  <c r="D68" i="13" s="1"/>
  <c r="D69" i="13" a="1"/>
  <c r="D69" i="13" s="1"/>
  <c r="D70" i="13" a="1"/>
  <c r="D70" i="13" s="1"/>
  <c r="D71" i="13" a="1"/>
  <c r="D71" i="13" s="1"/>
  <c r="D72" i="13" a="1"/>
  <c r="D72" i="13" s="1"/>
  <c r="I30" i="2" a="1"/>
  <c r="I30" i="2" s="1"/>
  <c r="I29" i="2" a="1"/>
  <c r="I29" i="2" s="1"/>
  <c r="I28" i="2" a="1"/>
  <c r="I28" i="2" s="1"/>
  <c r="I27" i="2" a="1"/>
  <c r="I27" i="2" s="1"/>
  <c r="I26" i="2" a="1"/>
  <c r="I26" i="2" s="1"/>
  <c r="I25" i="2" a="1"/>
  <c r="I25" i="2" s="1"/>
  <c r="I24" i="2" a="1"/>
  <c r="I24" i="2" s="1"/>
  <c r="I23" i="2" a="1"/>
  <c r="I23" i="2" s="1"/>
  <c r="I22" i="2" a="1"/>
  <c r="I22" i="2" s="1"/>
  <c r="I21" i="2" a="1"/>
  <c r="I21" i="2" s="1"/>
  <c r="I20" i="2" a="1"/>
  <c r="I20" i="2" s="1"/>
  <c r="I19" i="2" a="1"/>
  <c r="I19" i="2" s="1"/>
  <c r="I18" i="2" a="1"/>
  <c r="I18" i="2" s="1"/>
  <c r="I17" i="2" a="1"/>
  <c r="I17" i="2" s="1"/>
  <c r="I15" i="2" a="1"/>
  <c r="I15" i="2" s="1"/>
  <c r="I14" i="2" a="1"/>
  <c r="I14" i="2" s="1"/>
  <c r="I13" i="2" a="1"/>
  <c r="I13" i="2" s="1"/>
  <c r="I12" i="2" a="1"/>
  <c r="I12" i="2" s="1"/>
  <c r="I11" i="2" a="1"/>
  <c r="I11" i="2" s="1"/>
  <c r="I10" i="2" a="1"/>
  <c r="I10" i="2" s="1"/>
  <c r="I9" i="2" a="1"/>
  <c r="I9" i="2" s="1"/>
  <c r="I8" i="2" a="1"/>
  <c r="I8" i="2" s="1"/>
  <c r="I7" i="2" a="1"/>
  <c r="I7" i="2" s="1"/>
  <c r="I6" i="2" a="1"/>
  <c r="I6" i="2" s="1"/>
  <c r="I5" i="2" a="1"/>
  <c r="I5" i="2" s="1"/>
  <c r="I4" i="2" a="1"/>
  <c r="I4" i="2" s="1"/>
  <c r="H30" i="2" a="1"/>
  <c r="H30" i="2" s="1"/>
  <c r="H29" i="2" a="1"/>
  <c r="H29" i="2" s="1"/>
  <c r="H28" i="2" a="1"/>
  <c r="H28" i="2" s="1"/>
  <c r="H27" i="2" a="1"/>
  <c r="H27" i="2" s="1"/>
  <c r="H26" i="2" a="1"/>
  <c r="H26" i="2" s="1"/>
  <c r="H25" i="2" a="1"/>
  <c r="H25" i="2" s="1"/>
  <c r="H24" i="2" a="1"/>
  <c r="H24" i="2" s="1"/>
  <c r="H23" i="2" a="1"/>
  <c r="H23" i="2" s="1"/>
  <c r="H22" i="2" a="1"/>
  <c r="H22" i="2" s="1"/>
  <c r="H21" i="2" a="1"/>
  <c r="H21" i="2" s="1"/>
  <c r="H20" i="2" a="1"/>
  <c r="H20" i="2" s="1"/>
  <c r="H19" i="2" a="1"/>
  <c r="H19" i="2" s="1"/>
  <c r="H18" i="2" a="1"/>
  <c r="H18" i="2" s="1"/>
  <c r="H17" i="2" a="1"/>
  <c r="H17" i="2" s="1"/>
  <c r="H15" i="2" a="1"/>
  <c r="H15" i="2" s="1"/>
  <c r="H14" i="2" a="1"/>
  <c r="H14" i="2" s="1"/>
  <c r="H13" i="2" a="1"/>
  <c r="H13" i="2" s="1"/>
  <c r="H12" i="2" a="1"/>
  <c r="H12" i="2" s="1"/>
  <c r="H11" i="2" a="1"/>
  <c r="H11" i="2" s="1"/>
  <c r="H10" i="2" a="1"/>
  <c r="H10" i="2" s="1"/>
  <c r="H9" i="2" a="1"/>
  <c r="H9" i="2" s="1"/>
  <c r="H8" i="2" a="1"/>
  <c r="H8" i="2" s="1"/>
  <c r="H7" i="2" a="1"/>
  <c r="H7" i="2" s="1"/>
  <c r="H6" i="2" a="1"/>
  <c r="H6" i="2" s="1"/>
  <c r="H5" i="2" a="1"/>
  <c r="H5" i="2" s="1"/>
  <c r="G30" i="2" a="1"/>
  <c r="G30" i="2" s="1"/>
  <c r="G29" i="2" a="1"/>
  <c r="G29" i="2" s="1"/>
  <c r="G28" i="2" a="1"/>
  <c r="G28" i="2" s="1"/>
  <c r="G27" i="2" a="1"/>
  <c r="G27" i="2" s="1"/>
  <c r="G26" i="2" a="1"/>
  <c r="G26" i="2" s="1"/>
  <c r="G25" i="2" a="1"/>
  <c r="G25" i="2" s="1"/>
  <c r="G24" i="2" a="1"/>
  <c r="G24" i="2" s="1"/>
  <c r="G23" i="2" a="1"/>
  <c r="G23" i="2" s="1"/>
  <c r="G22" i="2" a="1"/>
  <c r="G22" i="2" s="1"/>
  <c r="G21" i="2" a="1"/>
  <c r="G21" i="2" s="1"/>
  <c r="G20" i="2" a="1"/>
  <c r="G20" i="2" s="1"/>
  <c r="G19" i="2" a="1"/>
  <c r="G19" i="2" s="1"/>
  <c r="G18" i="2" a="1"/>
  <c r="G18" i="2" s="1"/>
  <c r="G17" i="2" a="1"/>
  <c r="G17" i="2" s="1"/>
  <c r="G15" i="2" a="1"/>
  <c r="G15" i="2" s="1"/>
  <c r="G14" i="2" a="1"/>
  <c r="G14" i="2" s="1"/>
  <c r="G13" i="2" a="1"/>
  <c r="G13" i="2" s="1"/>
  <c r="G12" i="2" a="1"/>
  <c r="G12" i="2" s="1"/>
  <c r="G11" i="2" a="1"/>
  <c r="G11" i="2" s="1"/>
  <c r="G10" i="2" a="1"/>
  <c r="G10" i="2" s="1"/>
  <c r="G9" i="2" a="1"/>
  <c r="G9" i="2" s="1"/>
  <c r="G8" i="2" a="1"/>
  <c r="G8" i="2" s="1"/>
  <c r="G7" i="2" a="1"/>
  <c r="G7" i="2" s="1"/>
  <c r="G6" i="2" a="1"/>
  <c r="G6" i="2" s="1"/>
  <c r="G5" i="2" a="1"/>
  <c r="G5" i="2" s="1"/>
  <c r="F30" i="2" a="1"/>
  <c r="F30" i="2" s="1"/>
  <c r="F29" i="2" a="1"/>
  <c r="F29" i="2" s="1"/>
  <c r="F28" i="2" a="1"/>
  <c r="F28" i="2" s="1"/>
  <c r="F27" i="2" a="1"/>
  <c r="F27" i="2" s="1"/>
  <c r="F26" i="2" a="1"/>
  <c r="F26" i="2" s="1"/>
  <c r="F25" i="2" a="1"/>
  <c r="F25" i="2" s="1"/>
  <c r="F24" i="2" a="1"/>
  <c r="F24" i="2" s="1"/>
  <c r="F23" i="2" a="1"/>
  <c r="F23" i="2" s="1"/>
  <c r="F22" i="2" a="1"/>
  <c r="F22" i="2" s="1"/>
  <c r="F21" i="2" a="1"/>
  <c r="F21" i="2" s="1"/>
  <c r="F20" i="2" a="1"/>
  <c r="F20" i="2" s="1"/>
  <c r="F19" i="2" a="1"/>
  <c r="F19" i="2" s="1"/>
  <c r="F18" i="2" a="1"/>
  <c r="F18" i="2" s="1"/>
  <c r="F17" i="2" a="1"/>
  <c r="F17" i="2" s="1"/>
  <c r="F15" i="2" a="1"/>
  <c r="F15" i="2" s="1"/>
  <c r="F14" i="2" a="1"/>
  <c r="F14" i="2" s="1"/>
  <c r="F13" i="2" a="1"/>
  <c r="F13" i="2" s="1"/>
  <c r="F12" i="2" a="1"/>
  <c r="F12" i="2" s="1"/>
  <c r="F11" i="2" a="1"/>
  <c r="F11" i="2" s="1"/>
  <c r="F10" i="2" a="1"/>
  <c r="F10" i="2" s="1"/>
  <c r="F9" i="2" a="1"/>
  <c r="F9" i="2" s="1"/>
  <c r="F8" i="2" a="1"/>
  <c r="F8" i="2" s="1"/>
  <c r="F7" i="2" a="1"/>
  <c r="F7" i="2" s="1"/>
  <c r="F6" i="2" a="1"/>
  <c r="F6" i="2" s="1"/>
  <c r="F5" i="2" a="1"/>
  <c r="F5" i="2" s="1"/>
  <c r="H4" i="2" a="1"/>
  <c r="H4" i="2" s="1"/>
  <c r="G4" i="2" a="1"/>
  <c r="G4" i="2" s="1"/>
  <c r="F4" i="2" a="1"/>
  <c r="F4" i="2" s="1"/>
  <c r="C4" i="2"/>
  <c r="B4" i="2"/>
  <c r="E4" i="2" a="1"/>
  <c r="E4" i="2" s="1"/>
  <c r="I6" i="12" a="1"/>
  <c r="I6" i="12" s="1"/>
  <c r="I5" i="12" a="1"/>
  <c r="I5" i="12" s="1"/>
  <c r="H6" i="12" a="1"/>
  <c r="H6" i="12" s="1"/>
  <c r="H5" i="12" a="1"/>
  <c r="H5" i="12" s="1"/>
  <c r="G6" i="12" a="1"/>
  <c r="G6" i="12" s="1"/>
  <c r="G5" i="12" a="1"/>
  <c r="G5" i="12" s="1"/>
  <c r="F6" i="12" a="1"/>
  <c r="F6" i="12" s="1"/>
  <c r="F5" i="12" a="1"/>
  <c r="F5" i="12" s="1"/>
  <c r="E6" i="12" a="1"/>
  <c r="E6" i="12" s="1"/>
  <c r="J6" i="12" s="1"/>
  <c r="E5" i="12" a="1"/>
  <c r="E5" i="12" s="1"/>
  <c r="J5" i="12" s="1"/>
  <c r="I4" i="12" a="1"/>
  <c r="I4" i="12" s="1"/>
  <c r="H4" i="12" a="1"/>
  <c r="H4" i="12" s="1"/>
  <c r="F4" i="12" a="1"/>
  <c r="F4" i="12" s="1"/>
  <c r="E4" i="12" a="1"/>
  <c r="E4" i="12" s="1"/>
  <c r="J4" i="12" s="1"/>
  <c r="G4" i="12" a="1"/>
  <c r="G4" i="12" s="1"/>
  <c r="G7" i="4"/>
  <c r="E7" i="4"/>
  <c r="Z20" i="19"/>
  <c r="F20" i="19"/>
  <c r="E20" i="19"/>
  <c r="C20" i="19"/>
  <c r="A19" i="19" a="1"/>
  <c r="A19" i="19" s="1"/>
  <c r="A20" i="19" s="1"/>
  <c r="Y15" i="19" a="1"/>
  <c r="Y15" i="19" s="1"/>
  <c r="W15" i="19" a="1"/>
  <c r="W15" i="19" s="1"/>
  <c r="U15" i="19" a="1"/>
  <c r="U15" i="19" s="1"/>
  <c r="S15" i="19" a="1"/>
  <c r="S15" i="19" s="1"/>
  <c r="Q15" i="19" a="1"/>
  <c r="Q15" i="19" s="1"/>
  <c r="O15" i="19" a="1"/>
  <c r="O15" i="19" s="1"/>
  <c r="M15" i="19" a="1"/>
  <c r="M15" i="19" s="1"/>
  <c r="K15" i="19" a="1"/>
  <c r="K15" i="19" s="1"/>
  <c r="I15" i="19" a="1"/>
  <c r="I15" i="19" s="1"/>
  <c r="X13" i="19"/>
  <c r="X13" i="19" a="1"/>
  <c r="V13" i="19" a="1"/>
  <c r="V13" i="19" s="1"/>
  <c r="T13" i="19" a="1"/>
  <c r="T13" i="19" s="1"/>
  <c r="R13" i="19" a="1"/>
  <c r="R13" i="19" s="1"/>
  <c r="P13" i="19" a="1"/>
  <c r="P13" i="19" s="1"/>
  <c r="N13" i="19" a="1"/>
  <c r="N13" i="19" s="1"/>
  <c r="L13" i="19" a="1"/>
  <c r="L13" i="19" s="1"/>
  <c r="J13" i="19" a="1"/>
  <c r="J13" i="19" s="1"/>
  <c r="H13" i="19"/>
  <c r="H13" i="19" a="1"/>
  <c r="T11" i="19" a="1"/>
  <c r="T11" i="19" s="1"/>
  <c r="N11" i="19" a="1"/>
  <c r="N11" i="19" s="1"/>
  <c r="H11" i="19" a="1"/>
  <c r="H11" i="19" s="1"/>
  <c r="F7" i="19"/>
  <c r="D7" i="19"/>
  <c r="C7" i="19"/>
  <c r="A2" i="19" a="1"/>
  <c r="A2" i="19" s="1"/>
  <c r="A1" i="19"/>
  <c r="Z20" i="18"/>
  <c r="F20" i="18"/>
  <c r="E20" i="18"/>
  <c r="C20" i="18"/>
  <c r="C7" i="18" s="1"/>
  <c r="A19" i="18" a="1"/>
  <c r="A19" i="18" s="1"/>
  <c r="A20" i="18" s="1"/>
  <c r="Y15" i="18" a="1"/>
  <c r="Y15" i="18" s="1"/>
  <c r="W15" i="18" a="1"/>
  <c r="W15" i="18" s="1"/>
  <c r="U15" i="18" a="1"/>
  <c r="U15" i="18" s="1"/>
  <c r="S15" i="18" a="1"/>
  <c r="S15" i="18" s="1"/>
  <c r="Q15" i="18" a="1"/>
  <c r="Q15" i="18" s="1"/>
  <c r="O15" i="18"/>
  <c r="O15" i="18" a="1"/>
  <c r="M15" i="18" a="1"/>
  <c r="M15" i="18" s="1"/>
  <c r="K15" i="18" a="1"/>
  <c r="K15" i="18" s="1"/>
  <c r="I15" i="18" a="1"/>
  <c r="I15" i="18" s="1"/>
  <c r="X13" i="18"/>
  <c r="X13" i="18" a="1"/>
  <c r="V13" i="18" a="1"/>
  <c r="V13" i="18" s="1"/>
  <c r="T13" i="18" a="1"/>
  <c r="T13" i="18" s="1"/>
  <c r="R13" i="18" a="1"/>
  <c r="R13" i="18" s="1"/>
  <c r="P13" i="18" a="1"/>
  <c r="P13" i="18" s="1"/>
  <c r="N13" i="18" a="1"/>
  <c r="N13" i="18" s="1"/>
  <c r="L13" i="18" a="1"/>
  <c r="L13" i="18" s="1"/>
  <c r="J13" i="18" a="1"/>
  <c r="J13" i="18" s="1"/>
  <c r="H13" i="18" a="1"/>
  <c r="H13" i="18" s="1"/>
  <c r="T11" i="18" a="1"/>
  <c r="T11" i="18" s="1"/>
  <c r="N11" i="18" a="1"/>
  <c r="N11" i="18" s="1"/>
  <c r="H11" i="18" a="1"/>
  <c r="H11" i="18" s="1"/>
  <c r="F7" i="18"/>
  <c r="D7" i="18"/>
  <c r="A2" i="18" a="1"/>
  <c r="A2" i="18" s="1"/>
  <c r="A1" i="18"/>
  <c r="Z20" i="17"/>
  <c r="F20" i="17"/>
  <c r="E20" i="17"/>
  <c r="C20" i="17"/>
  <c r="C7" i="17" s="1"/>
  <c r="A19" i="17" a="1"/>
  <c r="A19" i="17" s="1"/>
  <c r="A20" i="17" s="1"/>
  <c r="Y15" i="17" a="1"/>
  <c r="Y15" i="17" s="1"/>
  <c r="W15" i="17" a="1"/>
  <c r="W15" i="17" s="1"/>
  <c r="U15" i="17" a="1"/>
  <c r="U15" i="17" s="1"/>
  <c r="S15" i="17" a="1"/>
  <c r="S15" i="17" s="1"/>
  <c r="Q15" i="17" a="1"/>
  <c r="Q15" i="17" s="1"/>
  <c r="O15" i="17" a="1"/>
  <c r="O15" i="17" s="1"/>
  <c r="M15" i="17" a="1"/>
  <c r="M15" i="17" s="1"/>
  <c r="K15" i="17" a="1"/>
  <c r="K15" i="17" s="1"/>
  <c r="I15" i="17" a="1"/>
  <c r="I15" i="17" s="1"/>
  <c r="X13" i="17" a="1"/>
  <c r="X13" i="17" s="1"/>
  <c r="V13" i="17" a="1"/>
  <c r="V13" i="17" s="1"/>
  <c r="T13" i="17" a="1"/>
  <c r="T13" i="17" s="1"/>
  <c r="R13" i="17" a="1"/>
  <c r="R13" i="17" s="1"/>
  <c r="P13" i="17" a="1"/>
  <c r="P13" i="17" s="1"/>
  <c r="N13" i="17" a="1"/>
  <c r="N13" i="17" s="1"/>
  <c r="L13" i="17" a="1"/>
  <c r="L13" i="17" s="1"/>
  <c r="J13" i="17" a="1"/>
  <c r="J13" i="17" s="1"/>
  <c r="H13" i="17" a="1"/>
  <c r="H13" i="17" s="1"/>
  <c r="T11" i="17" a="1"/>
  <c r="T11" i="17" s="1"/>
  <c r="N11" i="17" a="1"/>
  <c r="N11" i="17" s="1"/>
  <c r="H11" i="17" a="1"/>
  <c r="H11" i="17" s="1"/>
  <c r="F7" i="17"/>
  <c r="D7" i="17"/>
  <c r="A2" i="17" a="1"/>
  <c r="A2" i="17" s="1"/>
  <c r="A1" i="17"/>
  <c r="Z20" i="16"/>
  <c r="E20" i="16"/>
  <c r="C20" i="16"/>
  <c r="C7" i="16" s="1"/>
  <c r="F20" i="16"/>
  <c r="F7" i="16" s="1"/>
  <c r="A19" i="16" a="1"/>
  <c r="A19" i="16" s="1"/>
  <c r="Y15" i="16" a="1"/>
  <c r="Y15" i="16" s="1"/>
  <c r="W15" i="16" a="1"/>
  <c r="W15" i="16" s="1"/>
  <c r="U15" i="16" a="1"/>
  <c r="U15" i="16" s="1"/>
  <c r="S15" i="16" a="1"/>
  <c r="S15" i="16" s="1"/>
  <c r="Q15" i="16" a="1"/>
  <c r="Q15" i="16" s="1"/>
  <c r="O15" i="16" a="1"/>
  <c r="O15" i="16" s="1"/>
  <c r="M15" i="16" a="1"/>
  <c r="M15" i="16" s="1"/>
  <c r="K15" i="16" a="1"/>
  <c r="K15" i="16" s="1"/>
  <c r="I15" i="16" a="1"/>
  <c r="I15" i="16" s="1"/>
  <c r="X13" i="16" a="1"/>
  <c r="X13" i="16" s="1"/>
  <c r="V13" i="16" a="1"/>
  <c r="V13" i="16" s="1"/>
  <c r="T13" i="16" a="1"/>
  <c r="T13" i="16" s="1"/>
  <c r="R13" i="16" a="1"/>
  <c r="R13" i="16" s="1"/>
  <c r="P13" i="16" a="1"/>
  <c r="P13" i="16" s="1"/>
  <c r="N13" i="16" a="1"/>
  <c r="N13" i="16" s="1"/>
  <c r="L13" i="16" a="1"/>
  <c r="L13" i="16" s="1"/>
  <c r="J13" i="16" a="1"/>
  <c r="J13" i="16" s="1"/>
  <c r="H13" i="16" a="1"/>
  <c r="H13" i="16" s="1"/>
  <c r="T11" i="16" a="1"/>
  <c r="T11" i="16" s="1"/>
  <c r="N11" i="16" a="1"/>
  <c r="N11" i="16" s="1"/>
  <c r="H11" i="16" a="1"/>
  <c r="H11" i="16" s="1"/>
  <c r="D7" i="16"/>
  <c r="A2" i="16" a="1"/>
  <c r="A2" i="16" s="1"/>
  <c r="A1" i="16"/>
  <c r="Y15" i="13" a="1"/>
  <c r="Y15" i="13" s="1"/>
  <c r="W15" i="13" a="1"/>
  <c r="W15" i="13" s="1"/>
  <c r="U15" i="13" a="1"/>
  <c r="U15" i="13" s="1"/>
  <c r="S15" i="13" a="1"/>
  <c r="S15" i="13" s="1"/>
  <c r="Q15" i="13" a="1"/>
  <c r="Q15" i="13" s="1"/>
  <c r="O15" i="13" a="1"/>
  <c r="O15" i="13" s="1"/>
  <c r="M15" i="13" a="1"/>
  <c r="M15" i="13" s="1"/>
  <c r="K15" i="13" a="1"/>
  <c r="K15" i="13" s="1"/>
  <c r="I15" i="13" a="1"/>
  <c r="I15" i="13" s="1"/>
  <c r="Y121" i="4" a="1"/>
  <c r="Y121" i="4" s="1"/>
  <c r="W121" i="4" a="1"/>
  <c r="W121" i="4" s="1"/>
  <c r="U121" i="4" a="1"/>
  <c r="U121" i="4" s="1"/>
  <c r="S121" i="4" a="1"/>
  <c r="S121" i="4" s="1"/>
  <c r="Q121" i="4" a="1"/>
  <c r="Q121" i="4" s="1"/>
  <c r="O121" i="4" a="1"/>
  <c r="O121" i="4" s="1"/>
  <c r="M121" i="4" a="1"/>
  <c r="M121" i="4" s="1"/>
  <c r="K121" i="4" a="1"/>
  <c r="K121" i="4" s="1"/>
  <c r="I121" i="4" a="1"/>
  <c r="I121" i="4" s="1"/>
  <c r="X13" i="13" a="1"/>
  <c r="X13" i="13" s="1"/>
  <c r="V13" i="13" a="1"/>
  <c r="V13" i="13" s="1"/>
  <c r="T13" i="13" a="1"/>
  <c r="T13" i="13" s="1"/>
  <c r="R13" i="13" a="1"/>
  <c r="R13" i="13" s="1"/>
  <c r="P13" i="13" a="1"/>
  <c r="P13" i="13" s="1"/>
  <c r="N13" i="13" a="1"/>
  <c r="N13" i="13" s="1"/>
  <c r="L13" i="13" a="1"/>
  <c r="L13" i="13" s="1"/>
  <c r="J13" i="13" a="1"/>
  <c r="J13" i="13" s="1"/>
  <c r="H13" i="13" a="1"/>
  <c r="H13" i="13" s="1"/>
  <c r="L119" i="4" a="1"/>
  <c r="L119" i="4" s="1"/>
  <c r="X119" i="4" a="1"/>
  <c r="X119" i="4" s="1"/>
  <c r="V119" i="4" a="1"/>
  <c r="V119" i="4" s="1"/>
  <c r="T119" i="4" a="1"/>
  <c r="T119" i="4" s="1"/>
  <c r="R119" i="4" a="1"/>
  <c r="R119" i="4" s="1"/>
  <c r="P119" i="4" a="1"/>
  <c r="P119" i="4" s="1"/>
  <c r="N119" i="4" a="1"/>
  <c r="N119" i="4" s="1"/>
  <c r="J119" i="4" a="1"/>
  <c r="J119" i="4" s="1"/>
  <c r="H119" i="4" a="1"/>
  <c r="H119" i="4" s="1"/>
  <c r="T117" i="4" a="1"/>
  <c r="T117" i="4" s="1"/>
  <c r="N117" i="4" a="1"/>
  <c r="N117" i="4" s="1"/>
  <c r="H117" i="4" a="1"/>
  <c r="H117" i="4" s="1"/>
  <c r="E30" i="2" a="1"/>
  <c r="E30" i="2" s="1"/>
  <c r="E29" i="2" a="1"/>
  <c r="E29" i="2" s="1"/>
  <c r="E28" i="2" a="1"/>
  <c r="E28" i="2" s="1"/>
  <c r="E27" i="2" a="1"/>
  <c r="E27" i="2" s="1"/>
  <c r="E26" i="2" a="1"/>
  <c r="E26" i="2" s="1"/>
  <c r="E25" i="2" a="1"/>
  <c r="E25" i="2" s="1"/>
  <c r="E24" i="2" a="1"/>
  <c r="E24" i="2" s="1"/>
  <c r="E23" i="2" a="1"/>
  <c r="E23" i="2" s="1"/>
  <c r="E22" i="2" a="1"/>
  <c r="E22" i="2" s="1"/>
  <c r="E21" i="2" a="1"/>
  <c r="E21" i="2" s="1"/>
  <c r="E20" i="2" a="1"/>
  <c r="E20" i="2" s="1"/>
  <c r="E19" i="2" a="1"/>
  <c r="E19" i="2" s="1"/>
  <c r="E18" i="2" a="1"/>
  <c r="E18" i="2" s="1"/>
  <c r="E17" i="2" a="1"/>
  <c r="E17" i="2" s="1"/>
  <c r="E15" i="2" a="1"/>
  <c r="E15" i="2" s="1"/>
  <c r="E14" i="2" a="1"/>
  <c r="E14" i="2" s="1"/>
  <c r="E13" i="2" a="1"/>
  <c r="E13" i="2" s="1"/>
  <c r="E12" i="2" a="1"/>
  <c r="E12" i="2" s="1"/>
  <c r="E11" i="2" a="1"/>
  <c r="E11" i="2" s="1"/>
  <c r="E10" i="2" a="1"/>
  <c r="E10" i="2" s="1"/>
  <c r="E9" i="2" a="1"/>
  <c r="E9" i="2" s="1"/>
  <c r="E8" i="2" a="1"/>
  <c r="E8" i="2" s="1"/>
  <c r="E7" i="2" a="1"/>
  <c r="E7" i="2" s="1"/>
  <c r="E6" i="2" a="1"/>
  <c r="E6" i="2" s="1"/>
  <c r="E5" i="2" a="1"/>
  <c r="E5" i="2" s="1"/>
  <c r="A2" i="1" a="1"/>
  <c r="A2" i="1" s="1"/>
  <c r="A2" i="3" a="1"/>
  <c r="A2" i="3" s="1"/>
  <c r="A2" i="4" a="1"/>
  <c r="A2" i="4" s="1"/>
  <c r="A2" i="13" a="1"/>
  <c r="A2" i="13" s="1"/>
  <c r="C73" i="13"/>
  <c r="C7" i="13" s="1"/>
  <c r="F73" i="13"/>
  <c r="F7" i="13" s="1"/>
  <c r="E73" i="13"/>
  <c r="Z73" i="13"/>
  <c r="A1" i="3"/>
  <c r="A19" i="13" a="1"/>
  <c r="A19" i="13" s="1"/>
  <c r="A20" i="13" s="1" a="1"/>
  <c r="A20" i="13" s="1"/>
  <c r="A21" i="13" s="1" a="1"/>
  <c r="A21" i="13" s="1"/>
  <c r="A22" i="13" s="1" a="1"/>
  <c r="A22" i="13" s="1"/>
  <c r="A23" i="13" s="1" a="1"/>
  <c r="A23" i="13" s="1"/>
  <c r="A24" i="13" s="1" a="1"/>
  <c r="A24" i="13" s="1"/>
  <c r="A25" i="13" s="1" a="1"/>
  <c r="A25" i="13" s="1"/>
  <c r="A26" i="13" s="1" a="1"/>
  <c r="A26" i="13" s="1"/>
  <c r="A27" i="13" s="1" a="1"/>
  <c r="A27" i="13" s="1"/>
  <c r="A28" i="13" s="1" a="1"/>
  <c r="A28" i="13" s="1"/>
  <c r="A29" i="13" s="1" a="1"/>
  <c r="A29" i="13" s="1"/>
  <c r="A30" i="13" s="1" a="1"/>
  <c r="A30" i="13" s="1"/>
  <c r="A31" i="13" s="1" a="1"/>
  <c r="A31" i="13" s="1"/>
  <c r="A32" i="13" s="1" a="1"/>
  <c r="A32" i="13" s="1"/>
  <c r="A33" i="13" s="1" a="1"/>
  <c r="A33" i="13" s="1"/>
  <c r="A34" i="13" s="1" a="1"/>
  <c r="A34" i="13" s="1"/>
  <c r="A35" i="13" s="1" a="1"/>
  <c r="A35" i="13" s="1"/>
  <c r="A36" i="13" s="1" a="1"/>
  <c r="A36" i="13" s="1"/>
  <c r="A37" i="13" s="1" a="1"/>
  <c r="A37" i="13" s="1"/>
  <c r="A38" i="13" s="1" a="1"/>
  <c r="A38" i="13" s="1"/>
  <c r="A39" i="13" s="1" a="1"/>
  <c r="A39" i="13" s="1"/>
  <c r="A40" i="13" s="1" a="1"/>
  <c r="A40" i="13" s="1"/>
  <c r="A41" i="13" s="1" a="1"/>
  <c r="A41" i="13" s="1"/>
  <c r="A42" i="13" s="1" a="1"/>
  <c r="A42" i="13" s="1"/>
  <c r="A43" i="13" s="1" a="1"/>
  <c r="A43" i="13" s="1"/>
  <c r="A44" i="13" s="1" a="1"/>
  <c r="A44" i="13" s="1"/>
  <c r="A45" i="13" s="1" a="1"/>
  <c r="A45" i="13" s="1"/>
  <c r="A46" i="13" s="1" a="1"/>
  <c r="A46" i="13" s="1"/>
  <c r="A47" i="13" s="1" a="1"/>
  <c r="A47" i="13" s="1"/>
  <c r="A48" i="13" s="1" a="1"/>
  <c r="A48" i="13" s="1"/>
  <c r="A49" i="13" s="1" a="1"/>
  <c r="A49" i="13" s="1"/>
  <c r="A50" i="13" s="1" a="1"/>
  <c r="A50" i="13" s="1"/>
  <c r="A51" i="13" s="1" a="1"/>
  <c r="A51" i="13" s="1"/>
  <c r="A52" i="13" s="1" a="1"/>
  <c r="A52" i="13" s="1"/>
  <c r="A53" i="13" s="1" a="1"/>
  <c r="A53" i="13" s="1"/>
  <c r="A54" i="13" s="1" a="1"/>
  <c r="A54" i="13" s="1"/>
  <c r="A55" i="13" s="1" a="1"/>
  <c r="A55" i="13" s="1"/>
  <c r="A56" i="13" s="1" a="1"/>
  <c r="A56" i="13" s="1"/>
  <c r="A57" i="13" s="1" a="1"/>
  <c r="A57" i="13" s="1"/>
  <c r="A58" i="13" s="1" a="1"/>
  <c r="A58" i="13" s="1"/>
  <c r="A59" i="13" s="1" a="1"/>
  <c r="A59" i="13" s="1"/>
  <c r="A60" i="13" s="1" a="1"/>
  <c r="A60" i="13" s="1"/>
  <c r="A61" i="13" s="1" a="1"/>
  <c r="A61" i="13" s="1"/>
  <c r="A62" i="13" s="1" a="1"/>
  <c r="A62" i="13" s="1"/>
  <c r="A63" i="13" s="1" a="1"/>
  <c r="A63" i="13" s="1"/>
  <c r="A64" i="13" s="1" a="1"/>
  <c r="A64" i="13" s="1"/>
  <c r="A65" i="13" s="1" a="1"/>
  <c r="A65" i="13" s="1"/>
  <c r="A66" i="13" s="1" a="1"/>
  <c r="A66" i="13" s="1"/>
  <c r="A67" i="13" s="1" a="1"/>
  <c r="A67" i="13" s="1"/>
  <c r="A68" i="13" s="1" a="1"/>
  <c r="A68" i="13" s="1"/>
  <c r="A69" i="13" s="1" a="1"/>
  <c r="A69" i="13" s="1"/>
  <c r="A70" i="13" s="1" a="1"/>
  <c r="A70" i="13" s="1"/>
  <c r="A71" i="13" s="1" a="1"/>
  <c r="A71" i="13" s="1"/>
  <c r="A72" i="13" s="1" a="1"/>
  <c r="A72" i="13" s="1"/>
  <c r="F68" i="13"/>
  <c r="B17" i="2"/>
  <c r="C17" i="2"/>
  <c r="D17" i="2"/>
  <c r="D30" i="2"/>
  <c r="D29" i="2"/>
  <c r="D28" i="2"/>
  <c r="D27" i="2"/>
  <c r="D26" i="2"/>
  <c r="D25" i="2"/>
  <c r="D24" i="2"/>
  <c r="D23" i="2"/>
  <c r="D22" i="2"/>
  <c r="D21" i="2"/>
  <c r="D20" i="2"/>
  <c r="D19" i="2"/>
  <c r="D18" i="2"/>
  <c r="D15" i="2"/>
  <c r="D13" i="2"/>
  <c r="D14" i="2"/>
  <c r="D12" i="2"/>
  <c r="D11" i="2"/>
  <c r="D10" i="2"/>
  <c r="D8" i="2"/>
  <c r="D9" i="2"/>
  <c r="D7" i="2"/>
  <c r="D6" i="2"/>
  <c r="D5" i="2"/>
  <c r="D4" i="2"/>
  <c r="C30" i="2"/>
  <c r="C29" i="2"/>
  <c r="C28" i="2"/>
  <c r="C27" i="2"/>
  <c r="C26" i="2"/>
  <c r="C25" i="2"/>
  <c r="C24" i="2"/>
  <c r="C23" i="2"/>
  <c r="C22" i="2"/>
  <c r="C21" i="2"/>
  <c r="C20" i="2"/>
  <c r="C19" i="2"/>
  <c r="C18" i="2"/>
  <c r="C15" i="2"/>
  <c r="C13" i="2"/>
  <c r="C14" i="2"/>
  <c r="C12" i="2"/>
  <c r="C11" i="2"/>
  <c r="C10" i="2"/>
  <c r="C8" i="2"/>
  <c r="C9" i="2"/>
  <c r="C7" i="2"/>
  <c r="C6" i="2"/>
  <c r="C5" i="2"/>
  <c r="B30" i="2"/>
  <c r="B29" i="2"/>
  <c r="B28" i="2"/>
  <c r="B27" i="2"/>
  <c r="B26" i="2"/>
  <c r="B25" i="2"/>
  <c r="B24" i="2"/>
  <c r="B23" i="2"/>
  <c r="B22" i="2"/>
  <c r="B21" i="2"/>
  <c r="B20" i="2"/>
  <c r="B19" i="2"/>
  <c r="B18" i="2"/>
  <c r="B15" i="2"/>
  <c r="B13" i="2"/>
  <c r="B14" i="2"/>
  <c r="B12" i="2"/>
  <c r="B11" i="2"/>
  <c r="B10" i="2"/>
  <c r="B8" i="2"/>
  <c r="B9" i="2"/>
  <c r="B7" i="2"/>
  <c r="B6" i="2"/>
  <c r="B5" i="2"/>
  <c r="T11" i="13" a="1"/>
  <c r="T11" i="13" s="1"/>
  <c r="N11" i="13" a="1"/>
  <c r="N11" i="13" s="1"/>
  <c r="H11" i="13" a="1"/>
  <c r="H11" i="13" s="1"/>
  <c r="I31" i="2" l="1"/>
  <c r="G7" i="19"/>
  <c r="E7" i="19"/>
  <c r="B7" i="19"/>
  <c r="G7" i="18"/>
  <c r="B7" i="18"/>
  <c r="E7" i="18"/>
  <c r="G7" i="17"/>
  <c r="B7" i="17"/>
  <c r="E7" i="17"/>
  <c r="D7" i="13"/>
  <c r="A73" i="13"/>
  <c r="D7" i="4"/>
  <c r="F7" i="4"/>
  <c r="B7" i="13" l="1"/>
  <c r="G7" i="13"/>
  <c r="E7" i="13"/>
  <c r="A1" i="13"/>
  <c r="X113" i="4"/>
  <c r="X112" i="4"/>
  <c r="X111" i="4"/>
  <c r="X110" i="4"/>
  <c r="X109" i="4"/>
  <c r="X108" i="4"/>
  <c r="X107" i="4"/>
  <c r="X106" i="4"/>
  <c r="X105" i="4"/>
  <c r="X104" i="4"/>
  <c r="X103" i="4"/>
  <c r="X102" i="4"/>
  <c r="X101" i="4"/>
  <c r="X100" i="4"/>
  <c r="X99" i="4"/>
  <c r="X98" i="4"/>
  <c r="X97" i="4"/>
  <c r="X96" i="4"/>
  <c r="X95" i="4"/>
  <c r="X94" i="4"/>
  <c r="X93" i="4"/>
  <c r="X92" i="4"/>
  <c r="X91" i="4"/>
  <c r="X90" i="4"/>
  <c r="X89" i="4"/>
  <c r="X88" i="4"/>
  <c r="X87" i="4"/>
  <c r="X86" i="4"/>
  <c r="X85" i="4"/>
  <c r="X84" i="4"/>
  <c r="X83" i="4"/>
  <c r="X82" i="4"/>
  <c r="X81" i="4"/>
  <c r="X80" i="4"/>
  <c r="X79" i="4"/>
  <c r="X78" i="4"/>
  <c r="X77" i="4"/>
  <c r="X76" i="4"/>
  <c r="X75" i="4"/>
  <c r="X74" i="4"/>
  <c r="X73" i="4"/>
  <c r="X72" i="4"/>
  <c r="X71" i="4"/>
  <c r="X70" i="4"/>
  <c r="X69" i="4"/>
  <c r="X68" i="4"/>
  <c r="X67" i="4"/>
  <c r="X66" i="4"/>
  <c r="X65" i="4"/>
  <c r="V113" i="4"/>
  <c r="V112" i="4"/>
  <c r="V111" i="4"/>
  <c r="V110" i="4"/>
  <c r="V109" i="4"/>
  <c r="V108" i="4"/>
  <c r="V107" i="4"/>
  <c r="V106" i="4"/>
  <c r="V105" i="4"/>
  <c r="V104" i="4"/>
  <c r="V103" i="4"/>
  <c r="V102" i="4"/>
  <c r="V101" i="4"/>
  <c r="V100" i="4"/>
  <c r="V99" i="4"/>
  <c r="V98" i="4"/>
  <c r="V97" i="4"/>
  <c r="V96" i="4"/>
  <c r="V95" i="4"/>
  <c r="V94" i="4"/>
  <c r="V93" i="4"/>
  <c r="V92" i="4"/>
  <c r="V91" i="4"/>
  <c r="V90" i="4"/>
  <c r="V89" i="4"/>
  <c r="V88" i="4"/>
  <c r="V87" i="4"/>
  <c r="V86" i="4"/>
  <c r="V85" i="4"/>
  <c r="V84" i="4"/>
  <c r="V83" i="4"/>
  <c r="V82" i="4"/>
  <c r="V81" i="4"/>
  <c r="V80" i="4"/>
  <c r="V79" i="4"/>
  <c r="V78" i="4"/>
  <c r="V77" i="4"/>
  <c r="V76" i="4"/>
  <c r="V75" i="4"/>
  <c r="V74" i="4"/>
  <c r="V73" i="4"/>
  <c r="V72" i="4"/>
  <c r="V71" i="4"/>
  <c r="V70" i="4"/>
  <c r="V69" i="4"/>
  <c r="V68" i="4"/>
  <c r="V67" i="4"/>
  <c r="V66" i="4"/>
  <c r="V65" i="4"/>
  <c r="T65" i="4"/>
  <c r="T66" i="4"/>
  <c r="T67" i="4"/>
  <c r="T68" i="4"/>
  <c r="T69" i="4"/>
  <c r="T70" i="4"/>
  <c r="T71" i="4"/>
  <c r="T72" i="4"/>
  <c r="T73" i="4"/>
  <c r="T74" i="4"/>
  <c r="T75" i="4"/>
  <c r="T76" i="4"/>
  <c r="T77" i="4"/>
  <c r="T78" i="4"/>
  <c r="T79" i="4"/>
  <c r="T80" i="4"/>
  <c r="T81"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R113" i="4"/>
  <c r="R112" i="4"/>
  <c r="R111" i="4"/>
  <c r="R110" i="4"/>
  <c r="R109" i="4"/>
  <c r="R108" i="4"/>
  <c r="R107" i="4"/>
  <c r="R106" i="4"/>
  <c r="R105" i="4"/>
  <c r="R104" i="4"/>
  <c r="R103" i="4"/>
  <c r="R102" i="4"/>
  <c r="R101" i="4"/>
  <c r="R100" i="4"/>
  <c r="R99" i="4"/>
  <c r="R98" i="4"/>
  <c r="R97" i="4"/>
  <c r="R96" i="4"/>
  <c r="R95" i="4"/>
  <c r="R94" i="4"/>
  <c r="R93" i="4"/>
  <c r="R92" i="4"/>
  <c r="R91" i="4"/>
  <c r="R90" i="4"/>
  <c r="R89" i="4"/>
  <c r="R88" i="4"/>
  <c r="R87" i="4"/>
  <c r="R86" i="4"/>
  <c r="R85" i="4"/>
  <c r="R84" i="4"/>
  <c r="R83" i="4"/>
  <c r="R82" i="4"/>
  <c r="R81" i="4"/>
  <c r="R80" i="4"/>
  <c r="R79" i="4"/>
  <c r="R78" i="4"/>
  <c r="R77" i="4"/>
  <c r="R76" i="4"/>
  <c r="R75" i="4"/>
  <c r="R74" i="4"/>
  <c r="R73" i="4"/>
  <c r="R72" i="4"/>
  <c r="R71" i="4"/>
  <c r="R70" i="4"/>
  <c r="R69" i="4"/>
  <c r="R68" i="4"/>
  <c r="R67" i="4"/>
  <c r="R66" i="4"/>
  <c r="R65" i="4"/>
  <c r="P113" i="4"/>
  <c r="P112" i="4"/>
  <c r="P111" i="4"/>
  <c r="P110" i="4"/>
  <c r="P109" i="4"/>
  <c r="P108" i="4"/>
  <c r="P107" i="4"/>
  <c r="P106" i="4"/>
  <c r="P105" i="4"/>
  <c r="P104" i="4"/>
  <c r="P103" i="4"/>
  <c r="P102" i="4"/>
  <c r="P101"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P70" i="4"/>
  <c r="P69" i="4"/>
  <c r="P68" i="4"/>
  <c r="P67" i="4"/>
  <c r="P66" i="4"/>
  <c r="P65" i="4"/>
  <c r="N113" i="4"/>
  <c r="N112" i="4"/>
  <c r="N111" i="4"/>
  <c r="N110" i="4"/>
  <c r="N109" i="4"/>
  <c r="N108" i="4"/>
  <c r="N107" i="4"/>
  <c r="N106" i="4"/>
  <c r="N105" i="4"/>
  <c r="N104" i="4"/>
  <c r="N103" i="4"/>
  <c r="N102" i="4"/>
  <c r="N101" i="4"/>
  <c r="N100" i="4"/>
  <c r="N99" i="4"/>
  <c r="N98" i="4"/>
  <c r="N97" i="4"/>
  <c r="N96" i="4"/>
  <c r="N95" i="4"/>
  <c r="N94" i="4"/>
  <c r="N93" i="4"/>
  <c r="N92" i="4"/>
  <c r="N91" i="4"/>
  <c r="N90" i="4"/>
  <c r="N89" i="4"/>
  <c r="N88" i="4"/>
  <c r="N87" i="4"/>
  <c r="N86" i="4"/>
  <c r="N85" i="4"/>
  <c r="N84" i="4"/>
  <c r="N83" i="4"/>
  <c r="N82" i="4"/>
  <c r="N81" i="4"/>
  <c r="N80" i="4"/>
  <c r="N79" i="4"/>
  <c r="N78" i="4"/>
  <c r="N77" i="4"/>
  <c r="N76" i="4"/>
  <c r="N75" i="4"/>
  <c r="N74" i="4"/>
  <c r="N73" i="4"/>
  <c r="N72" i="4"/>
  <c r="N71" i="4"/>
  <c r="N70" i="4"/>
  <c r="N69" i="4"/>
  <c r="N68" i="4"/>
  <c r="N67" i="4"/>
  <c r="N66" i="4"/>
  <c r="N65" i="4"/>
  <c r="L113" i="4"/>
  <c r="L112" i="4"/>
  <c r="L111" i="4"/>
  <c r="L110" i="4"/>
  <c r="L109" i="4"/>
  <c r="L108" i="4"/>
  <c r="L107" i="4"/>
  <c r="L106" i="4"/>
  <c r="L105" i="4"/>
  <c r="L104" i="4"/>
  <c r="L103" i="4"/>
  <c r="L102" i="4"/>
  <c r="L101" i="4"/>
  <c r="L100" i="4"/>
  <c r="L99" i="4"/>
  <c r="L98" i="4"/>
  <c r="L97" i="4"/>
  <c r="L96" i="4"/>
  <c r="L95" i="4"/>
  <c r="L94" i="4"/>
  <c r="L93" i="4"/>
  <c r="L92" i="4"/>
  <c r="L91" i="4"/>
  <c r="L90" i="4"/>
  <c r="L89" i="4"/>
  <c r="L88" i="4"/>
  <c r="L87" i="4"/>
  <c r="L86" i="4"/>
  <c r="L85" i="4"/>
  <c r="L84" i="4"/>
  <c r="L83" i="4"/>
  <c r="L82" i="4"/>
  <c r="L81" i="4"/>
  <c r="L80" i="4"/>
  <c r="L79" i="4"/>
  <c r="L78" i="4"/>
  <c r="L77" i="4"/>
  <c r="L76" i="4"/>
  <c r="L75" i="4"/>
  <c r="L74" i="4"/>
  <c r="L73" i="4"/>
  <c r="L72" i="4"/>
  <c r="L71" i="4"/>
  <c r="L70" i="4"/>
  <c r="L69" i="4"/>
  <c r="L68" i="4"/>
  <c r="L67" i="4"/>
  <c r="L66" i="4"/>
  <c r="L65" i="4"/>
  <c r="I110" i="1"/>
  <c r="I109" i="1"/>
  <c r="I108" i="1"/>
  <c r="I107" i="1"/>
  <c r="I106" i="1"/>
  <c r="I105" i="1"/>
  <c r="I104" i="1"/>
  <c r="I103" i="1"/>
  <c r="I102" i="1"/>
  <c r="I101" i="1"/>
  <c r="I100" i="1"/>
  <c r="I99" i="1"/>
  <c r="I98" i="1"/>
  <c r="I97" i="1"/>
  <c r="I96" i="1"/>
  <c r="I95" i="1"/>
  <c r="I94" i="1"/>
  <c r="I93" i="1"/>
  <c r="I92" i="1"/>
  <c r="I91" i="1"/>
  <c r="I90" i="1"/>
  <c r="I89" i="1"/>
  <c r="I88" i="1"/>
  <c r="I87" i="1"/>
  <c r="I86" i="1"/>
  <c r="I85" i="1"/>
  <c r="I84" i="1"/>
  <c r="I83" i="1"/>
  <c r="I82" i="1"/>
  <c r="I81" i="1"/>
  <c r="I80" i="1"/>
  <c r="I79" i="1"/>
  <c r="I78" i="1"/>
  <c r="I77" i="1"/>
  <c r="I76" i="1"/>
  <c r="I75" i="1"/>
  <c r="I74" i="1"/>
  <c r="I73" i="1"/>
  <c r="I72" i="1"/>
  <c r="I71" i="1"/>
  <c r="I70" i="1"/>
  <c r="I69" i="1"/>
  <c r="I68" i="1"/>
  <c r="I67" i="1"/>
  <c r="I66" i="1"/>
  <c r="I65" i="1"/>
  <c r="I64" i="1"/>
  <c r="I63" i="1"/>
  <c r="I62" i="1"/>
  <c r="I61" i="1"/>
  <c r="I60" i="1"/>
  <c r="I59" i="1"/>
  <c r="I58" i="1"/>
  <c r="I40" i="1"/>
  <c r="I41" i="1" s="1"/>
  <c r="I42" i="1" s="1"/>
  <c r="I43" i="1" s="1"/>
  <c r="I44" i="1" s="1"/>
  <c r="I45" i="1" s="1"/>
  <c r="I46" i="1" s="1"/>
  <c r="I47" i="1" s="1"/>
  <c r="I48" i="1" s="1"/>
  <c r="I49" i="1" s="1"/>
  <c r="I50" i="1" s="1"/>
  <c r="I51" i="1" s="1"/>
  <c r="I52" i="1" s="1"/>
  <c r="I53" i="1" s="1"/>
  <c r="I54" i="1" s="1"/>
  <c r="I55" i="1" s="1"/>
  <c r="I56" i="1" s="1"/>
  <c r="I57" i="1" s="1"/>
  <c r="I39" i="1"/>
  <c r="I38" i="1"/>
  <c r="I12" i="1"/>
  <c r="I13" i="1" s="1"/>
  <c r="I14" i="1" s="1"/>
  <c r="I15" i="1" s="1"/>
  <c r="I16" i="1" s="1"/>
  <c r="I17" i="1" s="1"/>
  <c r="I18" i="1" s="1"/>
  <c r="I19" i="1" s="1"/>
  <c r="I20" i="1" s="1"/>
  <c r="I21" i="1" s="1"/>
  <c r="I22" i="1" s="1"/>
  <c r="I23" i="1" s="1"/>
  <c r="I24" i="1" s="1"/>
  <c r="I25" i="1" s="1"/>
  <c r="I26" i="1" s="1"/>
  <c r="I27" i="1" s="1"/>
  <c r="I28" i="1" s="1"/>
  <c r="I29" i="1" s="1"/>
  <c r="I30" i="1" s="1"/>
  <c r="I31" i="1" s="1"/>
  <c r="I32" i="1" s="1"/>
  <c r="I33" i="1" s="1"/>
  <c r="I34" i="1" s="1"/>
  <c r="I35" i="1" s="1"/>
  <c r="I36" i="1" s="1"/>
  <c r="I37" i="1" s="1"/>
  <c r="I11" i="1"/>
  <c r="G110" i="1"/>
  <c r="G109" i="1"/>
  <c r="G108" i="1"/>
  <c r="G107" i="1"/>
  <c r="G106" i="1"/>
  <c r="G105" i="1"/>
  <c r="G104" i="1"/>
  <c r="G103" i="1"/>
  <c r="G102" i="1"/>
  <c r="G101" i="1"/>
  <c r="G100" i="1"/>
  <c r="G99" i="1"/>
  <c r="G98" i="1"/>
  <c r="G97" i="1"/>
  <c r="G96" i="1"/>
  <c r="G95" i="1"/>
  <c r="G94" i="1"/>
  <c r="G93" i="1"/>
  <c r="G92" i="1"/>
  <c r="G91" i="1"/>
  <c r="G90" i="1"/>
  <c r="G89" i="1"/>
  <c r="G88" i="1"/>
  <c r="G87" i="1"/>
  <c r="G86" i="1"/>
  <c r="G85" i="1"/>
  <c r="G84" i="1"/>
  <c r="G83" i="1"/>
  <c r="G82" i="1"/>
  <c r="G81" i="1"/>
  <c r="G80" i="1"/>
  <c r="G79" i="1"/>
  <c r="G78" i="1"/>
  <c r="G77" i="1"/>
  <c r="G76" i="1"/>
  <c r="G75" i="1"/>
  <c r="G74" i="1"/>
  <c r="G73" i="1"/>
  <c r="G72" i="1"/>
  <c r="G71" i="1"/>
  <c r="G70" i="1"/>
  <c r="G69" i="1"/>
  <c r="G68" i="1"/>
  <c r="G67" i="1"/>
  <c r="G66" i="1"/>
  <c r="G65" i="1"/>
  <c r="G64" i="1"/>
  <c r="G63" i="1"/>
  <c r="G62" i="1"/>
  <c r="G61" i="1"/>
  <c r="G60" i="1"/>
  <c r="G59" i="1"/>
  <c r="G58" i="1"/>
  <c r="G39" i="1"/>
  <c r="G40" i="1" s="1"/>
  <c r="G41" i="1" s="1"/>
  <c r="G42" i="1" s="1"/>
  <c r="G43" i="1" s="1"/>
  <c r="G44" i="1" s="1"/>
  <c r="G45" i="1" s="1"/>
  <c r="G46" i="1" s="1"/>
  <c r="G47" i="1" s="1"/>
  <c r="G48" i="1" s="1"/>
  <c r="G49" i="1" s="1"/>
  <c r="G50" i="1" s="1"/>
  <c r="G51" i="1" s="1"/>
  <c r="G52" i="1" s="1"/>
  <c r="G53" i="1" s="1"/>
  <c r="G54" i="1" s="1"/>
  <c r="G55" i="1" s="1"/>
  <c r="G56" i="1" s="1"/>
  <c r="G57" i="1" s="1"/>
  <c r="G38" i="1"/>
  <c r="G27" i="1"/>
  <c r="G28" i="1" s="1"/>
  <c r="G29" i="1" s="1"/>
  <c r="G30" i="1" s="1"/>
  <c r="G31" i="1" s="1"/>
  <c r="G32" i="1" s="1"/>
  <c r="G33" i="1" s="1"/>
  <c r="G34" i="1" s="1"/>
  <c r="G35" i="1" s="1"/>
  <c r="G36" i="1" s="1"/>
  <c r="G37" i="1" s="1"/>
  <c r="G19" i="1"/>
  <c r="G20" i="1" s="1"/>
  <c r="G21" i="1" s="1"/>
  <c r="G22" i="1" s="1"/>
  <c r="G23" i="1" s="1"/>
  <c r="G24" i="1" s="1"/>
  <c r="G25" i="1" s="1"/>
  <c r="G26" i="1" s="1"/>
  <c r="G15" i="1"/>
  <c r="G16" i="1" s="1"/>
  <c r="G17" i="1" s="1"/>
  <c r="G18" i="1" s="1"/>
  <c r="G14" i="1"/>
  <c r="G12" i="1"/>
  <c r="G13" i="1" s="1"/>
  <c r="G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48" i="1"/>
  <c r="E49" i="1" s="1"/>
  <c r="E50" i="1" s="1"/>
  <c r="E51" i="1" s="1"/>
  <c r="E52" i="1" s="1"/>
  <c r="E53" i="1" s="1"/>
  <c r="E54" i="1" s="1"/>
  <c r="E55" i="1" s="1"/>
  <c r="E56" i="1" s="1"/>
  <c r="E57" i="1" s="1"/>
  <c r="E44" i="1"/>
  <c r="E45" i="1" s="1"/>
  <c r="E46" i="1" s="1"/>
  <c r="E47" i="1" s="1"/>
  <c r="E39" i="1"/>
  <c r="E40" i="1" s="1"/>
  <c r="E41" i="1" s="1"/>
  <c r="E42" i="1" s="1"/>
  <c r="E43" i="1" s="1"/>
  <c r="E38" i="1"/>
  <c r="E32" i="1"/>
  <c r="E33" i="1" s="1"/>
  <c r="E34" i="1" s="1"/>
  <c r="E35" i="1" s="1"/>
  <c r="E36" i="1" s="1"/>
  <c r="E37" i="1" s="1"/>
  <c r="E27" i="1"/>
  <c r="E28" i="1" s="1"/>
  <c r="E29" i="1" s="1"/>
  <c r="E30" i="1" s="1"/>
  <c r="E31" i="1" s="1"/>
  <c r="E23" i="1"/>
  <c r="E24" i="1" s="1"/>
  <c r="E25" i="1" s="1"/>
  <c r="E26" i="1" s="1"/>
  <c r="E22" i="1"/>
  <c r="E20" i="1"/>
  <c r="E21" i="1" s="1"/>
  <c r="E19" i="1"/>
  <c r="E15" i="1"/>
  <c r="E16" i="1" s="1"/>
  <c r="E17" i="1" s="1"/>
  <c r="E18" i="1" s="1"/>
  <c r="E14" i="1"/>
  <c r="E12" i="1"/>
  <c r="E13" i="1" s="1"/>
  <c r="E11" i="1"/>
  <c r="I110" i="3"/>
  <c r="I109" i="3"/>
  <c r="I108" i="3"/>
  <c r="I107" i="3"/>
  <c r="I106" i="3"/>
  <c r="I105" i="3"/>
  <c r="I104" i="3"/>
  <c r="I103" i="3"/>
  <c r="I102" i="3"/>
  <c r="I101" i="3"/>
  <c r="I100" i="3"/>
  <c r="I99" i="3"/>
  <c r="I98" i="3"/>
  <c r="I97" i="3"/>
  <c r="I96" i="3"/>
  <c r="I95" i="3"/>
  <c r="I94" i="3"/>
  <c r="I93" i="3"/>
  <c r="I92" i="3"/>
  <c r="I91" i="3"/>
  <c r="I90" i="3"/>
  <c r="I89" i="3"/>
  <c r="I88" i="3"/>
  <c r="I87" i="3"/>
  <c r="I86" i="3"/>
  <c r="I85" i="3"/>
  <c r="I84" i="3"/>
  <c r="I83" i="3"/>
  <c r="I82" i="3"/>
  <c r="I81" i="3"/>
  <c r="I80" i="3"/>
  <c r="I79" i="3"/>
  <c r="I78" i="3"/>
  <c r="I77" i="3"/>
  <c r="I76" i="3"/>
  <c r="I75" i="3"/>
  <c r="I74" i="3"/>
  <c r="I73" i="3"/>
  <c r="I72" i="3"/>
  <c r="I71" i="3"/>
  <c r="I70" i="3"/>
  <c r="I69" i="3"/>
  <c r="I68" i="3"/>
  <c r="I67" i="3"/>
  <c r="I66" i="3"/>
  <c r="I65" i="3"/>
  <c r="I64" i="3"/>
  <c r="I63" i="3"/>
  <c r="I62" i="3"/>
  <c r="I61" i="3"/>
  <c r="I37" i="3"/>
  <c r="I38" i="3" s="1"/>
  <c r="I39" i="3" s="1"/>
  <c r="I40" i="3" s="1"/>
  <c r="I41" i="3" s="1"/>
  <c r="I42" i="3" s="1"/>
  <c r="I43" i="3" s="1"/>
  <c r="I44" i="3" s="1"/>
  <c r="I45" i="3" s="1"/>
  <c r="I46" i="3" s="1"/>
  <c r="I47" i="3" s="1"/>
  <c r="I48" i="3" s="1"/>
  <c r="I49" i="3" s="1"/>
  <c r="I50" i="3" s="1"/>
  <c r="I51" i="3" s="1"/>
  <c r="I52" i="3" s="1"/>
  <c r="I53" i="3" s="1"/>
  <c r="I54" i="3" s="1"/>
  <c r="I55" i="3" s="1"/>
  <c r="I56" i="3" s="1"/>
  <c r="I57" i="3" s="1"/>
  <c r="I58" i="3" s="1"/>
  <c r="I59" i="3" s="1"/>
  <c r="I60" i="3" s="1"/>
  <c r="I15" i="3"/>
  <c r="I16" i="3" s="1"/>
  <c r="I17" i="3" s="1"/>
  <c r="I18" i="3" s="1"/>
  <c r="I19" i="3" s="1"/>
  <c r="I20" i="3" s="1"/>
  <c r="I21" i="3" s="1"/>
  <c r="I22" i="3" s="1"/>
  <c r="I23" i="3" s="1"/>
  <c r="I24" i="3" s="1"/>
  <c r="I25" i="3" s="1"/>
  <c r="I26" i="3" s="1"/>
  <c r="I27" i="3" s="1"/>
  <c r="I28" i="3" s="1"/>
  <c r="I29" i="3" s="1"/>
  <c r="I30" i="3" s="1"/>
  <c r="I31" i="3" s="1"/>
  <c r="I32" i="3" s="1"/>
  <c r="I33" i="3" s="1"/>
  <c r="I34" i="3" s="1"/>
  <c r="I35" i="3" s="1"/>
  <c r="I36" i="3" s="1"/>
  <c r="I13" i="3"/>
  <c r="I14" i="3" s="1"/>
  <c r="I12" i="3"/>
  <c r="I11" i="3"/>
  <c r="G110" i="3"/>
  <c r="G109" i="3"/>
  <c r="G108" i="3"/>
  <c r="G107" i="3"/>
  <c r="G106" i="3"/>
  <c r="G105" i="3"/>
  <c r="G104" i="3"/>
  <c r="G103" i="3"/>
  <c r="G102" i="3"/>
  <c r="G101" i="3"/>
  <c r="G100" i="3"/>
  <c r="G99" i="3"/>
  <c r="G98" i="3"/>
  <c r="G97" i="3"/>
  <c r="G96" i="3"/>
  <c r="G95" i="3"/>
  <c r="G94" i="3"/>
  <c r="G93" i="3"/>
  <c r="G92" i="3"/>
  <c r="G91" i="3"/>
  <c r="G90" i="3"/>
  <c r="G89" i="3"/>
  <c r="G88" i="3"/>
  <c r="G87" i="3"/>
  <c r="G86" i="3"/>
  <c r="G85" i="3"/>
  <c r="G84" i="3"/>
  <c r="G83" i="3"/>
  <c r="G82" i="3"/>
  <c r="G81" i="3"/>
  <c r="G80" i="3"/>
  <c r="G79" i="3"/>
  <c r="G78" i="3"/>
  <c r="G77" i="3"/>
  <c r="G76" i="3"/>
  <c r="G75" i="3"/>
  <c r="G74" i="3"/>
  <c r="G73" i="3"/>
  <c r="G72" i="3"/>
  <c r="G71" i="3"/>
  <c r="G70" i="3"/>
  <c r="G69" i="3"/>
  <c r="G68" i="3"/>
  <c r="G67" i="3"/>
  <c r="G66" i="3"/>
  <c r="G65" i="3"/>
  <c r="G64" i="3"/>
  <c r="G63" i="3"/>
  <c r="G62" i="3"/>
  <c r="G61" i="3"/>
  <c r="G60" i="3"/>
  <c r="G59" i="3"/>
  <c r="G58" i="3"/>
  <c r="G57" i="3"/>
  <c r="G56" i="3"/>
  <c r="G55" i="3"/>
  <c r="G54" i="3"/>
  <c r="G53" i="3"/>
  <c r="G52" i="3"/>
  <c r="G51" i="3"/>
  <c r="G50" i="3"/>
  <c r="G49" i="3"/>
  <c r="G48" i="3"/>
  <c r="G47" i="3"/>
  <c r="G46" i="3"/>
  <c r="G45" i="3"/>
  <c r="G44" i="3"/>
  <c r="G43" i="3"/>
  <c r="G42" i="3"/>
  <c r="G41" i="3"/>
  <c r="G40" i="3"/>
  <c r="G39" i="3"/>
  <c r="G38" i="3"/>
  <c r="G36" i="3"/>
  <c r="G37" i="3" s="1"/>
  <c r="G35" i="3"/>
  <c r="G34" i="3"/>
  <c r="G33" i="3"/>
  <c r="G32" i="3"/>
  <c r="G31" i="3"/>
  <c r="G30" i="3"/>
  <c r="G29" i="3"/>
  <c r="G28" i="3"/>
  <c r="G27" i="3"/>
  <c r="G26" i="3"/>
  <c r="G25" i="3"/>
  <c r="G24" i="3"/>
  <c r="G23" i="3"/>
  <c r="G22" i="3"/>
  <c r="G21" i="3"/>
  <c r="G20" i="3"/>
  <c r="G19" i="3"/>
  <c r="G18" i="3"/>
  <c r="G17" i="3"/>
  <c r="G16" i="3"/>
  <c r="G15" i="3"/>
  <c r="G14" i="3"/>
  <c r="G13" i="3"/>
  <c r="G12" i="3"/>
  <c r="G11" i="3"/>
  <c r="E110" i="3"/>
  <c r="E109" i="3"/>
  <c r="E108" i="3"/>
  <c r="E107" i="3"/>
  <c r="E106" i="3"/>
  <c r="E105" i="3"/>
  <c r="E104" i="3"/>
  <c r="E103" i="3"/>
  <c r="E102" i="3"/>
  <c r="E101" i="3"/>
  <c r="E100" i="3"/>
  <c r="E99" i="3"/>
  <c r="E98" i="3"/>
  <c r="E97" i="3"/>
  <c r="E96" i="3"/>
  <c r="E95" i="3"/>
  <c r="E94" i="3"/>
  <c r="E93" i="3"/>
  <c r="E92" i="3"/>
  <c r="E91" i="3"/>
  <c r="E90" i="3"/>
  <c r="E89" i="3"/>
  <c r="E88" i="3"/>
  <c r="E87" i="3"/>
  <c r="E86" i="3"/>
  <c r="E85" i="3"/>
  <c r="E84" i="3"/>
  <c r="E83" i="3"/>
  <c r="E82" i="3"/>
  <c r="E81" i="3"/>
  <c r="E80" i="3"/>
  <c r="E79" i="3"/>
  <c r="E78" i="3"/>
  <c r="E77" i="3"/>
  <c r="E76" i="3"/>
  <c r="E75" i="3"/>
  <c r="E74" i="3"/>
  <c r="E73" i="3"/>
  <c r="E72" i="3"/>
  <c r="E71" i="3"/>
  <c r="E70" i="3"/>
  <c r="E69" i="3"/>
  <c r="E68" i="3"/>
  <c r="E67" i="3"/>
  <c r="E66" i="3"/>
  <c r="E65" i="3"/>
  <c r="E64" i="3"/>
  <c r="E63" i="3"/>
  <c r="E62" i="3"/>
  <c r="E61" i="3"/>
  <c r="E59" i="3"/>
  <c r="E60" i="3" s="1"/>
  <c r="E58" i="3"/>
  <c r="E55" i="3"/>
  <c r="E56" i="3" s="1"/>
  <c r="E57" i="3" s="1"/>
  <c r="E50" i="3"/>
  <c r="E51" i="3" s="1"/>
  <c r="E52" i="3" s="1"/>
  <c r="E53" i="3" s="1"/>
  <c r="E54" i="3" s="1"/>
  <c r="E48" i="3"/>
  <c r="E49" i="3" s="1"/>
  <c r="E44" i="3"/>
  <c r="E45" i="3" s="1"/>
  <c r="E46" i="3" s="1"/>
  <c r="E47" i="3" s="1"/>
  <c r="E42" i="3"/>
  <c r="E43" i="3" s="1"/>
  <c r="E41" i="3"/>
  <c r="E37" i="3"/>
  <c r="E38" i="3" s="1"/>
  <c r="E39" i="3" s="1"/>
  <c r="E40" i="3" s="1"/>
  <c r="E32" i="3"/>
  <c r="E33" i="3" s="1"/>
  <c r="E34" i="3" s="1"/>
  <c r="E35" i="3" s="1"/>
  <c r="E36" i="3" s="1"/>
  <c r="E15" i="3"/>
  <c r="E16" i="3" s="1"/>
  <c r="E17" i="3" s="1"/>
  <c r="E18" i="3" s="1"/>
  <c r="E19" i="3" s="1"/>
  <c r="E20" i="3" s="1"/>
  <c r="E21" i="3" s="1"/>
  <c r="E22" i="3" s="1"/>
  <c r="E23" i="3" s="1"/>
  <c r="E24" i="3" s="1"/>
  <c r="E25" i="3" s="1"/>
  <c r="E26" i="3" s="1"/>
  <c r="E27" i="3" s="1"/>
  <c r="E28" i="3" s="1"/>
  <c r="E29" i="3" s="1"/>
  <c r="E30" i="3" s="1"/>
  <c r="E31" i="3" s="1"/>
  <c r="E12" i="3"/>
  <c r="E13" i="3" s="1"/>
  <c r="E14" i="3" s="1"/>
  <c r="E11" i="3"/>
  <c r="J113" i="4"/>
  <c r="J112" i="4"/>
  <c r="J111" i="4"/>
  <c r="J110" i="4"/>
  <c r="J109" i="4"/>
  <c r="J108" i="4"/>
  <c r="J107" i="4"/>
  <c r="J106" i="4"/>
  <c r="J105" i="4"/>
  <c r="J104" i="4"/>
  <c r="J103" i="4"/>
  <c r="J102" i="4"/>
  <c r="J101" i="4"/>
  <c r="J100" i="4"/>
  <c r="J99" i="4"/>
  <c r="J98" i="4"/>
  <c r="J97" i="4"/>
  <c r="J96" i="4"/>
  <c r="J95" i="4"/>
  <c r="J94" i="4"/>
  <c r="J93" i="4"/>
  <c r="J92" i="4"/>
  <c r="J91" i="4"/>
  <c r="J90" i="4"/>
  <c r="J89" i="4"/>
  <c r="J88" i="4"/>
  <c r="J87" i="4"/>
  <c r="J86" i="4"/>
  <c r="J85" i="4"/>
  <c r="J84" i="4"/>
  <c r="J83" i="4"/>
  <c r="J82" i="4"/>
  <c r="J81" i="4"/>
  <c r="J80" i="4"/>
  <c r="J79" i="4"/>
  <c r="J78" i="4"/>
  <c r="J77" i="4"/>
  <c r="J76" i="4"/>
  <c r="J75" i="4"/>
  <c r="J74" i="4"/>
  <c r="J73" i="4"/>
  <c r="J72" i="4"/>
  <c r="J71" i="4"/>
  <c r="J70" i="4"/>
  <c r="J69" i="4"/>
  <c r="J68" i="4"/>
  <c r="J67" i="4"/>
  <c r="J66" i="4"/>
  <c r="J65" i="4"/>
  <c r="H113" i="4"/>
  <c r="H112" i="4"/>
  <c r="H111" i="4"/>
  <c r="H110" i="4"/>
  <c r="H109" i="4"/>
  <c r="H108" i="4"/>
  <c r="H107" i="4"/>
  <c r="H106" i="4"/>
  <c r="H105" i="4"/>
  <c r="H104" i="4"/>
  <c r="H103" i="4"/>
  <c r="H102" i="4"/>
  <c r="H101" i="4"/>
  <c r="H100" i="4"/>
  <c r="H99" i="4"/>
  <c r="H98" i="4"/>
  <c r="H97" i="4"/>
  <c r="H96" i="4"/>
  <c r="H95" i="4"/>
  <c r="H94" i="4"/>
  <c r="H93" i="4"/>
  <c r="H92" i="4"/>
  <c r="H91" i="4"/>
  <c r="H90" i="4"/>
  <c r="H89" i="4"/>
  <c r="H88" i="4"/>
  <c r="H87" i="4"/>
  <c r="H86" i="4"/>
  <c r="H85" i="4"/>
  <c r="H84" i="4"/>
  <c r="H83" i="4"/>
  <c r="H82" i="4"/>
  <c r="H81" i="4"/>
  <c r="H80" i="4"/>
  <c r="H79" i="4"/>
  <c r="H78" i="4"/>
  <c r="H77" i="4"/>
  <c r="H76" i="4"/>
  <c r="H75" i="4"/>
  <c r="H74" i="4"/>
  <c r="H73" i="4"/>
  <c r="H72" i="4"/>
  <c r="H71" i="4"/>
  <c r="H70" i="4"/>
  <c r="H69" i="4"/>
  <c r="H68" i="4"/>
  <c r="H67" i="4"/>
  <c r="H66" i="4"/>
  <c r="H65" i="4"/>
  <c r="S55" i="4"/>
  <c r="Q55" i="4"/>
  <c r="O55" i="4"/>
  <c r="M54" i="4"/>
  <c r="K54" i="4"/>
  <c r="I54" i="4"/>
  <c r="O61" i="4"/>
  <c r="U52" i="4"/>
  <c r="U42" i="4"/>
  <c r="U41" i="4"/>
  <c r="U36" i="4"/>
  <c r="W32" i="4"/>
  <c r="U32" i="4"/>
  <c r="W27" i="4"/>
  <c r="U27" i="4"/>
  <c r="Y22" i="4"/>
  <c r="W22" i="4"/>
  <c r="U22" i="4"/>
  <c r="W19" i="4"/>
  <c r="U19" i="4"/>
  <c r="W13" i="4"/>
  <c r="U13" i="4"/>
  <c r="F47" i="1"/>
  <c r="F43" i="1"/>
  <c r="J37" i="1"/>
  <c r="H37" i="1"/>
  <c r="F37" i="1"/>
  <c r="F31" i="1"/>
  <c r="H26" i="1"/>
  <c r="F26" i="1"/>
  <c r="F21" i="1"/>
  <c r="H18" i="1"/>
  <c r="F18" i="1"/>
  <c r="H13" i="1"/>
  <c r="F13" i="1"/>
  <c r="J36" i="3"/>
  <c r="J14" i="3"/>
  <c r="H36" i="3"/>
  <c r="H14" i="3"/>
  <c r="H10" i="3"/>
  <c r="F40" i="3"/>
  <c r="F43" i="3"/>
  <c r="F47" i="3"/>
  <c r="F49" i="3"/>
  <c r="F57" i="3"/>
  <c r="F54" i="3"/>
  <c r="F41" i="3"/>
  <c r="F36" i="3"/>
  <c r="F31" i="3"/>
  <c r="F14" i="3"/>
  <c r="F10" i="3"/>
  <c r="D110" i="1" a="1"/>
  <c r="D110" i="1" s="1"/>
  <c r="D109" i="1" a="1"/>
  <c r="D109" i="1" s="1"/>
  <c r="D108" i="1" a="1"/>
  <c r="D108" i="1" s="1"/>
  <c r="D107" i="1" a="1"/>
  <c r="D107" i="1" s="1"/>
  <c r="D106" i="1" a="1"/>
  <c r="D106" i="1" s="1"/>
  <c r="D105" i="1" a="1"/>
  <c r="D105" i="1" s="1"/>
  <c r="D104" i="1" a="1"/>
  <c r="D104" i="1" s="1"/>
  <c r="D103" i="1" a="1"/>
  <c r="D103" i="1" s="1"/>
  <c r="D102" i="1" a="1"/>
  <c r="D102" i="1" s="1"/>
  <c r="D101" i="1" a="1"/>
  <c r="D101" i="1" s="1"/>
  <c r="D100" i="1" a="1"/>
  <c r="D100" i="1" s="1"/>
  <c r="D99" i="1" a="1"/>
  <c r="D99" i="1" s="1"/>
  <c r="D98" i="1" a="1"/>
  <c r="D98" i="1" s="1"/>
  <c r="D97" i="1" a="1"/>
  <c r="D97" i="1" s="1"/>
  <c r="D96" i="1" a="1"/>
  <c r="D96" i="1" s="1"/>
  <c r="D95" i="1" a="1"/>
  <c r="D95" i="1" s="1"/>
  <c r="D94" i="1" a="1"/>
  <c r="D94" i="1" s="1"/>
  <c r="D93" i="1" a="1"/>
  <c r="D93" i="1" s="1"/>
  <c r="D92" i="1" a="1"/>
  <c r="D92" i="1" s="1"/>
  <c r="D91" i="1" a="1"/>
  <c r="D91" i="1" s="1"/>
  <c r="D90" i="1" a="1"/>
  <c r="D90" i="1" s="1"/>
  <c r="D89" i="1" a="1"/>
  <c r="D89" i="1" s="1"/>
  <c r="D88" i="1" a="1"/>
  <c r="D88" i="1" s="1"/>
  <c r="D87" i="1" a="1"/>
  <c r="D87" i="1" s="1"/>
  <c r="D86" i="1" a="1"/>
  <c r="D86" i="1" s="1"/>
  <c r="D85" i="1" a="1"/>
  <c r="D85" i="1" s="1"/>
  <c r="D84" i="1" a="1"/>
  <c r="D84" i="1" s="1"/>
  <c r="D83" i="1" a="1"/>
  <c r="D83" i="1" s="1"/>
  <c r="D82" i="1" a="1"/>
  <c r="D82" i="1" s="1"/>
  <c r="D81" i="1" a="1"/>
  <c r="D81" i="1" s="1"/>
  <c r="D80" i="1" a="1"/>
  <c r="D80" i="1" s="1"/>
  <c r="D79" i="1" a="1"/>
  <c r="D79" i="1" s="1"/>
  <c r="D78" i="1" a="1"/>
  <c r="D78" i="1" s="1"/>
  <c r="D77" i="1" a="1"/>
  <c r="D77" i="1" s="1"/>
  <c r="D76" i="1" a="1"/>
  <c r="D76" i="1" s="1"/>
  <c r="D75" i="1" a="1"/>
  <c r="D75" i="1" s="1"/>
  <c r="D74" i="1" a="1"/>
  <c r="D74" i="1" s="1"/>
  <c r="D73" i="1" a="1"/>
  <c r="D73" i="1" s="1"/>
  <c r="D72" i="1" a="1"/>
  <c r="D72" i="1" s="1"/>
  <c r="D71" i="1" a="1"/>
  <c r="D71" i="1" s="1"/>
  <c r="D70" i="1" a="1"/>
  <c r="D70" i="1" s="1"/>
  <c r="D69" i="1" a="1"/>
  <c r="D69" i="1" s="1"/>
  <c r="D68" i="1" a="1"/>
  <c r="D68" i="1" s="1"/>
  <c r="D67" i="1" a="1"/>
  <c r="D67" i="1" s="1"/>
  <c r="D66" i="1" a="1"/>
  <c r="D66" i="1" s="1"/>
  <c r="D65" i="1" a="1"/>
  <c r="D65" i="1" s="1"/>
  <c r="D64" i="1" a="1"/>
  <c r="D64" i="1" s="1"/>
  <c r="D63" i="1" a="1"/>
  <c r="D63" i="1" s="1"/>
  <c r="D62" i="1" a="1"/>
  <c r="D62" i="1" s="1"/>
  <c r="D61" i="1" a="1"/>
  <c r="D61" i="1" s="1"/>
  <c r="D60" i="1" a="1"/>
  <c r="D60" i="1" s="1"/>
  <c r="D59" i="1" a="1"/>
  <c r="D59" i="1" s="1"/>
  <c r="D58" i="1" a="1"/>
  <c r="D58" i="1" s="1"/>
  <c r="D57" i="1" a="1"/>
  <c r="D57" i="1" s="1"/>
  <c r="D56" i="1" a="1"/>
  <c r="D56" i="1" s="1"/>
  <c r="D55" i="1" a="1"/>
  <c r="D55" i="1" s="1"/>
  <c r="D54" i="1" a="1"/>
  <c r="D54" i="1" s="1"/>
  <c r="D53" i="1" a="1"/>
  <c r="D53" i="1" s="1"/>
  <c r="D52" i="1" a="1"/>
  <c r="D52" i="1" s="1"/>
  <c r="D51" i="1" a="1"/>
  <c r="D51" i="1" s="1"/>
  <c r="D50" i="1" a="1"/>
  <c r="D50" i="1" s="1"/>
  <c r="D49" i="1" a="1"/>
  <c r="D49" i="1" s="1"/>
  <c r="D48" i="1" a="1"/>
  <c r="D48" i="1" s="1"/>
  <c r="D47" i="1" a="1"/>
  <c r="D47" i="1" s="1"/>
  <c r="D46" i="1" a="1"/>
  <c r="D46" i="1" s="1"/>
  <c r="D45" i="1" a="1"/>
  <c r="D45" i="1" s="1"/>
  <c r="D44" i="1" a="1"/>
  <c r="D44" i="1" s="1"/>
  <c r="D43" i="1" a="1"/>
  <c r="D43" i="1" s="1"/>
  <c r="D42" i="1" a="1"/>
  <c r="D42" i="1" s="1"/>
  <c r="D41" i="1" a="1"/>
  <c r="D41" i="1" s="1"/>
  <c r="D40" i="1" a="1"/>
  <c r="D40" i="1" s="1"/>
  <c r="D39" i="1" a="1"/>
  <c r="D39" i="1" s="1"/>
  <c r="D38" i="1" a="1"/>
  <c r="D38" i="1" s="1"/>
  <c r="D37" i="1" a="1"/>
  <c r="D37" i="1" s="1"/>
  <c r="D36" i="1" a="1"/>
  <c r="D36" i="1" s="1"/>
  <c r="D35" i="1" a="1"/>
  <c r="D35" i="1" s="1"/>
  <c r="D34" i="1" a="1"/>
  <c r="D34" i="1" s="1"/>
  <c r="D33" i="1" a="1"/>
  <c r="D33" i="1" s="1"/>
  <c r="D32" i="1" a="1"/>
  <c r="D32" i="1" s="1"/>
  <c r="D31" i="1" a="1"/>
  <c r="D31" i="1" s="1"/>
  <c r="D30" i="1" a="1"/>
  <c r="D30" i="1" s="1"/>
  <c r="D29" i="1" a="1"/>
  <c r="D29" i="1" s="1"/>
  <c r="D28" i="1" a="1"/>
  <c r="D28" i="1" s="1"/>
  <c r="D27" i="1" a="1"/>
  <c r="D27" i="1" s="1"/>
  <c r="D26" i="1" a="1"/>
  <c r="D26" i="1" s="1"/>
  <c r="D25" i="1" a="1"/>
  <c r="D25" i="1" s="1"/>
  <c r="D24" i="1" a="1"/>
  <c r="D24" i="1" s="1"/>
  <c r="D23" i="1" a="1"/>
  <c r="D23" i="1" s="1"/>
  <c r="D22" i="1" a="1"/>
  <c r="D22" i="1" s="1"/>
  <c r="D21" i="1" a="1"/>
  <c r="D21" i="1" s="1"/>
  <c r="D20" i="1" a="1"/>
  <c r="D20" i="1" s="1"/>
  <c r="D19" i="1" a="1"/>
  <c r="D19" i="1" s="1"/>
  <c r="D18" i="1" a="1"/>
  <c r="D18" i="1" s="1"/>
  <c r="D17" i="1" a="1"/>
  <c r="D17" i="1" s="1"/>
  <c r="D16" i="1" a="1"/>
  <c r="D16" i="1" s="1"/>
  <c r="D15" i="1" a="1"/>
  <c r="D15" i="1" s="1"/>
  <c r="D14" i="1" a="1"/>
  <c r="D14" i="1" s="1"/>
  <c r="D13" i="1" a="1"/>
  <c r="D13" i="1" s="1"/>
  <c r="D12" i="1" a="1"/>
  <c r="D12" i="1" s="1"/>
  <c r="D11" i="1" a="1"/>
  <c r="D11" i="1" s="1"/>
  <c r="D110" i="3" a="1"/>
  <c r="D110" i="3" s="1"/>
  <c r="D109" i="3" a="1"/>
  <c r="D109" i="3" s="1"/>
  <c r="D108" i="3" a="1"/>
  <c r="D108" i="3" s="1"/>
  <c r="D107" i="3" a="1"/>
  <c r="D107" i="3" s="1"/>
  <c r="D106" i="3" a="1"/>
  <c r="D106" i="3" s="1"/>
  <c r="D105" i="3" a="1"/>
  <c r="D105" i="3" s="1"/>
  <c r="D104" i="3" a="1"/>
  <c r="D104" i="3" s="1"/>
  <c r="D103" i="3" a="1"/>
  <c r="D103" i="3" s="1"/>
  <c r="D102" i="3" a="1"/>
  <c r="D102" i="3" s="1"/>
  <c r="D101" i="3" a="1"/>
  <c r="D101" i="3" s="1"/>
  <c r="D100" i="3" a="1"/>
  <c r="D100" i="3" s="1"/>
  <c r="D99" i="3" a="1"/>
  <c r="D99" i="3" s="1"/>
  <c r="D98" i="3" a="1"/>
  <c r="D98" i="3" s="1"/>
  <c r="D97" i="3" a="1"/>
  <c r="D97" i="3" s="1"/>
  <c r="D96" i="3" a="1"/>
  <c r="D96" i="3" s="1"/>
  <c r="D95" i="3" a="1"/>
  <c r="D95" i="3" s="1"/>
  <c r="D94" i="3" a="1"/>
  <c r="D94" i="3" s="1"/>
  <c r="D93" i="3" a="1"/>
  <c r="D93" i="3" s="1"/>
  <c r="D92" i="3" a="1"/>
  <c r="D92" i="3" s="1"/>
  <c r="D91" i="3" a="1"/>
  <c r="D91" i="3" s="1"/>
  <c r="D90" i="3" a="1"/>
  <c r="D90" i="3" s="1"/>
  <c r="D89" i="3" a="1"/>
  <c r="D89" i="3" s="1"/>
  <c r="D88" i="3" a="1"/>
  <c r="D88" i="3" s="1"/>
  <c r="D87" i="3" a="1"/>
  <c r="D87" i="3" s="1"/>
  <c r="D86" i="3" a="1"/>
  <c r="D86" i="3" s="1"/>
  <c r="D85" i="3" a="1"/>
  <c r="D85" i="3" s="1"/>
  <c r="D84" i="3" a="1"/>
  <c r="D84" i="3" s="1"/>
  <c r="D83" i="3" a="1"/>
  <c r="D83" i="3" s="1"/>
  <c r="D82" i="3" a="1"/>
  <c r="D82" i="3" s="1"/>
  <c r="D81" i="3" a="1"/>
  <c r="D81" i="3" s="1"/>
  <c r="D80" i="3" a="1"/>
  <c r="D80" i="3" s="1"/>
  <c r="D79" i="3" a="1"/>
  <c r="D79" i="3" s="1"/>
  <c r="D78" i="3" a="1"/>
  <c r="D78" i="3" s="1"/>
  <c r="D77" i="3" a="1"/>
  <c r="D77" i="3" s="1"/>
  <c r="D76" i="3" a="1"/>
  <c r="D76" i="3" s="1"/>
  <c r="D75" i="3" a="1"/>
  <c r="D75" i="3" s="1"/>
  <c r="D74" i="3" a="1"/>
  <c r="D74" i="3" s="1"/>
  <c r="D73" i="3" a="1"/>
  <c r="D73" i="3" s="1"/>
  <c r="D72" i="3" a="1"/>
  <c r="D72" i="3" s="1"/>
  <c r="D71" i="3" a="1"/>
  <c r="D71" i="3" s="1"/>
  <c r="D70" i="3" a="1"/>
  <c r="D70" i="3" s="1"/>
  <c r="D69" i="3" a="1"/>
  <c r="D69" i="3" s="1"/>
  <c r="D68" i="3" a="1"/>
  <c r="D68" i="3" s="1"/>
  <c r="D67" i="3" a="1"/>
  <c r="D67" i="3" s="1"/>
  <c r="D66" i="3" a="1"/>
  <c r="D66" i="3" s="1"/>
  <c r="D65" i="3" a="1"/>
  <c r="D65" i="3" s="1"/>
  <c r="D64" i="3" a="1"/>
  <c r="D64" i="3" s="1"/>
  <c r="D63" i="3" a="1"/>
  <c r="D63" i="3" s="1"/>
  <c r="D62" i="3" a="1"/>
  <c r="D62" i="3" s="1"/>
  <c r="D61" i="3" a="1"/>
  <c r="D61" i="3" s="1"/>
  <c r="D60" i="3" a="1"/>
  <c r="D60" i="3" s="1"/>
  <c r="D59" i="3" a="1"/>
  <c r="D59" i="3" s="1"/>
  <c r="D58" i="3" a="1"/>
  <c r="D58" i="3" s="1"/>
  <c r="D57" i="3" a="1"/>
  <c r="D57" i="3" s="1"/>
  <c r="D56" i="3" a="1"/>
  <c r="D56" i="3" s="1"/>
  <c r="D55" i="3" a="1"/>
  <c r="D55" i="3" s="1"/>
  <c r="D54" i="3" a="1"/>
  <c r="D54" i="3" s="1"/>
  <c r="D53" i="3" a="1"/>
  <c r="D53" i="3" s="1"/>
  <c r="D52" i="3" a="1"/>
  <c r="D52" i="3" s="1"/>
  <c r="D51" i="3" a="1"/>
  <c r="D51" i="3" s="1"/>
  <c r="D50" i="3" a="1"/>
  <c r="D50" i="3" s="1"/>
  <c r="D49" i="3" a="1"/>
  <c r="D49" i="3" s="1"/>
  <c r="D48" i="3" a="1"/>
  <c r="D48" i="3" s="1"/>
  <c r="D47" i="3" a="1"/>
  <c r="D47" i="3" s="1"/>
  <c r="D46" i="3" a="1"/>
  <c r="D46" i="3" s="1"/>
  <c r="D45" i="3" a="1"/>
  <c r="D45" i="3" s="1"/>
  <c r="D44" i="3" a="1"/>
  <c r="D44" i="3" s="1"/>
  <c r="D43" i="3" a="1"/>
  <c r="D43" i="3" s="1"/>
  <c r="D42" i="3" a="1"/>
  <c r="D42" i="3" s="1"/>
  <c r="D41" i="3" a="1"/>
  <c r="D41" i="3" s="1"/>
  <c r="D40" i="3" a="1"/>
  <c r="D40" i="3" s="1"/>
  <c r="D39" i="3" a="1"/>
  <c r="D39" i="3" s="1"/>
  <c r="D38" i="3" a="1"/>
  <c r="D38" i="3" s="1"/>
  <c r="D37" i="3" a="1"/>
  <c r="D37" i="3" s="1"/>
  <c r="D36" i="3" a="1"/>
  <c r="D36" i="3" s="1"/>
  <c r="D35" i="3" a="1"/>
  <c r="D35" i="3" s="1"/>
  <c r="D34" i="3" a="1"/>
  <c r="D34" i="3" s="1"/>
  <c r="D33" i="3" a="1"/>
  <c r="D33" i="3" s="1"/>
  <c r="D32" i="3" a="1"/>
  <c r="D32" i="3" s="1"/>
  <c r="D31" i="3" a="1"/>
  <c r="D31" i="3" s="1"/>
  <c r="D30" i="3" a="1"/>
  <c r="D30" i="3" s="1"/>
  <c r="D29" i="3" a="1"/>
  <c r="D29" i="3" s="1"/>
  <c r="D28" i="3" a="1"/>
  <c r="D28" i="3" s="1"/>
  <c r="D27" i="3" a="1"/>
  <c r="D27" i="3" s="1"/>
  <c r="D26" i="3" a="1"/>
  <c r="D26" i="3" s="1"/>
  <c r="D25" i="3" a="1"/>
  <c r="D25" i="3" s="1"/>
  <c r="D24" i="3" a="1"/>
  <c r="D24" i="3" s="1"/>
  <c r="D23" i="3" a="1"/>
  <c r="D23" i="3" s="1"/>
  <c r="D22" i="3" a="1"/>
  <c r="D22" i="3" s="1"/>
  <c r="D21" i="3" a="1"/>
  <c r="D21" i="3" s="1"/>
  <c r="D20" i="3" a="1"/>
  <c r="D20" i="3" s="1"/>
  <c r="D19" i="3" a="1"/>
  <c r="D19" i="3" s="1"/>
  <c r="D18" i="3" a="1"/>
  <c r="D18" i="3" s="1"/>
  <c r="D17" i="3" a="1"/>
  <c r="D17" i="3" s="1"/>
  <c r="D16" i="3" a="1"/>
  <c r="D16" i="3" s="1"/>
  <c r="D15" i="3" a="1"/>
  <c r="D15" i="3" s="1"/>
  <c r="D14" i="3" a="1"/>
  <c r="D14" i="3" s="1"/>
  <c r="D13" i="3" a="1"/>
  <c r="D13" i="3" s="1"/>
  <c r="D12" i="3" a="1"/>
  <c r="D12" i="3" s="1"/>
  <c r="D11" i="3" a="1"/>
  <c r="D11" i="3" s="1"/>
  <c r="C6" i="3" a="1"/>
  <c r="C6" i="3" s="1"/>
  <c r="C7" i="4" a="1"/>
  <c r="C7" i="4" s="1"/>
  <c r="B7" i="4"/>
  <c r="C6" i="1" a="1"/>
  <c r="C6" i="1" s="1"/>
  <c r="B6" i="1"/>
  <c r="B6" i="3"/>
  <c r="G31" i="2" l="1"/>
  <c r="H31" i="2"/>
  <c r="A1" i="4"/>
  <c r="A1" i="1"/>
  <c r="T10" i="4"/>
  <c r="N10" i="4"/>
  <c r="H10"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14" i="4"/>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11" i="3"/>
  <c r="A12" i="3" s="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 i="1"/>
  <c r="A12" i="1" s="1"/>
  <c r="A13" i="1" s="1"/>
  <c r="A14" i="1" s="1"/>
  <c r="F31" i="2" l="1"/>
  <c r="E31" i="2"/>
  <c r="D31" i="2"/>
  <c r="C31" i="2"/>
  <c r="B31" i="2"/>
  <c r="N62" i="4"/>
  <c r="N63" i="4" s="1"/>
  <c r="N64" i="4" s="1"/>
  <c r="N121" i="4" s="1" a="1"/>
  <c r="N121" i="4" s="1"/>
  <c r="N19" i="13" s="1" a="1"/>
  <c r="N19" i="13" s="1"/>
  <c r="N20" i="13" s="1" a="1"/>
  <c r="N20" i="13" s="1"/>
  <c r="N21" i="13" s="1" a="1"/>
  <c r="N21" i="13" s="1"/>
  <c r="N22" i="13" s="1" a="1"/>
  <c r="N22" i="13" s="1"/>
  <c r="N23" i="13" s="1" a="1"/>
  <c r="N23" i="13" s="1"/>
  <c r="N24" i="13" s="1" a="1"/>
  <c r="N24" i="13" s="1"/>
  <c r="N25" i="13" s="1" a="1"/>
  <c r="N25" i="13" s="1"/>
  <c r="N26" i="13" s="1" a="1"/>
  <c r="N26" i="13" s="1"/>
  <c r="N27" i="13" s="1" a="1"/>
  <c r="N27" i="13" s="1"/>
  <c r="N28" i="13" s="1" a="1"/>
  <c r="N28" i="13" s="1"/>
  <c r="N29" i="13" s="1" a="1"/>
  <c r="N29" i="13" s="1"/>
  <c r="N30" i="13" s="1" a="1"/>
  <c r="N30" i="13" s="1"/>
  <c r="N31" i="13" s="1" a="1"/>
  <c r="N31" i="13" s="1"/>
  <c r="N32" i="13" s="1" a="1"/>
  <c r="N32" i="13" s="1"/>
  <c r="N33" i="13" s="1" a="1"/>
  <c r="N33" i="13" s="1"/>
  <c r="N34" i="13" s="1" a="1"/>
  <c r="N34" i="13" s="1"/>
  <c r="N35" i="13" s="1" a="1"/>
  <c r="N35" i="13" s="1"/>
  <c r="N36" i="13" s="1" a="1"/>
  <c r="N36" i="13" s="1"/>
  <c r="N37" i="13" s="1" a="1"/>
  <c r="N37" i="13" s="1"/>
  <c r="N38" i="13" s="1" a="1"/>
  <c r="N38" i="13" s="1"/>
  <c r="N39" i="13" s="1" a="1"/>
  <c r="N39" i="13" s="1"/>
  <c r="N40" i="13" s="1" a="1"/>
  <c r="N40" i="13" s="1"/>
  <c r="N41" i="13" s="1" a="1"/>
  <c r="N41" i="13" s="1"/>
  <c r="N42" i="13" s="1" a="1"/>
  <c r="N42" i="13" s="1"/>
  <c r="N43" i="13" s="1" a="1"/>
  <c r="N43" i="13" s="1"/>
  <c r="N44" i="13" s="1" a="1"/>
  <c r="N44" i="13" s="1"/>
  <c r="N45" i="13" s="1" a="1"/>
  <c r="N45" i="13" s="1"/>
  <c r="N46" i="13" s="1" a="1"/>
  <c r="N46" i="13" s="1"/>
  <c r="N47" i="13" s="1" a="1"/>
  <c r="N47" i="13" s="1"/>
  <c r="N48" i="13" s="1" a="1"/>
  <c r="N48" i="13" s="1"/>
  <c r="N49" i="13" s="1" a="1"/>
  <c r="N49" i="13" s="1"/>
  <c r="N50" i="13" s="1" a="1"/>
  <c r="N50" i="13" s="1"/>
  <c r="N51" i="13" s="1" a="1"/>
  <c r="N51" i="13" s="1"/>
  <c r="N52" i="13" s="1" a="1"/>
  <c r="N52" i="13" s="1"/>
  <c r="N53" i="13" s="1" a="1"/>
  <c r="N53" i="13" s="1"/>
  <c r="N54" i="13" s="1" a="1"/>
  <c r="N54" i="13" s="1"/>
  <c r="N55" i="13" s="1" a="1"/>
  <c r="N55" i="13" s="1"/>
  <c r="N56" i="13" s="1" a="1"/>
  <c r="N56" i="13" s="1"/>
  <c r="N57" i="13" s="1" a="1"/>
  <c r="N57" i="13" s="1"/>
  <c r="N58" i="13" s="1" a="1"/>
  <c r="N58" i="13" s="1"/>
  <c r="N59" i="13" s="1" a="1"/>
  <c r="N59" i="13" s="1"/>
  <c r="N60" i="13" s="1" a="1"/>
  <c r="N60" i="13" s="1"/>
  <c r="N61" i="13" s="1" a="1"/>
  <c r="N61" i="13" s="1"/>
  <c r="N62" i="13" s="1" a="1"/>
  <c r="N62" i="13" s="1"/>
  <c r="N63" i="13" s="1" a="1"/>
  <c r="N63" i="13" s="1"/>
  <c r="N64" i="13" s="1" a="1"/>
  <c r="N64" i="13" s="1"/>
  <c r="N65" i="13" s="1" a="1"/>
  <c r="N65" i="13" s="1"/>
  <c r="N66" i="13" s="1" a="1"/>
  <c r="N66" i="13" s="1"/>
  <c r="N67" i="13" s="1" a="1"/>
  <c r="N67" i="13" s="1"/>
  <c r="N68" i="13" s="1" a="1"/>
  <c r="N68" i="13" s="1"/>
  <c r="N69" i="13" s="1" a="1"/>
  <c r="N69" i="13" s="1"/>
  <c r="N70" i="13" s="1" a="1"/>
  <c r="N70" i="13" s="1"/>
  <c r="N71" i="13" s="1" a="1"/>
  <c r="N71" i="13" s="1"/>
  <c r="N72" i="13" s="1" a="1"/>
  <c r="N72" i="13" s="1"/>
  <c r="N15" i="13" s="1" a="1"/>
  <c r="N15" i="13" s="1"/>
  <c r="N19" i="16" s="1" a="1"/>
  <c r="N19" i="16" s="1"/>
  <c r="N15" i="16" s="1" a="1"/>
  <c r="N15" i="16" s="1"/>
  <c r="N19" i="17" s="1" a="1"/>
  <c r="N19" i="17" s="1"/>
  <c r="N15" i="17" s="1" a="1"/>
  <c r="N15" i="17" s="1"/>
  <c r="N19" i="18" s="1" a="1"/>
  <c r="N19" i="18" s="1"/>
  <c r="N15" i="18" s="1" a="1"/>
  <c r="N15" i="18" s="1"/>
  <c r="N19" i="19" s="1" a="1"/>
  <c r="N19" i="19" s="1"/>
  <c r="N15" i="19" s="1" a="1"/>
  <c r="N15" i="19" s="1"/>
  <c r="P14" i="4"/>
  <c r="P15" i="4" s="1"/>
  <c r="P16" i="4" s="1"/>
  <c r="P17" i="4" s="1"/>
  <c r="P18" i="4" s="1"/>
  <c r="P19" i="4" s="1"/>
  <c r="P20" i="4" s="1"/>
  <c r="P21" i="4" s="1"/>
  <c r="P22" i="4" s="1"/>
  <c r="P23" i="4" s="1"/>
  <c r="P24" i="4" s="1"/>
  <c r="P25" i="4" s="1"/>
  <c r="P26" i="4" s="1"/>
  <c r="P27" i="4" s="1"/>
  <c r="P28" i="4" s="1"/>
  <c r="P29" i="4" s="1"/>
  <c r="P30" i="4" s="1"/>
  <c r="P31" i="4" s="1"/>
  <c r="P32" i="4" s="1"/>
  <c r="P33" i="4" s="1"/>
  <c r="P34" i="4" s="1"/>
  <c r="P35" i="4" s="1"/>
  <c r="P36" i="4" s="1"/>
  <c r="P37" i="4" s="1"/>
  <c r="P38" i="4" s="1"/>
  <c r="P39" i="4" s="1"/>
  <c r="P40" i="4" s="1"/>
  <c r="P41" i="4" s="1"/>
  <c r="P42" i="4" s="1"/>
  <c r="P43" i="4" s="1"/>
  <c r="P44" i="4" s="1"/>
  <c r="P45" i="4" s="1"/>
  <c r="P46" i="4" s="1"/>
  <c r="P47" i="4" s="1"/>
  <c r="P48" i="4" s="1"/>
  <c r="P49" i="4" s="1"/>
  <c r="P50" i="4" s="1"/>
  <c r="P51" i="4" s="1"/>
  <c r="P52" i="4" s="1"/>
  <c r="P53" i="4" s="1"/>
  <c r="P54" i="4" s="1"/>
  <c r="P55" i="4" s="1"/>
  <c r="N56" i="4"/>
  <c r="N57" i="4" s="1"/>
  <c r="N58" i="4" s="1"/>
  <c r="N59" i="4" s="1"/>
  <c r="N60" i="4" s="1"/>
  <c r="N61" i="4" s="1"/>
  <c r="N14" i="4"/>
  <c r="N15" i="4" s="1"/>
  <c r="N16" i="4" s="1"/>
  <c r="N17" i="4" s="1"/>
  <c r="N18" i="4" s="1"/>
  <c r="N19" i="4" s="1"/>
  <c r="N20" i="4" s="1"/>
  <c r="N21" i="4" s="1"/>
  <c r="N22" i="4" s="1"/>
  <c r="N23" i="4" s="1"/>
  <c r="N24" i="4" s="1"/>
  <c r="N25" i="4" s="1"/>
  <c r="N26" i="4" s="1"/>
  <c r="N27" i="4" s="1"/>
  <c r="N28" i="4" s="1"/>
  <c r="N29" i="4" s="1"/>
  <c r="N30" i="4" s="1"/>
  <c r="N31" i="4" s="1"/>
  <c r="N32" i="4" s="1"/>
  <c r="N33" i="4" s="1"/>
  <c r="N34" i="4" s="1"/>
  <c r="N35" i="4" s="1"/>
  <c r="N36" i="4" s="1"/>
  <c r="N37" i="4" s="1"/>
  <c r="N38" i="4" s="1"/>
  <c r="N39" i="4" s="1"/>
  <c r="N40" i="4" s="1"/>
  <c r="N41" i="4" s="1"/>
  <c r="N42" i="4" s="1"/>
  <c r="N43" i="4" s="1"/>
  <c r="N44" i="4" s="1"/>
  <c r="N45" i="4" s="1"/>
  <c r="N46" i="4" s="1"/>
  <c r="N47" i="4" s="1"/>
  <c r="N48" i="4" s="1"/>
  <c r="N49" i="4" s="1"/>
  <c r="N50" i="4" s="1"/>
  <c r="N51" i="4" s="1"/>
  <c r="N52" i="4" s="1"/>
  <c r="N53" i="4" s="1"/>
  <c r="N54" i="4" s="1"/>
  <c r="N55" i="4" s="1"/>
  <c r="R56" i="4"/>
  <c r="R57" i="4" s="1"/>
  <c r="R58" i="4" s="1"/>
  <c r="R59" i="4" s="1"/>
  <c r="R60" i="4" s="1"/>
  <c r="R61" i="4" s="1"/>
  <c r="R62" i="4" s="1"/>
  <c r="R63" i="4" s="1"/>
  <c r="R64" i="4" s="1"/>
  <c r="R121" i="4" s="1" a="1"/>
  <c r="R121" i="4" s="1"/>
  <c r="R19" i="13" s="1" a="1"/>
  <c r="R19" i="13" s="1"/>
  <c r="R20" i="13" s="1" a="1"/>
  <c r="R20" i="13" s="1"/>
  <c r="R21" i="13" s="1" a="1"/>
  <c r="R21" i="13" s="1"/>
  <c r="R22" i="13" s="1" a="1"/>
  <c r="R22" i="13" s="1"/>
  <c r="R23" i="13" s="1" a="1"/>
  <c r="R23" i="13" s="1"/>
  <c r="R24" i="13" s="1" a="1"/>
  <c r="R24" i="13" s="1"/>
  <c r="R25" i="13" s="1" a="1"/>
  <c r="R25" i="13" s="1"/>
  <c r="R26" i="13" s="1" a="1"/>
  <c r="R26" i="13" s="1"/>
  <c r="R27" i="13" s="1" a="1"/>
  <c r="R27" i="13" s="1"/>
  <c r="R28" i="13" s="1" a="1"/>
  <c r="R28" i="13" s="1"/>
  <c r="R29" i="13" s="1" a="1"/>
  <c r="R29" i="13" s="1"/>
  <c r="R30" i="13" s="1" a="1"/>
  <c r="R30" i="13" s="1"/>
  <c r="R31" i="13" s="1" a="1"/>
  <c r="R31" i="13" s="1"/>
  <c r="R32" i="13" s="1" a="1"/>
  <c r="R32" i="13" s="1"/>
  <c r="R33" i="13" s="1" a="1"/>
  <c r="R33" i="13" s="1"/>
  <c r="R34" i="13" s="1" a="1"/>
  <c r="R34" i="13" s="1"/>
  <c r="R35" i="13" s="1" a="1"/>
  <c r="R35" i="13" s="1"/>
  <c r="R36" i="13" s="1" a="1"/>
  <c r="R36" i="13" s="1"/>
  <c r="R37" i="13" s="1" a="1"/>
  <c r="R37" i="13" s="1"/>
  <c r="R38" i="13" s="1" a="1"/>
  <c r="R38" i="13" s="1"/>
  <c r="R39" i="13" s="1" a="1"/>
  <c r="R39" i="13" s="1"/>
  <c r="R40" i="13" s="1" a="1"/>
  <c r="R40" i="13" s="1"/>
  <c r="R41" i="13" s="1" a="1"/>
  <c r="R41" i="13" s="1"/>
  <c r="R42" i="13" s="1" a="1"/>
  <c r="R42" i="13" s="1"/>
  <c r="R43" i="13" s="1" a="1"/>
  <c r="R43" i="13" s="1"/>
  <c r="R44" i="13" s="1" a="1"/>
  <c r="R44" i="13" s="1"/>
  <c r="R45" i="13" s="1" a="1"/>
  <c r="R45" i="13" s="1"/>
  <c r="R46" i="13" s="1" a="1"/>
  <c r="R46" i="13" s="1"/>
  <c r="R47" i="13" s="1" a="1"/>
  <c r="R47" i="13" s="1"/>
  <c r="R48" i="13" s="1" a="1"/>
  <c r="R48" i="13" s="1"/>
  <c r="R49" i="13" s="1" a="1"/>
  <c r="R49" i="13" s="1"/>
  <c r="R50" i="13" s="1" a="1"/>
  <c r="R50" i="13" s="1"/>
  <c r="R51" i="13" s="1" a="1"/>
  <c r="R51" i="13" s="1"/>
  <c r="R52" i="13" s="1" a="1"/>
  <c r="R52" i="13" s="1"/>
  <c r="R53" i="13" s="1" a="1"/>
  <c r="R53" i="13" s="1"/>
  <c r="R54" i="13" s="1" a="1"/>
  <c r="R54" i="13" s="1"/>
  <c r="R55" i="13" s="1" a="1"/>
  <c r="R55" i="13" s="1"/>
  <c r="R56" i="13" s="1" a="1"/>
  <c r="R56" i="13" s="1"/>
  <c r="R57" i="13" s="1" a="1"/>
  <c r="R57" i="13" s="1"/>
  <c r="R58" i="13" s="1" a="1"/>
  <c r="R58" i="13" s="1"/>
  <c r="R59" i="13" s="1" a="1"/>
  <c r="R59" i="13" s="1"/>
  <c r="R60" i="13" s="1" a="1"/>
  <c r="R60" i="13" s="1"/>
  <c r="R61" i="13" s="1" a="1"/>
  <c r="R61" i="13" s="1"/>
  <c r="R62" i="13" s="1" a="1"/>
  <c r="R62" i="13" s="1"/>
  <c r="R63" i="13" s="1" a="1"/>
  <c r="R63" i="13" s="1"/>
  <c r="R64" i="13" s="1" a="1"/>
  <c r="R64" i="13" s="1"/>
  <c r="R65" i="13" s="1" a="1"/>
  <c r="R65" i="13" s="1"/>
  <c r="R66" i="13" s="1" a="1"/>
  <c r="R66" i="13" s="1"/>
  <c r="R67" i="13" s="1" a="1"/>
  <c r="R67" i="13" s="1"/>
  <c r="R68" i="13" s="1" a="1"/>
  <c r="R68" i="13" s="1"/>
  <c r="R69" i="13" s="1" a="1"/>
  <c r="R69" i="13" s="1"/>
  <c r="R70" i="13" s="1" a="1"/>
  <c r="R70" i="13" s="1"/>
  <c r="R71" i="13" s="1" a="1"/>
  <c r="R71" i="13" s="1"/>
  <c r="R72" i="13" s="1" a="1"/>
  <c r="R72" i="13" s="1"/>
  <c r="R14" i="4"/>
  <c r="R15" i="4" s="1"/>
  <c r="R16" i="4" s="1"/>
  <c r="R17" i="4" s="1"/>
  <c r="R18" i="4" s="1"/>
  <c r="R19" i="4" s="1"/>
  <c r="R20" i="4" s="1"/>
  <c r="R21" i="4" s="1"/>
  <c r="R22" i="4" s="1"/>
  <c r="R23" i="4" s="1"/>
  <c r="R24" i="4" s="1"/>
  <c r="R25" i="4" s="1"/>
  <c r="R26" i="4" s="1"/>
  <c r="R27" i="4" s="1"/>
  <c r="R28" i="4" s="1"/>
  <c r="R29" i="4" s="1"/>
  <c r="R30" i="4" s="1"/>
  <c r="R31" i="4" s="1"/>
  <c r="R32" i="4" s="1"/>
  <c r="R33" i="4" s="1"/>
  <c r="R34" i="4" s="1"/>
  <c r="R35" i="4" s="1"/>
  <c r="R36" i="4" s="1"/>
  <c r="R37" i="4" s="1"/>
  <c r="R38" i="4" s="1"/>
  <c r="R39" i="4" s="1"/>
  <c r="R40" i="4" s="1"/>
  <c r="R41" i="4" s="1"/>
  <c r="R42" i="4" s="1"/>
  <c r="R43" i="4" s="1"/>
  <c r="R44" i="4" s="1"/>
  <c r="R45" i="4" s="1"/>
  <c r="R46" i="4" s="1"/>
  <c r="R47" i="4" s="1"/>
  <c r="R48" i="4" s="1"/>
  <c r="R49" i="4" s="1"/>
  <c r="R50" i="4" s="1"/>
  <c r="R51" i="4" s="1"/>
  <c r="R52" i="4" s="1"/>
  <c r="R53" i="4" s="1"/>
  <c r="R54" i="4" s="1"/>
  <c r="R55" i="4" s="1"/>
  <c r="P56" i="4"/>
  <c r="P57" i="4" s="1"/>
  <c r="P58" i="4" s="1"/>
  <c r="P59" i="4" s="1"/>
  <c r="P60" i="4" s="1"/>
  <c r="P61" i="4" s="1"/>
  <c r="P62" i="4" s="1"/>
  <c r="P63" i="4" s="1"/>
  <c r="P64" i="4" s="1"/>
  <c r="P121" i="4" s="1" a="1"/>
  <c r="P121" i="4" s="1"/>
  <c r="P19" i="13" s="1" a="1"/>
  <c r="P19" i="13" s="1"/>
  <c r="P20" i="13" s="1" a="1"/>
  <c r="P20" i="13" s="1"/>
  <c r="P21" i="13" s="1" a="1"/>
  <c r="P21" i="13" s="1"/>
  <c r="P22" i="13" s="1" a="1"/>
  <c r="P22" i="13" s="1"/>
  <c r="P23" i="13" s="1" a="1"/>
  <c r="P23" i="13" s="1"/>
  <c r="P24" i="13" s="1" a="1"/>
  <c r="P24" i="13" s="1"/>
  <c r="P25" i="13" s="1" a="1"/>
  <c r="P25" i="13" s="1"/>
  <c r="P26" i="13" s="1" a="1"/>
  <c r="P26" i="13" s="1"/>
  <c r="P27" i="13" s="1" a="1"/>
  <c r="P27" i="13" s="1"/>
  <c r="P28" i="13" s="1" a="1"/>
  <c r="P28" i="13" s="1"/>
  <c r="P29" i="13" s="1" a="1"/>
  <c r="P29" i="13" s="1"/>
  <c r="P30" i="13" s="1" a="1"/>
  <c r="P30" i="13" s="1"/>
  <c r="P31" i="13" s="1" a="1"/>
  <c r="P31" i="13" s="1"/>
  <c r="P32" i="13" s="1" a="1"/>
  <c r="P32" i="13" s="1"/>
  <c r="P33" i="13" s="1" a="1"/>
  <c r="P33" i="13" s="1"/>
  <c r="P34" i="13" s="1" a="1"/>
  <c r="P34" i="13" s="1"/>
  <c r="P35" i="13" s="1" a="1"/>
  <c r="P35" i="13" s="1"/>
  <c r="P36" i="13" s="1" a="1"/>
  <c r="P36" i="13" s="1"/>
  <c r="P37" i="13" s="1" a="1"/>
  <c r="P37" i="13" s="1"/>
  <c r="P38" i="13" s="1" a="1"/>
  <c r="P38" i="13" s="1"/>
  <c r="P39" i="13" s="1" a="1"/>
  <c r="P39" i="13" s="1"/>
  <c r="P40" i="13" s="1" a="1"/>
  <c r="P40" i="13" s="1"/>
  <c r="P41" i="13" s="1" a="1"/>
  <c r="P41" i="13" s="1"/>
  <c r="P42" i="13" s="1" a="1"/>
  <c r="P42" i="13" s="1"/>
  <c r="P43" i="13" s="1" a="1"/>
  <c r="P43" i="13" s="1"/>
  <c r="P44" i="13" s="1" a="1"/>
  <c r="P44" i="13" s="1"/>
  <c r="P45" i="13" s="1" a="1"/>
  <c r="P45" i="13" s="1"/>
  <c r="P46" i="13" s="1" a="1"/>
  <c r="P46" i="13" s="1"/>
  <c r="P47" i="13" s="1" a="1"/>
  <c r="P47" i="13" s="1"/>
  <c r="P48" i="13" s="1" a="1"/>
  <c r="P48" i="13" s="1"/>
  <c r="P49" i="13" s="1" a="1"/>
  <c r="P49" i="13" s="1"/>
  <c r="P50" i="13" s="1" a="1"/>
  <c r="P50" i="13" s="1"/>
  <c r="P51" i="13" s="1" a="1"/>
  <c r="P51" i="13" s="1"/>
  <c r="P52" i="13" s="1" a="1"/>
  <c r="P52" i="13" s="1"/>
  <c r="P53" i="13" s="1" a="1"/>
  <c r="P53" i="13" s="1"/>
  <c r="P54" i="13" s="1" a="1"/>
  <c r="P54" i="13" s="1"/>
  <c r="P55" i="13" s="1" a="1"/>
  <c r="P55" i="13" s="1"/>
  <c r="P56" i="13" s="1" a="1"/>
  <c r="P56" i="13" s="1"/>
  <c r="P57" i="13" s="1" a="1"/>
  <c r="P57" i="13" s="1"/>
  <c r="P58" i="13" s="1" a="1"/>
  <c r="P58" i="13" s="1"/>
  <c r="P59" i="13" s="1" a="1"/>
  <c r="P59" i="13" s="1"/>
  <c r="P60" i="13" s="1" a="1"/>
  <c r="P60" i="13" s="1"/>
  <c r="P61" i="13" s="1" a="1"/>
  <c r="P61" i="13" s="1"/>
  <c r="P62" i="13" s="1" a="1"/>
  <c r="P62" i="13" s="1"/>
  <c r="P63" i="13" s="1" a="1"/>
  <c r="P63" i="13" s="1"/>
  <c r="P64" i="13" s="1" a="1"/>
  <c r="P64" i="13" s="1"/>
  <c r="P65" i="13" s="1" a="1"/>
  <c r="P65" i="13" s="1"/>
  <c r="P66" i="13" s="1" a="1"/>
  <c r="P66" i="13" s="1"/>
  <c r="P67" i="13" s="1" a="1"/>
  <c r="P67" i="13" s="1"/>
  <c r="P68" i="13" s="1" a="1"/>
  <c r="P68" i="13" s="1"/>
  <c r="P69" i="13" s="1" a="1"/>
  <c r="P69" i="13" s="1"/>
  <c r="P70" i="13" s="1" a="1"/>
  <c r="P70" i="13" s="1"/>
  <c r="P71" i="13" s="1" a="1"/>
  <c r="P71" i="13" s="1"/>
  <c r="P72" i="13" s="1" a="1"/>
  <c r="P72" i="13" s="1"/>
  <c r="P15" i="13" s="1" a="1"/>
  <c r="P15" i="13" s="1"/>
  <c r="P19" i="16" s="1" a="1"/>
  <c r="P19" i="16" s="1"/>
  <c r="V20" i="4"/>
  <c r="V21" i="4" s="1"/>
  <c r="V22" i="4" s="1"/>
  <c r="T44" i="4"/>
  <c r="T60" i="4"/>
  <c r="T29" i="4"/>
  <c r="T45" i="4"/>
  <c r="T61" i="4"/>
  <c r="T59" i="4"/>
  <c r="V14" i="4"/>
  <c r="V15" i="4" s="1"/>
  <c r="V16" i="4" s="1"/>
  <c r="V17" i="4" s="1"/>
  <c r="V18" i="4" s="1"/>
  <c r="V19" i="4" s="1"/>
  <c r="T30" i="4"/>
  <c r="T46" i="4"/>
  <c r="T62" i="4"/>
  <c r="T15" i="4"/>
  <c r="T31" i="4"/>
  <c r="T47" i="4"/>
  <c r="T63" i="4"/>
  <c r="T16" i="4"/>
  <c r="T32" i="4"/>
  <c r="T33" i="4" s="1"/>
  <c r="T48" i="4"/>
  <c r="T64" i="4"/>
  <c r="T121" i="4" s="1" a="1"/>
  <c r="T121" i="4" s="1"/>
  <c r="T19" i="13" s="1" a="1"/>
  <c r="T19" i="13" s="1"/>
  <c r="T20" i="13" s="1" a="1"/>
  <c r="T20" i="13" s="1"/>
  <c r="T21" i="13" s="1" a="1"/>
  <c r="T21" i="13" s="1"/>
  <c r="T22" i="13" s="1" a="1"/>
  <c r="T22" i="13" s="1"/>
  <c r="T23" i="13" s="1" a="1"/>
  <c r="T23" i="13" s="1"/>
  <c r="T24" i="13" s="1" a="1"/>
  <c r="T24" i="13" s="1"/>
  <c r="T25" i="13" s="1" a="1"/>
  <c r="T25" i="13" s="1"/>
  <c r="T26" i="13" s="1" a="1"/>
  <c r="T26" i="13" s="1"/>
  <c r="T27" i="13" s="1" a="1"/>
  <c r="T27" i="13" s="1"/>
  <c r="T28" i="13" s="1" a="1"/>
  <c r="T28" i="13" s="1"/>
  <c r="T29" i="13" s="1" a="1"/>
  <c r="T29" i="13" s="1"/>
  <c r="T30" i="13" s="1" a="1"/>
  <c r="T30" i="13" s="1"/>
  <c r="T31" i="13" s="1" a="1"/>
  <c r="T31" i="13" s="1"/>
  <c r="T32" i="13" s="1" a="1"/>
  <c r="T32" i="13" s="1"/>
  <c r="T33" i="13" s="1" a="1"/>
  <c r="T33" i="13" s="1"/>
  <c r="T34" i="13" s="1" a="1"/>
  <c r="T34" i="13" s="1"/>
  <c r="T35" i="13" s="1" a="1"/>
  <c r="T35" i="13" s="1"/>
  <c r="T36" i="13" s="1" a="1"/>
  <c r="T36" i="13" s="1"/>
  <c r="T37" i="13" s="1" a="1"/>
  <c r="T37" i="13" s="1"/>
  <c r="T38" i="13" s="1" a="1"/>
  <c r="T38" i="13" s="1"/>
  <c r="T39" i="13" s="1" a="1"/>
  <c r="T39" i="13" s="1"/>
  <c r="T40" i="13" s="1" a="1"/>
  <c r="T40" i="13" s="1"/>
  <c r="T41" i="13" s="1" a="1"/>
  <c r="T41" i="13" s="1"/>
  <c r="T42" i="13" s="1" a="1"/>
  <c r="T42" i="13" s="1"/>
  <c r="T43" i="13" s="1" a="1"/>
  <c r="T43" i="13" s="1"/>
  <c r="T44" i="13" s="1" a="1"/>
  <c r="T44" i="13" s="1"/>
  <c r="T45" i="13" s="1" a="1"/>
  <c r="T45" i="13" s="1"/>
  <c r="T46" i="13" s="1" a="1"/>
  <c r="T46" i="13" s="1"/>
  <c r="T47" i="13" s="1" a="1"/>
  <c r="T47" i="13" s="1"/>
  <c r="T48" i="13" s="1" a="1"/>
  <c r="T48" i="13" s="1"/>
  <c r="T49" i="13" s="1" a="1"/>
  <c r="T49" i="13" s="1"/>
  <c r="T50" i="13" s="1" a="1"/>
  <c r="T50" i="13" s="1"/>
  <c r="T51" i="13" s="1" a="1"/>
  <c r="T51" i="13" s="1"/>
  <c r="T52" i="13" s="1" a="1"/>
  <c r="T52" i="13" s="1"/>
  <c r="T53" i="13" s="1" a="1"/>
  <c r="T53" i="13" s="1"/>
  <c r="T54" i="13" s="1" a="1"/>
  <c r="T54" i="13" s="1"/>
  <c r="T55" i="13" s="1" a="1"/>
  <c r="T55" i="13" s="1"/>
  <c r="T56" i="13" s="1" a="1"/>
  <c r="T56" i="13" s="1"/>
  <c r="T57" i="13" s="1" a="1"/>
  <c r="T57" i="13" s="1"/>
  <c r="T58" i="13" s="1" a="1"/>
  <c r="T58" i="13" s="1"/>
  <c r="T59" i="13" s="1" a="1"/>
  <c r="T59" i="13" s="1"/>
  <c r="T60" i="13" s="1" a="1"/>
  <c r="T60" i="13" s="1"/>
  <c r="T61" i="13" s="1" a="1"/>
  <c r="T61" i="13" s="1"/>
  <c r="T62" i="13" s="1" a="1"/>
  <c r="T62" i="13" s="1"/>
  <c r="T63" i="13" s="1" a="1"/>
  <c r="T63" i="13" s="1"/>
  <c r="T64" i="13" s="1" a="1"/>
  <c r="T64" i="13" s="1"/>
  <c r="T65" i="13" s="1" a="1"/>
  <c r="T65" i="13" s="1"/>
  <c r="T66" i="13" s="1" a="1"/>
  <c r="T66" i="13" s="1"/>
  <c r="T67" i="13" s="1" a="1"/>
  <c r="T67" i="13" s="1"/>
  <c r="T68" i="13" s="1" a="1"/>
  <c r="T68" i="13" s="1"/>
  <c r="T69" i="13" s="1" a="1"/>
  <c r="T69" i="13" s="1"/>
  <c r="T70" i="13" s="1" a="1"/>
  <c r="T70" i="13" s="1"/>
  <c r="T71" i="13" s="1" a="1"/>
  <c r="T71" i="13" s="1"/>
  <c r="T72" i="13" s="1" a="1"/>
  <c r="T72" i="13" s="1"/>
  <c r="T15" i="13" s="1" a="1"/>
  <c r="T15" i="13" s="1"/>
  <c r="T19" i="16" s="1" a="1"/>
  <c r="T19" i="16" s="1"/>
  <c r="T17" i="4"/>
  <c r="T49" i="4"/>
  <c r="T27" i="4"/>
  <c r="T28" i="4" s="1"/>
  <c r="T18" i="4"/>
  <c r="T34" i="4"/>
  <c r="T50" i="4"/>
  <c r="T14" i="4"/>
  <c r="T19" i="4"/>
  <c r="T20" i="4" s="1"/>
  <c r="T35" i="4"/>
  <c r="T51" i="4"/>
  <c r="V23" i="4"/>
  <c r="V24" i="4" s="1"/>
  <c r="V25" i="4" s="1"/>
  <c r="V26" i="4" s="1"/>
  <c r="V27" i="4" s="1"/>
  <c r="X23" i="4"/>
  <c r="X24" i="4" s="1"/>
  <c r="X25" i="4" s="1"/>
  <c r="X26" i="4" s="1"/>
  <c r="X27" i="4" s="1"/>
  <c r="X28" i="4" s="1"/>
  <c r="X29" i="4" s="1"/>
  <c r="X30" i="4" s="1"/>
  <c r="X31" i="4" s="1"/>
  <c r="X32" i="4" s="1"/>
  <c r="X33" i="4" s="1"/>
  <c r="X34" i="4" s="1"/>
  <c r="X35" i="4" s="1"/>
  <c r="X36" i="4" s="1"/>
  <c r="X37" i="4" s="1"/>
  <c r="X38" i="4" s="1"/>
  <c r="X39" i="4" s="1"/>
  <c r="X40" i="4" s="1"/>
  <c r="X41" i="4" s="1"/>
  <c r="X42" i="4" s="1"/>
  <c r="X43" i="4" s="1"/>
  <c r="X44" i="4" s="1"/>
  <c r="X45" i="4" s="1"/>
  <c r="X46" i="4" s="1"/>
  <c r="X47" i="4" s="1"/>
  <c r="X48" i="4" s="1"/>
  <c r="X49" i="4" s="1"/>
  <c r="X50" i="4" s="1"/>
  <c r="X51" i="4" s="1"/>
  <c r="X52" i="4" s="1"/>
  <c r="X53" i="4" s="1"/>
  <c r="X54" i="4" s="1"/>
  <c r="X55" i="4" s="1"/>
  <c r="X56" i="4" s="1"/>
  <c r="X57" i="4" s="1"/>
  <c r="X58" i="4" s="1"/>
  <c r="X59" i="4" s="1"/>
  <c r="X60" i="4" s="1"/>
  <c r="X61" i="4" s="1"/>
  <c r="X62" i="4" s="1"/>
  <c r="X63" i="4" s="1"/>
  <c r="X64" i="4" s="1"/>
  <c r="X121" i="4" s="1" a="1"/>
  <c r="X121" i="4" s="1"/>
  <c r="X19" i="13" s="1" a="1"/>
  <c r="X19" i="13" s="1"/>
  <c r="X20" i="13" s="1" a="1"/>
  <c r="X20" i="13" s="1"/>
  <c r="X21" i="13" s="1" a="1"/>
  <c r="X21" i="13" s="1"/>
  <c r="X22" i="13" s="1" a="1"/>
  <c r="X22" i="13" s="1"/>
  <c r="X23" i="13" s="1" a="1"/>
  <c r="X23" i="13" s="1"/>
  <c r="X24" i="13" s="1" a="1"/>
  <c r="X24" i="13" s="1"/>
  <c r="X25" i="13" s="1" a="1"/>
  <c r="X25" i="13" s="1"/>
  <c r="X26" i="13" s="1" a="1"/>
  <c r="X26" i="13" s="1"/>
  <c r="X27" i="13" s="1" a="1"/>
  <c r="X27" i="13" s="1"/>
  <c r="X28" i="13" s="1" a="1"/>
  <c r="X28" i="13" s="1"/>
  <c r="X29" i="13" s="1" a="1"/>
  <c r="X29" i="13" s="1"/>
  <c r="X30" i="13" s="1" a="1"/>
  <c r="X30" i="13" s="1"/>
  <c r="X31" i="13" s="1" a="1"/>
  <c r="X31" i="13" s="1"/>
  <c r="X32" i="13" s="1" a="1"/>
  <c r="X32" i="13" s="1"/>
  <c r="X33" i="13" s="1" a="1"/>
  <c r="X33" i="13" s="1"/>
  <c r="X34" i="13" s="1" a="1"/>
  <c r="X34" i="13" s="1"/>
  <c r="X35" i="13" s="1" a="1"/>
  <c r="X35" i="13" s="1"/>
  <c r="X36" i="13" s="1" a="1"/>
  <c r="X36" i="13" s="1"/>
  <c r="X37" i="13" s="1" a="1"/>
  <c r="X37" i="13" s="1"/>
  <c r="X38" i="13" s="1" a="1"/>
  <c r="X38" i="13" s="1"/>
  <c r="X39" i="13" s="1" a="1"/>
  <c r="X39" i="13" s="1"/>
  <c r="X40" i="13" s="1" a="1"/>
  <c r="X40" i="13" s="1"/>
  <c r="X41" i="13" s="1" a="1"/>
  <c r="X41" i="13" s="1"/>
  <c r="X42" i="13" s="1" a="1"/>
  <c r="X42" i="13" s="1"/>
  <c r="X43" i="13" s="1" a="1"/>
  <c r="X43" i="13" s="1"/>
  <c r="X44" i="13" s="1" a="1"/>
  <c r="X44" i="13" s="1"/>
  <c r="X45" i="13" s="1" a="1"/>
  <c r="X45" i="13" s="1"/>
  <c r="X46" i="13" s="1" a="1"/>
  <c r="X46" i="13" s="1"/>
  <c r="X47" i="13" s="1" a="1"/>
  <c r="X47" i="13" s="1"/>
  <c r="X48" i="13" s="1" a="1"/>
  <c r="X48" i="13" s="1"/>
  <c r="X49" i="13" s="1" a="1"/>
  <c r="X49" i="13" s="1"/>
  <c r="X50" i="13" s="1" a="1"/>
  <c r="X50" i="13" s="1"/>
  <c r="X51" i="13" s="1" a="1"/>
  <c r="X51" i="13" s="1"/>
  <c r="X52" i="13" s="1" a="1"/>
  <c r="X52" i="13" s="1"/>
  <c r="X53" i="13" s="1" a="1"/>
  <c r="X53" i="13" s="1"/>
  <c r="X54" i="13" s="1" a="1"/>
  <c r="X54" i="13" s="1"/>
  <c r="X55" i="13" s="1" a="1"/>
  <c r="X55" i="13" s="1"/>
  <c r="X56" i="13" s="1" a="1"/>
  <c r="X56" i="13" s="1"/>
  <c r="X57" i="13" s="1" a="1"/>
  <c r="X57" i="13" s="1"/>
  <c r="X58" i="13" s="1" a="1"/>
  <c r="X58" i="13" s="1"/>
  <c r="X59" i="13" s="1" a="1"/>
  <c r="X59" i="13" s="1"/>
  <c r="X60" i="13" s="1" a="1"/>
  <c r="X60" i="13" s="1"/>
  <c r="X61" i="13" s="1" a="1"/>
  <c r="X61" i="13" s="1"/>
  <c r="X62" i="13" s="1" a="1"/>
  <c r="X62" i="13" s="1"/>
  <c r="X63" i="13" s="1" a="1"/>
  <c r="X63" i="13" s="1"/>
  <c r="X64" i="13" s="1" a="1"/>
  <c r="X64" i="13" s="1"/>
  <c r="X65" i="13" s="1" a="1"/>
  <c r="X65" i="13" s="1"/>
  <c r="X66" i="13" s="1" a="1"/>
  <c r="X66" i="13" s="1"/>
  <c r="X67" i="13" s="1" a="1"/>
  <c r="X67" i="13" s="1"/>
  <c r="X68" i="13" s="1" a="1"/>
  <c r="X68" i="13" s="1"/>
  <c r="X69" i="13" s="1" a="1"/>
  <c r="X69" i="13" s="1"/>
  <c r="X70" i="13" s="1" a="1"/>
  <c r="X70" i="13" s="1"/>
  <c r="X71" i="13" s="1" a="1"/>
  <c r="X71" i="13" s="1"/>
  <c r="X72" i="13" s="1" a="1"/>
  <c r="X72" i="13" s="1"/>
  <c r="X15" i="13" s="1" a="1"/>
  <c r="X15" i="13" s="1"/>
  <c r="X19" i="16" s="1" a="1"/>
  <c r="X19" i="16" s="1"/>
  <c r="T36" i="4"/>
  <c r="T37" i="4" s="1"/>
  <c r="T52" i="4"/>
  <c r="T53" i="4" s="1"/>
  <c r="T21" i="4"/>
  <c r="X14" i="4"/>
  <c r="X15" i="4" s="1"/>
  <c r="X16" i="4" s="1"/>
  <c r="X17" i="4" s="1"/>
  <c r="X18" i="4" s="1"/>
  <c r="X19" i="4" s="1"/>
  <c r="X20" i="4" s="1"/>
  <c r="X21" i="4" s="1"/>
  <c r="X22" i="4" s="1"/>
  <c r="T22" i="4"/>
  <c r="T23" i="4" s="1"/>
  <c r="T38" i="4"/>
  <c r="T54" i="4"/>
  <c r="T39" i="4"/>
  <c r="T55" i="4"/>
  <c r="T24" i="4"/>
  <c r="T40" i="4"/>
  <c r="T56" i="4"/>
  <c r="V33" i="4"/>
  <c r="V34" i="4" s="1"/>
  <c r="V35" i="4" s="1"/>
  <c r="V36" i="4" s="1"/>
  <c r="V37" i="4" s="1"/>
  <c r="V38" i="4" s="1"/>
  <c r="V39" i="4" s="1"/>
  <c r="V40" i="4" s="1"/>
  <c r="V41" i="4" s="1"/>
  <c r="V42" i="4" s="1"/>
  <c r="V43" i="4" s="1"/>
  <c r="V44" i="4" s="1"/>
  <c r="V45" i="4" s="1"/>
  <c r="V46" i="4" s="1"/>
  <c r="V47" i="4" s="1"/>
  <c r="V48" i="4" s="1"/>
  <c r="V49" i="4" s="1"/>
  <c r="V50" i="4" s="1"/>
  <c r="V51" i="4" s="1"/>
  <c r="V52" i="4" s="1"/>
  <c r="V53" i="4" s="1"/>
  <c r="V54" i="4" s="1"/>
  <c r="V55" i="4" s="1"/>
  <c r="V56" i="4" s="1"/>
  <c r="V57" i="4" s="1"/>
  <c r="V58" i="4" s="1"/>
  <c r="V59" i="4" s="1"/>
  <c r="V60" i="4" s="1"/>
  <c r="V61" i="4" s="1"/>
  <c r="V62" i="4" s="1"/>
  <c r="V63" i="4" s="1"/>
  <c r="V64" i="4" s="1"/>
  <c r="V121" i="4" s="1" a="1"/>
  <c r="V121" i="4" s="1"/>
  <c r="V19" i="13" s="1" a="1"/>
  <c r="V19" i="13" s="1"/>
  <c r="V20" i="13" s="1" a="1"/>
  <c r="V20" i="13" s="1"/>
  <c r="V21" i="13" s="1" a="1"/>
  <c r="V21" i="13" s="1"/>
  <c r="V22" i="13" s="1" a="1"/>
  <c r="V22" i="13" s="1"/>
  <c r="V23" i="13" s="1" a="1"/>
  <c r="V23" i="13" s="1"/>
  <c r="V24" i="13" s="1" a="1"/>
  <c r="V24" i="13" s="1"/>
  <c r="V25" i="13" s="1" a="1"/>
  <c r="V25" i="13" s="1"/>
  <c r="V26" i="13" s="1" a="1"/>
  <c r="V26" i="13" s="1"/>
  <c r="V27" i="13" s="1" a="1"/>
  <c r="V27" i="13" s="1"/>
  <c r="V28" i="13" s="1" a="1"/>
  <c r="V28" i="13" s="1"/>
  <c r="V29" i="13" s="1" a="1"/>
  <c r="V29" i="13" s="1"/>
  <c r="V30" i="13" s="1" a="1"/>
  <c r="V30" i="13" s="1"/>
  <c r="V31" i="13" s="1" a="1"/>
  <c r="V31" i="13" s="1"/>
  <c r="V32" i="13" s="1" a="1"/>
  <c r="V32" i="13" s="1"/>
  <c r="V33" i="13" s="1" a="1"/>
  <c r="V33" i="13" s="1"/>
  <c r="V34" i="13" s="1" a="1"/>
  <c r="V34" i="13" s="1"/>
  <c r="V35" i="13" s="1" a="1"/>
  <c r="V35" i="13" s="1"/>
  <c r="V36" i="13" s="1" a="1"/>
  <c r="V36" i="13" s="1"/>
  <c r="V37" i="13" s="1" a="1"/>
  <c r="V37" i="13" s="1"/>
  <c r="V38" i="13" s="1" a="1"/>
  <c r="V38" i="13" s="1"/>
  <c r="V39" i="13" s="1" a="1"/>
  <c r="V39" i="13" s="1"/>
  <c r="V40" i="13" s="1" a="1"/>
  <c r="V40" i="13" s="1"/>
  <c r="V41" i="13" s="1" a="1"/>
  <c r="V41" i="13" s="1"/>
  <c r="V42" i="13" s="1" a="1"/>
  <c r="V42" i="13" s="1"/>
  <c r="V43" i="13" s="1" a="1"/>
  <c r="V43" i="13" s="1"/>
  <c r="V44" i="13" s="1" a="1"/>
  <c r="V44" i="13" s="1"/>
  <c r="V45" i="13" s="1" a="1"/>
  <c r="V45" i="13" s="1"/>
  <c r="V46" i="13" s="1" a="1"/>
  <c r="V46" i="13" s="1"/>
  <c r="V47" i="13" s="1" a="1"/>
  <c r="V47" i="13" s="1"/>
  <c r="V48" i="13" s="1" a="1"/>
  <c r="V48" i="13" s="1"/>
  <c r="V49" i="13" s="1" a="1"/>
  <c r="V49" i="13" s="1"/>
  <c r="V50" i="13" s="1" a="1"/>
  <c r="V50" i="13" s="1"/>
  <c r="V51" i="13" s="1" a="1"/>
  <c r="V51" i="13" s="1"/>
  <c r="V52" i="13" s="1" a="1"/>
  <c r="V52" i="13" s="1"/>
  <c r="V53" i="13" s="1" a="1"/>
  <c r="V53" i="13" s="1"/>
  <c r="V54" i="13" s="1" a="1"/>
  <c r="V54" i="13" s="1"/>
  <c r="V55" i="13" s="1" a="1"/>
  <c r="V55" i="13" s="1"/>
  <c r="V56" i="13" s="1" a="1"/>
  <c r="V56" i="13" s="1"/>
  <c r="V57" i="13" s="1" a="1"/>
  <c r="V57" i="13" s="1"/>
  <c r="V58" i="13" s="1" a="1"/>
  <c r="V58" i="13" s="1"/>
  <c r="V59" i="13" s="1" a="1"/>
  <c r="V59" i="13" s="1"/>
  <c r="V60" i="13" s="1" a="1"/>
  <c r="V60" i="13" s="1"/>
  <c r="V61" i="13" s="1" a="1"/>
  <c r="V61" i="13" s="1"/>
  <c r="V62" i="13" s="1" a="1"/>
  <c r="V62" i="13" s="1"/>
  <c r="V63" i="13" s="1" a="1"/>
  <c r="V63" i="13" s="1"/>
  <c r="V64" i="13" s="1" a="1"/>
  <c r="V64" i="13" s="1"/>
  <c r="V65" i="13" s="1" a="1"/>
  <c r="V65" i="13" s="1"/>
  <c r="V66" i="13" s="1" a="1"/>
  <c r="V66" i="13" s="1"/>
  <c r="V67" i="13" s="1" a="1"/>
  <c r="V67" i="13" s="1"/>
  <c r="V68" i="13" s="1" a="1"/>
  <c r="V68" i="13" s="1"/>
  <c r="V69" i="13" s="1" a="1"/>
  <c r="V69" i="13" s="1"/>
  <c r="V70" i="13" s="1" a="1"/>
  <c r="V70" i="13" s="1"/>
  <c r="V71" i="13" s="1" a="1"/>
  <c r="V71" i="13" s="1"/>
  <c r="V72" i="13" s="1" a="1"/>
  <c r="V72" i="13" s="1"/>
  <c r="V15" i="13" s="1" a="1"/>
  <c r="V15" i="13" s="1"/>
  <c r="V19" i="16" s="1" a="1"/>
  <c r="V19" i="16" s="1"/>
  <c r="T25" i="4"/>
  <c r="T41" i="4"/>
  <c r="T42" i="4" s="1"/>
  <c r="T43" i="4" s="1"/>
  <c r="T57" i="4"/>
  <c r="V28" i="4"/>
  <c r="V29" i="4" s="1"/>
  <c r="V30" i="4" s="1"/>
  <c r="V31" i="4" s="1"/>
  <c r="V32" i="4" s="1"/>
  <c r="T26" i="4"/>
  <c r="T58" i="4"/>
  <c r="J14" i="4"/>
  <c r="J15" i="4" s="1"/>
  <c r="J16" i="4" s="1"/>
  <c r="J17" i="4" s="1"/>
  <c r="J18" i="4" s="1"/>
  <c r="J19" i="4" s="1"/>
  <c r="J20" i="4" s="1"/>
  <c r="J21" i="4" s="1"/>
  <c r="J22" i="4" s="1"/>
  <c r="J23" i="4" s="1"/>
  <c r="J24" i="4" s="1"/>
  <c r="J25" i="4" s="1"/>
  <c r="J26" i="4" s="1"/>
  <c r="J27" i="4" s="1"/>
  <c r="J28" i="4" s="1"/>
  <c r="J29" i="4" s="1"/>
  <c r="J30" i="4" s="1"/>
  <c r="J31" i="4" s="1"/>
  <c r="J32" i="4" s="1"/>
  <c r="J33" i="4" s="1"/>
  <c r="J34" i="4" s="1"/>
  <c r="J35" i="4" s="1"/>
  <c r="J36" i="4" s="1"/>
  <c r="J37" i="4" s="1"/>
  <c r="J38" i="4" s="1"/>
  <c r="J39" i="4" s="1"/>
  <c r="J40" i="4" s="1"/>
  <c r="J41" i="4" s="1"/>
  <c r="J42" i="4" s="1"/>
  <c r="J43" i="4" s="1"/>
  <c r="J44" i="4" s="1"/>
  <c r="J45" i="4" s="1"/>
  <c r="J46" i="4" s="1"/>
  <c r="J47" i="4" s="1"/>
  <c r="J48" i="4" s="1"/>
  <c r="J49" i="4" s="1"/>
  <c r="J50" i="4" s="1"/>
  <c r="J51" i="4" s="1"/>
  <c r="J52" i="4" s="1"/>
  <c r="J53" i="4" s="1"/>
  <c r="J54" i="4" s="1"/>
  <c r="H55" i="4"/>
  <c r="H56" i="4" s="1"/>
  <c r="H57" i="4" s="1"/>
  <c r="H58" i="4" s="1"/>
  <c r="H59" i="4" s="1"/>
  <c r="H60" i="4" s="1"/>
  <c r="H61" i="4" s="1"/>
  <c r="H62" i="4" s="1"/>
  <c r="H63" i="4" s="1"/>
  <c r="H64" i="4" s="1"/>
  <c r="L55" i="4"/>
  <c r="L56" i="4" s="1"/>
  <c r="L57" i="4" s="1"/>
  <c r="L58" i="4" s="1"/>
  <c r="L59" i="4" s="1"/>
  <c r="L60" i="4" s="1"/>
  <c r="L61" i="4" s="1"/>
  <c r="L62" i="4" s="1"/>
  <c r="L63" i="4" s="1"/>
  <c r="L64" i="4" s="1"/>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H14" i="4"/>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43" i="4" s="1"/>
  <c r="H44" i="4" s="1"/>
  <c r="H45" i="4" s="1"/>
  <c r="H46" i="4" s="1"/>
  <c r="H47" i="4" s="1"/>
  <c r="H48" i="4" s="1"/>
  <c r="H49" i="4" s="1"/>
  <c r="H50" i="4" s="1"/>
  <c r="H51" i="4" s="1"/>
  <c r="H52" i="4" s="1"/>
  <c r="H53" i="4" s="1"/>
  <c r="H54" i="4" s="1"/>
  <c r="J55" i="4"/>
  <c r="J56" i="4" s="1"/>
  <c r="J57" i="4" s="1"/>
  <c r="J58" i="4" s="1"/>
  <c r="J59" i="4" s="1"/>
  <c r="J60" i="4" s="1"/>
  <c r="J61" i="4" s="1"/>
  <c r="J62" i="4" s="1"/>
  <c r="J63" i="4" s="1"/>
  <c r="J64" i="4" s="1"/>
  <c r="J121" i="4" s="1" a="1"/>
  <c r="J121" i="4" s="1"/>
  <c r="J19" i="13" s="1" a="1"/>
  <c r="J19" i="13" s="1"/>
  <c r="J20" i="13" s="1" a="1"/>
  <c r="J20" i="13" s="1"/>
  <c r="J21" i="13" s="1" a="1"/>
  <c r="J21" i="13" s="1"/>
  <c r="J22" i="13" s="1" a="1"/>
  <c r="J22" i="13" s="1"/>
  <c r="J23" i="13" s="1" a="1"/>
  <c r="J23" i="13" s="1"/>
  <c r="J24" i="13" s="1" a="1"/>
  <c r="J24" i="13" s="1"/>
  <c r="J25" i="13" s="1" a="1"/>
  <c r="J25" i="13" s="1"/>
  <c r="J26" i="13" s="1" a="1"/>
  <c r="J26" i="13" s="1"/>
  <c r="J27" i="13" s="1" a="1"/>
  <c r="J27" i="13" s="1"/>
  <c r="J28" i="13" s="1" a="1"/>
  <c r="J28" i="13" s="1"/>
  <c r="J29" i="13" s="1" a="1"/>
  <c r="J29" i="13" s="1"/>
  <c r="J30" i="13" s="1" a="1"/>
  <c r="J30" i="13" s="1"/>
  <c r="J31" i="13" s="1" a="1"/>
  <c r="J31" i="13" s="1"/>
  <c r="J32" i="13" s="1" a="1"/>
  <c r="J32" i="13" s="1"/>
  <c r="J33" i="13" s="1" a="1"/>
  <c r="J33" i="13" s="1"/>
  <c r="J34" i="13" s="1" a="1"/>
  <c r="J34" i="13" s="1"/>
  <c r="J35" i="13" s="1" a="1"/>
  <c r="J35" i="13" s="1"/>
  <c r="J36" i="13" s="1" a="1"/>
  <c r="J36" i="13" s="1"/>
  <c r="J37" i="13" s="1" a="1"/>
  <c r="J37" i="13" s="1"/>
  <c r="J38" i="13" s="1" a="1"/>
  <c r="J38" i="13" s="1"/>
  <c r="J39" i="13" s="1" a="1"/>
  <c r="J39" i="13" s="1"/>
  <c r="J40" i="13" s="1" a="1"/>
  <c r="J40" i="13" s="1"/>
  <c r="J41" i="13" s="1" a="1"/>
  <c r="J41" i="13" s="1"/>
  <c r="J42" i="13" s="1" a="1"/>
  <c r="J42" i="13" s="1"/>
  <c r="J43" i="13" s="1" a="1"/>
  <c r="J43" i="13" s="1"/>
  <c r="J44" i="13" s="1" a="1"/>
  <c r="J44" i="13" s="1"/>
  <c r="J45" i="13" s="1" a="1"/>
  <c r="J45" i="13" s="1"/>
  <c r="J46" i="13" s="1" a="1"/>
  <c r="J46" i="13" s="1"/>
  <c r="J47" i="13" s="1" a="1"/>
  <c r="J47" i="13" s="1"/>
  <c r="J48" i="13" s="1" a="1"/>
  <c r="J48" i="13" s="1"/>
  <c r="J49" i="13" s="1" a="1"/>
  <c r="J49" i="13" s="1"/>
  <c r="J50" i="13" s="1" a="1"/>
  <c r="J50" i="13" s="1"/>
  <c r="J51" i="13" s="1" a="1"/>
  <c r="J51" i="13" s="1"/>
  <c r="J52" i="13" s="1" a="1"/>
  <c r="J52" i="13" s="1"/>
  <c r="J53" i="13" s="1" a="1"/>
  <c r="J53" i="13" s="1"/>
  <c r="J54" i="13" s="1" a="1"/>
  <c r="J54" i="13" s="1"/>
  <c r="J55" i="13" s="1" a="1"/>
  <c r="J55" i="13" s="1"/>
  <c r="J56" i="13" s="1" a="1"/>
  <c r="J56" i="13" s="1"/>
  <c r="J57" i="13" s="1" a="1"/>
  <c r="J57" i="13" s="1"/>
  <c r="J58" i="13" s="1" a="1"/>
  <c r="J58" i="13" s="1"/>
  <c r="J59" i="13" s="1" a="1"/>
  <c r="J59" i="13" s="1"/>
  <c r="J60" i="13" s="1" a="1"/>
  <c r="J60" i="13" s="1"/>
  <c r="J61" i="13" s="1" a="1"/>
  <c r="J61" i="13" s="1"/>
  <c r="J62" i="13" s="1" a="1"/>
  <c r="J62" i="13" s="1"/>
  <c r="J63" i="13" s="1" a="1"/>
  <c r="J63" i="13" s="1"/>
  <c r="J64" i="13" s="1" a="1"/>
  <c r="J64" i="13" s="1"/>
  <c r="J65" i="13" s="1" a="1"/>
  <c r="J65" i="13" s="1"/>
  <c r="J66" i="13" s="1" a="1"/>
  <c r="J66" i="13" s="1"/>
  <c r="J67" i="13" s="1" a="1"/>
  <c r="J67" i="13" s="1"/>
  <c r="J68" i="13" s="1" a="1"/>
  <c r="J68" i="13" s="1"/>
  <c r="J69" i="13" s="1" a="1"/>
  <c r="J69" i="13" s="1"/>
  <c r="J70" i="13" s="1" a="1"/>
  <c r="J70" i="13" s="1"/>
  <c r="J71" i="13" s="1" a="1"/>
  <c r="J71" i="13" s="1"/>
  <c r="J72" i="13" s="1" a="1"/>
  <c r="J72" i="13" s="1"/>
  <c r="J15" i="13" s="1" a="1"/>
  <c r="J15" i="13" s="1"/>
  <c r="J19" i="16" s="1" a="1"/>
  <c r="J19" i="16" s="1"/>
  <c r="A15" i="4"/>
  <c r="A13" i="3"/>
  <c r="A15" i="1"/>
  <c r="R15" i="13" l="1" a="1"/>
  <c r="R15" i="13" s="1"/>
  <c r="R19" i="16" s="1" a="1"/>
  <c r="R19" i="16" s="1"/>
  <c r="R15" i="16" s="1" a="1"/>
  <c r="R15" i="16" s="1"/>
  <c r="R19" i="17" s="1" a="1"/>
  <c r="R19" i="17" s="1"/>
  <c r="R15" i="17" s="1" a="1"/>
  <c r="R15" i="17" s="1"/>
  <c r="R19" i="18" s="1" a="1"/>
  <c r="R19" i="18" s="1"/>
  <c r="R15" i="18" s="1" a="1"/>
  <c r="R15" i="18" s="1"/>
  <c r="R19" i="19" s="1" a="1"/>
  <c r="R19" i="19" s="1"/>
  <c r="R15" i="19" s="1" a="1"/>
  <c r="R15" i="19" s="1"/>
  <c r="L121" i="4" a="1"/>
  <c r="L121" i="4" s="1"/>
  <c r="L19" i="13" s="1" a="1"/>
  <c r="L19" i="13" s="1"/>
  <c r="L20" i="13" s="1" a="1"/>
  <c r="L20" i="13" s="1"/>
  <c r="L21" i="13" s="1" a="1"/>
  <c r="L21" i="13" s="1"/>
  <c r="L22" i="13" s="1" a="1"/>
  <c r="L22" i="13" s="1"/>
  <c r="L23" i="13" s="1" a="1"/>
  <c r="L23" i="13" s="1"/>
  <c r="L24" i="13" s="1" a="1"/>
  <c r="L24" i="13" s="1"/>
  <c r="L25" i="13" s="1" a="1"/>
  <c r="L25" i="13" s="1"/>
  <c r="L26" i="13" s="1" a="1"/>
  <c r="L26" i="13" s="1"/>
  <c r="L27" i="13" s="1" a="1"/>
  <c r="L27" i="13" s="1"/>
  <c r="L28" i="13" s="1" a="1"/>
  <c r="L28" i="13" s="1"/>
  <c r="L29" i="13" s="1" a="1"/>
  <c r="L29" i="13" s="1"/>
  <c r="L30" i="13" s="1" a="1"/>
  <c r="L30" i="13" s="1"/>
  <c r="L31" i="13" s="1" a="1"/>
  <c r="L31" i="13" s="1"/>
  <c r="L32" i="13" s="1" a="1"/>
  <c r="L32" i="13" s="1"/>
  <c r="L33" i="13" s="1" a="1"/>
  <c r="L33" i="13" s="1"/>
  <c r="L34" i="13" s="1" a="1"/>
  <c r="L34" i="13" s="1"/>
  <c r="L35" i="13" s="1" a="1"/>
  <c r="L35" i="13" s="1"/>
  <c r="L36" i="13" s="1" a="1"/>
  <c r="L36" i="13" s="1"/>
  <c r="L37" i="13" s="1" a="1"/>
  <c r="L37" i="13" s="1"/>
  <c r="L38" i="13" s="1" a="1"/>
  <c r="L38" i="13" s="1"/>
  <c r="L39" i="13" s="1" a="1"/>
  <c r="L39" i="13" s="1"/>
  <c r="L40" i="13" s="1" a="1"/>
  <c r="L40" i="13" s="1"/>
  <c r="L41" i="13" s="1" a="1"/>
  <c r="L41" i="13" s="1"/>
  <c r="L42" i="13" s="1" a="1"/>
  <c r="L42" i="13" s="1"/>
  <c r="L43" i="13" s="1" a="1"/>
  <c r="L43" i="13" s="1"/>
  <c r="L44" i="13" s="1" a="1"/>
  <c r="L44" i="13" s="1"/>
  <c r="L45" i="13" s="1" a="1"/>
  <c r="L45" i="13" s="1"/>
  <c r="L46" i="13" s="1" a="1"/>
  <c r="L46" i="13" s="1"/>
  <c r="L47" i="13" s="1" a="1"/>
  <c r="L47" i="13" s="1"/>
  <c r="L48" i="13" s="1" a="1"/>
  <c r="L48" i="13" s="1"/>
  <c r="L49" i="13" s="1" a="1"/>
  <c r="L49" i="13" s="1"/>
  <c r="L50" i="13" s="1" a="1"/>
  <c r="L50" i="13" s="1"/>
  <c r="L51" i="13" s="1" a="1"/>
  <c r="L51" i="13" s="1"/>
  <c r="L52" i="13" s="1" a="1"/>
  <c r="L52" i="13" s="1"/>
  <c r="L53" i="13" s="1" a="1"/>
  <c r="L53" i="13" s="1"/>
  <c r="L54" i="13" s="1" a="1"/>
  <c r="L54" i="13" s="1"/>
  <c r="L55" i="13" s="1" a="1"/>
  <c r="L55" i="13" s="1"/>
  <c r="L56" i="13" s="1" a="1"/>
  <c r="L56" i="13" s="1"/>
  <c r="L57" i="13" s="1" a="1"/>
  <c r="L57" i="13" s="1"/>
  <c r="L58" i="13" s="1" a="1"/>
  <c r="L58" i="13" s="1"/>
  <c r="L59" i="13" s="1" a="1"/>
  <c r="L59" i="13" s="1"/>
  <c r="L60" i="13" s="1" a="1"/>
  <c r="L60" i="13" s="1"/>
  <c r="L61" i="13" s="1" a="1"/>
  <c r="L61" i="13" s="1"/>
  <c r="L62" i="13" s="1" a="1"/>
  <c r="L62" i="13" s="1"/>
  <c r="L63" i="13" s="1" a="1"/>
  <c r="L63" i="13" s="1"/>
  <c r="L64" i="13" s="1" a="1"/>
  <c r="L64" i="13" s="1"/>
  <c r="L65" i="13" s="1" a="1"/>
  <c r="L65" i="13" s="1"/>
  <c r="L66" i="13" s="1" a="1"/>
  <c r="L66" i="13" s="1"/>
  <c r="L67" i="13" s="1" a="1"/>
  <c r="L67" i="13" s="1"/>
  <c r="L68" i="13" s="1" a="1"/>
  <c r="L68" i="13" s="1"/>
  <c r="L69" i="13" s="1" a="1"/>
  <c r="L69" i="13" s="1"/>
  <c r="L70" i="13" s="1" a="1"/>
  <c r="L70" i="13" s="1"/>
  <c r="L71" i="13" s="1" a="1"/>
  <c r="L71" i="13" s="1"/>
  <c r="L72" i="13" s="1" a="1"/>
  <c r="L72" i="13" s="1"/>
  <c r="L15" i="13" s="1" a="1"/>
  <c r="L15" i="13" s="1"/>
  <c r="L19" i="16" s="1" a="1"/>
  <c r="L19" i="16" s="1"/>
  <c r="H121" i="4" a="1"/>
  <c r="H121" i="4" s="1"/>
  <c r="H19" i="13" s="1" a="1"/>
  <c r="H19" i="13" s="1"/>
  <c r="H20" i="13" s="1" a="1"/>
  <c r="H20" i="13" s="1"/>
  <c r="H21" i="13" s="1" a="1"/>
  <c r="H21" i="13" s="1"/>
  <c r="H22" i="13" s="1" a="1"/>
  <c r="H22" i="13" s="1"/>
  <c r="H23" i="13" s="1" a="1"/>
  <c r="H23" i="13" s="1"/>
  <c r="H24" i="13" s="1" a="1"/>
  <c r="H24" i="13" s="1"/>
  <c r="H25" i="13" s="1" a="1"/>
  <c r="H25" i="13" s="1"/>
  <c r="H26" i="13" s="1" a="1"/>
  <c r="H26" i="13" s="1"/>
  <c r="H27" i="13" s="1" a="1"/>
  <c r="H27" i="13" s="1"/>
  <c r="H28" i="13" s="1" a="1"/>
  <c r="H28" i="13" s="1"/>
  <c r="H29" i="13" s="1" a="1"/>
  <c r="H29" i="13" s="1"/>
  <c r="H30" i="13" s="1" a="1"/>
  <c r="H30" i="13" s="1"/>
  <c r="H31" i="13" s="1" a="1"/>
  <c r="H31" i="13" s="1"/>
  <c r="H32" i="13" s="1" a="1"/>
  <c r="H32" i="13" s="1"/>
  <c r="H33" i="13" s="1" a="1"/>
  <c r="H33" i="13" s="1"/>
  <c r="H34" i="13" s="1" a="1"/>
  <c r="H34" i="13" s="1"/>
  <c r="H35" i="13" s="1" a="1"/>
  <c r="H35" i="13" s="1"/>
  <c r="H36" i="13" s="1" a="1"/>
  <c r="H36" i="13" s="1"/>
  <c r="H37" i="13" s="1" a="1"/>
  <c r="H37" i="13" s="1"/>
  <c r="H38" i="13" s="1" a="1"/>
  <c r="H38" i="13" s="1"/>
  <c r="H39" i="13" s="1" a="1"/>
  <c r="H39" i="13" s="1"/>
  <c r="H40" i="13" s="1" a="1"/>
  <c r="H40" i="13" s="1"/>
  <c r="H41" i="13" s="1" a="1"/>
  <c r="H41" i="13" s="1"/>
  <c r="H42" i="13" s="1" a="1"/>
  <c r="H42" i="13" s="1"/>
  <c r="H43" i="13" s="1" a="1"/>
  <c r="H43" i="13" s="1"/>
  <c r="H44" i="13" s="1" a="1"/>
  <c r="H44" i="13" s="1"/>
  <c r="H45" i="13" s="1" a="1"/>
  <c r="H45" i="13" s="1"/>
  <c r="H46" i="13" s="1" a="1"/>
  <c r="H46" i="13" s="1"/>
  <c r="H47" i="13" s="1" a="1"/>
  <c r="H47" i="13" s="1"/>
  <c r="H48" i="13" s="1" a="1"/>
  <c r="H48" i="13" s="1"/>
  <c r="H49" i="13" s="1" a="1"/>
  <c r="H49" i="13" s="1"/>
  <c r="H50" i="13" s="1" a="1"/>
  <c r="H50" i="13" s="1"/>
  <c r="H51" i="13" s="1" a="1"/>
  <c r="H51" i="13" s="1"/>
  <c r="H52" i="13" s="1" a="1"/>
  <c r="H52" i="13" s="1"/>
  <c r="H53" i="13" s="1" a="1"/>
  <c r="H53" i="13" s="1"/>
  <c r="H54" i="13" s="1" a="1"/>
  <c r="H54" i="13" s="1"/>
  <c r="H55" i="13" s="1" a="1"/>
  <c r="H55" i="13" s="1"/>
  <c r="H56" i="13" s="1" a="1"/>
  <c r="H56" i="13" s="1"/>
  <c r="H57" i="13" s="1" a="1"/>
  <c r="H57" i="13" s="1"/>
  <c r="H58" i="13" s="1" a="1"/>
  <c r="H58" i="13" s="1"/>
  <c r="H59" i="13" s="1" a="1"/>
  <c r="H59" i="13" s="1"/>
  <c r="H60" i="13" s="1" a="1"/>
  <c r="H60" i="13" s="1"/>
  <c r="H61" i="13" s="1" a="1"/>
  <c r="H61" i="13" s="1"/>
  <c r="H62" i="13" s="1" a="1"/>
  <c r="H62" i="13" s="1"/>
  <c r="H63" i="13" s="1" a="1"/>
  <c r="H63" i="13" s="1"/>
  <c r="H64" i="13" s="1" a="1"/>
  <c r="H64" i="13" s="1"/>
  <c r="H65" i="13" s="1" a="1"/>
  <c r="H65" i="13" s="1"/>
  <c r="H66" i="13" s="1" a="1"/>
  <c r="H66" i="13" s="1"/>
  <c r="H67" i="13" s="1" a="1"/>
  <c r="H67" i="13" s="1"/>
  <c r="H68" i="13" s="1" a="1"/>
  <c r="H68" i="13" s="1"/>
  <c r="H69" i="13" s="1" a="1"/>
  <c r="H69" i="13" s="1"/>
  <c r="H70" i="13" s="1" a="1"/>
  <c r="H70" i="13" s="1"/>
  <c r="H71" i="13" s="1" a="1"/>
  <c r="H71" i="13" s="1"/>
  <c r="H72" i="13" s="1" a="1"/>
  <c r="H72" i="13" s="1"/>
  <c r="A16" i="4"/>
  <c r="A14" i="3"/>
  <c r="A16" i="1"/>
  <c r="H15" i="13" l="1" a="1"/>
  <c r="H15" i="13" s="1"/>
  <c r="H19" i="16" s="1" a="1"/>
  <c r="H19" i="16" s="1"/>
  <c r="A17" i="4"/>
  <c r="A17" i="1"/>
  <c r="A15" i="3"/>
  <c r="A18" i="4" l="1"/>
  <c r="A18" i="1"/>
  <c r="A16" i="3"/>
  <c r="A19" i="4" l="1"/>
  <c r="A19" i="1"/>
  <c r="A17" i="3"/>
  <c r="A20" i="4" l="1"/>
  <c r="A20" i="1"/>
  <c r="A18" i="3"/>
  <c r="A21" i="4" l="1"/>
  <c r="A21" i="1"/>
  <c r="A19" i="3"/>
  <c r="A22" i="4" l="1"/>
  <c r="A22" i="1"/>
  <c r="A20" i="3"/>
  <c r="A23" i="4" l="1"/>
  <c r="A23" i="1"/>
  <c r="A21" i="3"/>
  <c r="A24" i="4" l="1"/>
  <c r="A24" i="1"/>
  <c r="A22" i="3"/>
  <c r="A25" i="4" l="1"/>
  <c r="A25" i="1"/>
  <c r="A23" i="3"/>
  <c r="A26" i="4" l="1"/>
  <c r="A26" i="1"/>
  <c r="A24" i="3"/>
  <c r="A27" i="4" l="1"/>
  <c r="A27" i="1"/>
  <c r="A25" i="3"/>
  <c r="A28" i="4" l="1"/>
  <c r="A28" i="1"/>
  <c r="A26" i="3"/>
  <c r="A29" i="4" l="1"/>
  <c r="A29" i="1"/>
  <c r="A27" i="3"/>
  <c r="A30" i="4" l="1"/>
  <c r="A30" i="1"/>
  <c r="A28" i="3"/>
  <c r="A31" i="4" l="1"/>
  <c r="A31" i="1"/>
  <c r="A29" i="3"/>
  <c r="A32" i="4" l="1"/>
  <c r="A32" i="1"/>
  <c r="A30" i="3"/>
  <c r="A33" i="4" l="1"/>
  <c r="A33" i="1"/>
  <c r="A31" i="3"/>
  <c r="A34" i="4" l="1"/>
  <c r="A34" i="1"/>
  <c r="A32" i="3"/>
  <c r="A35" i="4" l="1"/>
  <c r="A35" i="1"/>
  <c r="A33" i="3"/>
  <c r="A36" i="4" l="1"/>
  <c r="A36" i="1"/>
  <c r="A34" i="3"/>
  <c r="A37" i="4" l="1"/>
  <c r="A37" i="1"/>
  <c r="A35" i="3"/>
  <c r="A38" i="4" l="1"/>
  <c r="A38" i="1"/>
  <c r="A36" i="3"/>
  <c r="A39" i="4" l="1"/>
  <c r="A39" i="1"/>
  <c r="A37" i="3"/>
  <c r="A40" i="4" l="1"/>
  <c r="A40" i="1"/>
  <c r="A38" i="3"/>
  <c r="A41" i="4" l="1"/>
  <c r="A41" i="1"/>
  <c r="A39" i="3"/>
  <c r="A42" i="4" l="1"/>
  <c r="A42" i="1"/>
  <c r="A40" i="3"/>
  <c r="A43" i="4" l="1"/>
  <c r="A43" i="1"/>
  <c r="A41" i="3"/>
  <c r="A44" i="4" l="1"/>
  <c r="A44" i="1"/>
  <c r="A42" i="3"/>
  <c r="A45" i="4" l="1"/>
  <c r="A45" i="1"/>
  <c r="A43" i="3"/>
  <c r="A46" i="4" l="1"/>
  <c r="A46" i="1"/>
  <c r="A44" i="3"/>
  <c r="A47" i="4" l="1"/>
  <c r="A47" i="1"/>
  <c r="A45" i="3"/>
  <c r="A48" i="4" l="1"/>
  <c r="A48" i="1"/>
  <c r="A46" i="3"/>
  <c r="A49" i="4" l="1"/>
  <c r="A49" i="1"/>
  <c r="A47" i="3"/>
  <c r="A50" i="4" l="1"/>
  <c r="A50" i="1"/>
  <c r="A48" i="3"/>
  <c r="A51" i="4" l="1"/>
  <c r="A51" i="1"/>
  <c r="A49" i="3"/>
  <c r="A52" i="4" l="1"/>
  <c r="A52" i="1"/>
  <c r="A50" i="3"/>
  <c r="A53" i="4" l="1"/>
  <c r="A53" i="1"/>
  <c r="A51" i="3"/>
  <c r="A54" i="4" l="1"/>
  <c r="A54" i="1"/>
  <c r="A52" i="3"/>
  <c r="A55" i="4" l="1"/>
  <c r="A55" i="1"/>
  <c r="A53" i="3"/>
  <c r="A56" i="4" l="1"/>
  <c r="A56" i="1"/>
  <c r="A54" i="3"/>
  <c r="A57" i="4" l="1"/>
  <c r="A57" i="1"/>
  <c r="A55" i="3"/>
  <c r="A58" i="4" l="1"/>
  <c r="A56" i="3"/>
  <c r="A59" i="4" l="1"/>
  <c r="A57" i="3"/>
  <c r="A60" i="4" l="1"/>
  <c r="A58" i="3"/>
  <c r="A61" i="4" l="1"/>
  <c r="A59" i="3"/>
  <c r="A62" i="4" l="1"/>
  <c r="A60" i="3"/>
  <c r="A63" i="4" l="1"/>
  <c r="A64" i="4" l="1"/>
  <c r="V15" i="16" l="1" a="1"/>
  <c r="V15" i="16" s="1"/>
  <c r="V19" i="17" s="1" a="1"/>
  <c r="V19" i="17" s="1"/>
  <c r="V15" i="17" s="1" a="1"/>
  <c r="V15" i="17" s="1"/>
  <c r="V19" i="18" s="1" a="1"/>
  <c r="V19" i="18" s="1"/>
  <c r="V15" i="18" s="1" a="1"/>
  <c r="V15" i="18" s="1"/>
  <c r="V19" i="19" s="1" a="1"/>
  <c r="V19" i="19" s="1"/>
  <c r="V15" i="19" s="1" a="1"/>
  <c r="V15" i="19" s="1"/>
  <c r="T15" i="16" a="1"/>
  <c r="T15" i="16" s="1"/>
  <c r="T19" i="17" s="1" a="1"/>
  <c r="T19" i="17" s="1"/>
  <c r="T15" i="17" s="1" a="1"/>
  <c r="T15" i="17" s="1"/>
  <c r="T19" i="18" s="1" a="1"/>
  <c r="T19" i="18" s="1"/>
  <c r="T15" i="18" s="1" a="1"/>
  <c r="T15" i="18" s="1"/>
  <c r="T19" i="19" s="1" a="1"/>
  <c r="T19" i="19" s="1"/>
  <c r="T15" i="19" s="1" a="1"/>
  <c r="T15" i="19" s="1"/>
  <c r="P15" i="16" a="1"/>
  <c r="P15" i="16" s="1"/>
  <c r="P19" i="17" s="1" a="1"/>
  <c r="P19" i="17" s="1"/>
  <c r="P15" i="17" s="1" a="1"/>
  <c r="P15" i="17" s="1"/>
  <c r="P19" i="18" s="1" a="1"/>
  <c r="P19" i="18" s="1"/>
  <c r="P15" i="18" s="1" a="1"/>
  <c r="P15" i="18" s="1"/>
  <c r="P19" i="19" s="1" a="1"/>
  <c r="P19" i="19" s="1"/>
  <c r="P15" i="19" s="1" a="1"/>
  <c r="P15" i="19" s="1"/>
  <c r="J15" i="16" a="1"/>
  <c r="J15" i="16" s="1"/>
  <c r="J19" i="17" s="1" a="1"/>
  <c r="J19" i="17" s="1"/>
  <c r="J15" i="17" s="1" a="1"/>
  <c r="J15" i="17" s="1"/>
  <c r="J19" i="18" s="1" a="1"/>
  <c r="J19" i="18" s="1"/>
  <c r="J15" i="18" s="1" a="1"/>
  <c r="J15" i="18" s="1"/>
  <c r="J19" i="19" s="1" a="1"/>
  <c r="J19" i="19" s="1"/>
  <c r="J15" i="19" s="1" a="1"/>
  <c r="J15" i="19" s="1"/>
  <c r="X15" i="16" a="1"/>
  <c r="X15" i="16" s="1"/>
  <c r="X19" i="17" s="1" a="1"/>
  <c r="X19" i="17" s="1"/>
  <c r="X15" i="17" s="1" a="1"/>
  <c r="X15" i="17" s="1"/>
  <c r="X19" i="18" s="1" a="1"/>
  <c r="X19" i="18" s="1"/>
  <c r="X15" i="18" s="1" a="1"/>
  <c r="X15" i="18" s="1"/>
  <c r="X19" i="19" s="1" a="1"/>
  <c r="X19" i="19" s="1"/>
  <c r="X15" i="19" s="1" a="1"/>
  <c r="X15" i="19" s="1"/>
  <c r="L15" i="16" a="1"/>
  <c r="L15" i="16" s="1"/>
  <c r="L19" i="17" s="1" a="1"/>
  <c r="L19" i="17" s="1"/>
  <c r="L15" i="17" s="1" a="1"/>
  <c r="L15" i="17" s="1"/>
  <c r="L19" i="18" s="1" a="1"/>
  <c r="L19" i="18" s="1"/>
  <c r="L15" i="18" s="1" a="1"/>
  <c r="L15" i="18" s="1"/>
  <c r="L19" i="19" s="1" a="1"/>
  <c r="L19" i="19" s="1"/>
  <c r="L15" i="19" s="1" a="1"/>
  <c r="L15" i="19" s="1"/>
  <c r="H15" i="16" a="1"/>
  <c r="H15" i="16" s="1"/>
  <c r="H19" i="17" s="1" a="1"/>
  <c r="H19" i="17" s="1"/>
  <c r="H15" i="17" s="1" a="1"/>
  <c r="H15" i="17" s="1"/>
  <c r="H19" i="18" s="1" a="1"/>
  <c r="H19" i="18" s="1"/>
  <c r="H15" i="18" s="1" a="1"/>
  <c r="H15" i="18" s="1"/>
  <c r="H19" i="19" s="1" a="1"/>
  <c r="H19" i="19" s="1"/>
  <c r="H15" i="19" s="1" a="1"/>
  <c r="H15" i="19" s="1"/>
  <c r="A20" i="16"/>
  <c r="E7" i="16" l="1"/>
  <c r="B7" i="16"/>
  <c r="G7" i="1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<sst xmlns="http://schemas.openxmlformats.org/spreadsheetml/2006/main" count="5569" uniqueCount="516">
  <si>
    <t>Day</t>
  </si>
  <si>
    <t>Date</t>
  </si>
  <si>
    <t>Location</t>
  </si>
  <si>
    <t>Wax</t>
  </si>
  <si>
    <t>List of Resorts</t>
  </si>
  <si>
    <t>Wolf Creek Ski Area</t>
  </si>
  <si>
    <t>Steamboat</t>
  </si>
  <si>
    <t>Purgatory Resort</t>
  </si>
  <si>
    <t>Deer Valley</t>
  </si>
  <si>
    <t>Copper Mountain</t>
  </si>
  <si>
    <t>Solitude Mountain Resort</t>
  </si>
  <si>
    <t>Snowbasin Resort</t>
  </si>
  <si>
    <t>Taos</t>
  </si>
  <si>
    <t>Big Sky</t>
  </si>
  <si>
    <t>Schweitzer Mountain Resort</t>
  </si>
  <si>
    <t>Notes</t>
  </si>
  <si>
    <t>Sun  Valley</t>
  </si>
  <si>
    <t>Alta</t>
  </si>
  <si>
    <t>Resort Count</t>
  </si>
  <si>
    <t>Winter Park</t>
  </si>
  <si>
    <t>Done</t>
  </si>
  <si>
    <t>Days</t>
  </si>
  <si>
    <t>Counts</t>
  </si>
  <si>
    <t>Days Skied</t>
  </si>
  <si>
    <t>Different Resorts Skied</t>
  </si>
  <si>
    <t>Name</t>
  </si>
  <si>
    <t>Edges</t>
  </si>
  <si>
    <t>Full Tune</t>
  </si>
  <si>
    <t>Snowmass</t>
  </si>
  <si>
    <t>Aspen Highlands</t>
  </si>
  <si>
    <t>Aspen Mountain (Ajax)</t>
  </si>
  <si>
    <t>Buttermilk</t>
  </si>
  <si>
    <t>Red Mountain Resort</t>
  </si>
  <si>
    <t>Revelstoke Ski Resort</t>
  </si>
  <si>
    <t>Wax/Debur</t>
  </si>
  <si>
    <t>Sharpen Edges</t>
  </si>
  <si>
    <t>Resort Days</t>
  </si>
  <si>
    <t>I skied 8 more days but these entries were lost</t>
  </si>
  <si>
    <t>Brighton Resort</t>
  </si>
  <si>
    <t>Ski</t>
  </si>
  <si>
    <t>Rossignal Sin 7</t>
  </si>
  <si>
    <t>Stöckli Stormrider 102</t>
  </si>
  <si>
    <t>Stöckli Montero AS</t>
  </si>
  <si>
    <t>Ski Maintenance</t>
  </si>
  <si>
    <t>Vertical Feet</t>
  </si>
  <si>
    <t>Calories</t>
  </si>
  <si>
    <t>Resorts</t>
  </si>
  <si>
    <t>Total</t>
  </si>
  <si>
    <t>Avg/Day</t>
  </si>
  <si>
    <t>Ski Used</t>
  </si>
  <si>
    <t>Arapahoe Basin</t>
  </si>
  <si>
    <t>Lake Louise</t>
  </si>
  <si>
    <t>Banff Sunshine</t>
  </si>
  <si>
    <t>Jackson Hole Mountain Resort</t>
  </si>
  <si>
    <t>Snowbird</t>
  </si>
  <si>
    <t>short day due to GI upset</t>
  </si>
  <si>
    <t>List of Skis</t>
  </si>
  <si>
    <t>Count of Days Skied by Season</t>
  </si>
  <si>
    <t>2022-2023</t>
  </si>
  <si>
    <t>2023-2024</t>
  </si>
  <si>
    <t>2024-2025</t>
  </si>
  <si>
    <t>2025-2026</t>
  </si>
  <si>
    <t>2026-2027</t>
  </si>
  <si>
    <t>2027-2028</t>
  </si>
  <si>
    <t>2028-2029</t>
  </si>
  <si>
    <t>Stöckli Stormrider 102 is New</t>
  </si>
  <si>
    <t>Stöckli Montero AS is New</t>
  </si>
  <si>
    <t>Resort Name</t>
  </si>
  <si>
    <t>Days Skied at Resort</t>
  </si>
  <si>
    <t>B</t>
  </si>
  <si>
    <t>End of This Season</t>
  </si>
  <si>
    <t>Summary</t>
  </si>
  <si>
    <t>Abbrev</t>
  </si>
  <si>
    <t>A</t>
  </si>
  <si>
    <t>C</t>
  </si>
  <si>
    <t>Ski Maintenance Procedures</t>
  </si>
  <si>
    <t>Ski Name</t>
  </si>
  <si>
    <t>Maintenance Procedure Name</t>
  </si>
  <si>
    <t>Maintenance Procedure Abbrev</t>
  </si>
  <si>
    <t>Mount Norquay Ski Resort</t>
  </si>
  <si>
    <t>Bob's Ski Days</t>
  </si>
  <si>
    <t>Value</t>
  </si>
  <si>
    <t>Description</t>
  </si>
  <si>
    <t>The title of this workbook</t>
  </si>
  <si>
    <t>Individual Days This Season</t>
  </si>
  <si>
    <t>Days Used</t>
  </si>
  <si>
    <t>2029-2030</t>
  </si>
  <si>
    <t>Calories estimated</t>
  </si>
  <si>
    <t>fell hard, injured left knee</t>
  </si>
  <si>
    <t>Execute Utilities</t>
  </si>
  <si>
    <t>Miscellaneous Values</t>
  </si>
  <si>
    <t>Index</t>
  </si>
  <si>
    <t>Ski Number</t>
  </si>
  <si>
    <t>Data Validation, All Cells, Report</t>
  </si>
  <si>
    <t>Sheet</t>
  </si>
  <si>
    <t>Cell</t>
  </si>
  <si>
    <t>Val_Type</t>
  </si>
  <si>
    <t>Operator</t>
  </si>
  <si>
    <t>F1</t>
  </si>
  <si>
    <t>F1_Type</t>
  </si>
  <si>
    <t>F2</t>
  </si>
  <si>
    <t>F2_Type</t>
  </si>
  <si>
    <t>$C$11</t>
  </si>
  <si>
    <t>List</t>
  </si>
  <si>
    <t>Undefined</t>
  </si>
  <si>
    <t>ResortNames</t>
  </si>
  <si>
    <t>Defined Name</t>
  </si>
  <si>
    <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</si>
  <si>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</si>
  <si>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</si>
  <si>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</si>
  <si>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</si>
  <si>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</si>
  <si>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</si>
  <si>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</si>
  <si>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</si>
  <si>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</si>
  <si>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</si>
  <si>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</si>
  <si>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</si>
  <si>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</si>
  <si>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</si>
  <si>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</si>
  <si>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</si>
  <si>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</si>
  <si>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</si>
  <si>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</si>
  <si>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</si>
  <si>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</si>
  <si>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</si>
  <si>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</si>
  <si>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</si>
  <si>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</si>
  <si>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</si>
  <si>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</si>
  <si>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</si>
  <si>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</si>
  <si>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</si>
  <si>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</si>
  <si>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</si>
  <si>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</si>
  <si>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</si>
  <si>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</si>
  <si>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</si>
  <si>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</si>
  <si>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</si>
  <si>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</si>
  <si>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</si>
  <si>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</si>
  <si>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</si>
  <si>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</si>
  <si>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</si>
  <si>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</si>
  <si>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</si>
  <si>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</si>
  <si>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</si>
  <si>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</si>
  <si>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</si>
  <si>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</si>
  <si>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</si>
  <si>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</si>
  <si>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</si>
  <si>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</si>
  <si>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</si>
  <si>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</si>
  <si>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</si>
  <si>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</si>
  <si>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</si>
  <si>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</si>
  <si>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</si>
  <si>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</si>
  <si>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</si>
  <si>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</si>
  <si>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</si>
  <si>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</si>
  <si>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</si>
  <si>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</si>
  <si>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</si>
  <si>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</si>
  <si>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</si>
  <si>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</si>
  <si>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</si>
  <si>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</si>
  <si>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</si>
  <si>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</si>
  <si>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</si>
  <si>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</si>
  <si>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</si>
  <si>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</si>
  <si>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</si>
  <si>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</si>
  <si>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</si>
  <si>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</si>
  <si>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</si>
  <si>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</si>
  <si>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</si>
  <si>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</si>
  <si>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</si>
  <si>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</si>
  <si>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</si>
  <si>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</si>
  <si>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</si>
  <si>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</si>
  <si>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</si>
  <si>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</si>
  <si>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$C$109</t>
  </si>
  <si>
    <t>$C$110</t>
  </si>
  <si>
    <t>$G$19</t>
  </si>
  <si>
    <t>SkiNames</t>
  </si>
  <si>
    <t>$G$20</t>
  </si>
  <si>
    <t>$G$21</t>
  </si>
  <si>
    <t>$G$22</t>
  </si>
  <si>
    <t>$G$23</t>
  </si>
  <si>
    <t>$G$24</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</si>
  <si>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</si>
  <si>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</si>
  <si>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</si>
  <si>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</si>
  <si>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</si>
  <si>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</si>
  <si>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</si>
  <si>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</si>
  <si>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</si>
  <si>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</si>
  <si>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</si>
  <si>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</si>
  <si>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</si>
  <si>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</si>
  <si>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</si>
  <si>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</si>
  <si>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</si>
  <si>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</si>
  <si>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</si>
  <si>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</si>
  <si>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</si>
  <si>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</si>
  <si>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</si>
  <si>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</si>
  <si>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$G$49</t>
  </si>
  <si>
    <t>$G$50</t>
  </si>
  <si>
    <t>$G$51</t>
  </si>
  <si>
    <t>$G$52</t>
  </si>
  <si>
    <t>$G$53</t>
  </si>
  <si>
    <t>$G$54</t>
  </si>
  <si>
    <t>$G$55</t>
  </si>
  <si>
    <t>$G$56</t>
  </si>
  <si>
    <t>$G$57</t>
  </si>
  <si>
    <t>$G$58</t>
  </si>
  <si>
    <t>$G$59</t>
  </si>
  <si>
    <t>$G$60</t>
  </si>
  <si>
    <t>$G$61</t>
  </si>
  <si>
    <t>$G$62</t>
  </si>
  <si>
    <t>$G$63</t>
  </si>
  <si>
    <t>$G$64</t>
  </si>
  <si>
    <t>$G$65</t>
  </si>
  <si>
    <t>$G$66</t>
  </si>
  <si>
    <t>$G$67</t>
  </si>
  <si>
    <t>$G$68</t>
  </si>
  <si>
    <t>$G$69</t>
  </si>
  <si>
    <t>$G$70</t>
  </si>
  <si>
    <t>$G$71</t>
  </si>
  <si>
    <t>$G$72</t>
  </si>
  <si>
    <t>$C$111</t>
  </si>
  <si>
    <t>$C$112</t>
  </si>
  <si>
    <t>$C$113</t>
  </si>
  <si>
    <t>$G$14</t>
  </si>
  <si>
    <t>$G$15</t>
  </si>
  <si>
    <t>$G$16</t>
  </si>
  <si>
    <t>$G$17</t>
  </si>
  <si>
    <t>$G$18</t>
  </si>
  <si>
    <t>$G$73</t>
  </si>
  <si>
    <t>$G$74</t>
  </si>
  <si>
    <t>$G$75</t>
  </si>
  <si>
    <t>$G$76</t>
  </si>
  <si>
    <t>$G$77</t>
  </si>
  <si>
    <t>$G$78</t>
  </si>
  <si>
    <t>$G$79</t>
  </si>
  <si>
    <t>$G$80</t>
  </si>
  <si>
    <t>$G$81</t>
  </si>
  <si>
    <t>$G$82</t>
  </si>
  <si>
    <t>$G$83</t>
  </si>
  <si>
    <t>$G$84</t>
  </si>
  <si>
    <t>$G$85</t>
  </si>
  <si>
    <t>$G$86</t>
  </si>
  <si>
    <t>$G$87</t>
  </si>
  <si>
    <t>$G$88</t>
  </si>
  <si>
    <t>$G$89</t>
  </si>
  <si>
    <t>$G$90</t>
  </si>
  <si>
    <t>$G$91</t>
  </si>
  <si>
    <t>$G$92</t>
  </si>
  <si>
    <t>$G$93</t>
  </si>
  <si>
    <t>$G$94</t>
  </si>
  <si>
    <t>$G$95</t>
  </si>
  <si>
    <t>$G$96</t>
  </si>
  <si>
    <t>$G$97</t>
  </si>
  <si>
    <t>$G$98</t>
  </si>
  <si>
    <t>$G$99</t>
  </si>
  <si>
    <t>$G$100</t>
  </si>
  <si>
    <t>$G$101</t>
  </si>
  <si>
    <t>$G$102</t>
  </si>
  <si>
    <t>$G$103</t>
  </si>
  <si>
    <t>$G$104</t>
  </si>
  <si>
    <t>$G$105</t>
  </si>
  <si>
    <t>$G$106</t>
  </si>
  <si>
    <t>$G$107</t>
  </si>
  <si>
    <t>$G$108</t>
  </si>
  <si>
    <t>$G$109</t>
  </si>
  <si>
    <t>$G$110</t>
  </si>
  <si>
    <t>$G$111</t>
  </si>
  <si>
    <t>$G$112</t>
  </si>
  <si>
    <t>$G$113</t>
  </si>
  <si>
    <t>Formulas Used for Data Validation Report</t>
  </si>
  <si>
    <t>Ref_Count</t>
  </si>
  <si>
    <t>References</t>
  </si>
  <si>
    <t>'2022-2023'!$C$11,$C$12,$C$13,$C$14,$C$15,$C$16,$C$17,$C$18,$C$19,$C$20,$C$21,$C$22,$C$23,$C$24,$C$25,$C$26,$C$27,$C$28,$C$29,$C$30,$C$31,$C$32,$C$33,$C$34,$C$35,...</t>
  </si>
  <si>
    <t>Tables, Worksheet References</t>
  </si>
  <si>
    <t>Address</t>
  </si>
  <si>
    <t>Comment</t>
  </si>
  <si>
    <t>Ref_Cnt</t>
  </si>
  <si>
    <t>tbl_2026_2027_Days</t>
  </si>
  <si>
    <t>&gt;10</t>
  </si>
  <si>
    <t>'2026-2027'!$H$14:$Y$15</t>
  </si>
  <si>
    <t>0</t>
  </si>
  <si>
    <t>tbl_2025_2026_Days</t>
  </si>
  <si>
    <t>'2025-2026'!$A$18:$Z$73</t>
  </si>
  <si>
    <t>'2025-2026'!$H$14:$Y$15</t>
  </si>
  <si>
    <t>tbl_2027_2028_Days</t>
  </si>
  <si>
    <t>'2027-2028'!$H$14:$Y$15</t>
  </si>
  <si>
    <t>tbl_2028_2029_Days</t>
  </si>
  <si>
    <t>'2028-2029'!$H$14:$Y$15</t>
  </si>
  <si>
    <t>tbl_2029_2030_Days</t>
  </si>
  <si>
    <t>'2029-2030'!$H$14:$Y$15</t>
  </si>
  <si>
    <t>tbl_Resorts</t>
  </si>
  <si>
    <t>'Resorts'!$A$4:$H$31</t>
  </si>
  <si>
    <t>'Resorts'!$E$5,$F$5,$G$5,$H$5,$E$6,$F$6,$G$6,$H$6,$E$7,$F$7...</t>
  </si>
  <si>
    <t>tbl_Skis</t>
  </si>
  <si>
    <t>'Skis'!$A$3:$J$6</t>
  </si>
  <si>
    <t>tbl_Misc_Vals</t>
  </si>
  <si>
    <t>Defined Names, Worksheet References</t>
  </si>
  <si>
    <t>Refers_To</t>
  </si>
  <si>
    <t>Scope</t>
  </si>
  <si>
    <t>Visible</t>
  </si>
  <si>
    <t>Workbook</t>
  </si>
  <si>
    <t>Error or Invalid</t>
  </si>
  <si>
    <t>c_WORKBOOK_TITLE</t>
  </si>
  <si>
    <t>='Misc Values'!$B$4</t>
  </si>
  <si>
    <t>8</t>
  </si>
  <si>
    <t>fn_DaysSkiedCountByResortAndSeason</t>
  </si>
  <si>
    <t>fn_GET_WS_NAME</t>
  </si>
  <si>
    <t>=LAMBDA(pRef,LET(_functionName,N("fn_GET_WS_NAME"),_comment,N("Gets the name of the worksheet that contains the cell that calls this function."),_fileName,CELL("filename",pRef),_result,TEXTAFTER(_fileName,"]"),_result))</t>
  </si>
  <si>
    <t>Gets the name of the worksheet that contains the cell that calls this function.</t>
  </si>
  <si>
    <t>fn_GetSkiNameFromSkiIdx</t>
  </si>
  <si>
    <t>=LAMBDA(pSkiIdx,LET(_functionName,N("fn_GetSkiNameFromSkiIdx"),_comment,N("Get the ski name specified by ski index."),_result,INDEX(tbl_Skis[Name],pSkiIdx),_result))</t>
  </si>
  <si>
    <t>Get the ski name specified by ski index.</t>
  </si>
  <si>
    <t>fn_GetTblDaysColResortNameBySeason</t>
  </si>
  <si>
    <t>Gets the resort name column from the individual days table for the season specified by worksheet name.</t>
  </si>
  <si>
    <t>'Skis'!$E$4,$F$4,$G$4,$H$4,$I$4,$E$5,$F$5,$G$5,$H$5,$I$5...</t>
  </si>
  <si>
    <t>=tbl_Resorts[Name]</t>
  </si>
  <si>
    <t>AltaArapahoe BasinAspen HighlandsAspen Mountain (Ajax)Banff SunshineBig SkyBrighton ResortButtermilkCopper MountainDeer ValleyJackson Hole Mountain ResortLake LouiseMount Norquay Ski ResortPurgatory ResortRed Mountain ResortRevelstoke Ski ResortSchweitzer Mountain ResortSnowbasin ResortSnowbirdSnowmassSolitude Mountain ResortSteamboatSun  ValleyTaosWinter ParkWolf Creek Ski Ar</t>
  </si>
  <si>
    <t>=tbl_Skis[Name]</t>
  </si>
  <si>
    <t>Stöckli Stormrider 102Stöckli Montero ASRossignal Sin</t>
  </si>
  <si>
    <t>Defined Names, All References</t>
  </si>
  <si>
    <t>Referer</t>
  </si>
  <si>
    <t>Worksheets</t>
  </si>
  <si>
    <t>Formulas (Including Lambda)</t>
  </si>
  <si>
    <t>Data Validation Sources</t>
  </si>
  <si>
    <t>VBA Modules</t>
  </si>
  <si>
    <t>All</t>
  </si>
  <si>
    <t>RWs_Count</t>
  </si>
  <si>
    <t>RWs_Names</t>
  </si>
  <si>
    <t>RF_Count</t>
  </si>
  <si>
    <t>RF_Names</t>
  </si>
  <si>
    <t>RDV_Count</t>
  </si>
  <si>
    <t>RDV_Names</t>
  </si>
  <si>
    <t>RVBA_Count</t>
  </si>
  <si>
    <t>RVBA_Names</t>
  </si>
  <si>
    <t>Any_Refs</t>
  </si>
  <si>
    <t>1</t>
  </si>
  <si>
    <t>'2022-2023'!$C$11,$C$12,$C$13,$C$14,$C$15,$C$16,$C$17,$C$18,$C$19,$C$20,...</t>
  </si>
  <si>
    <t>c_NOT_FOUND</t>
  </si>
  <si>
    <t>Not Found</t>
  </si>
  <si>
    <t>Error message indicating a value or reference could not be found.</t>
  </si>
  <si>
    <t>1W_Days</t>
  </si>
  <si>
    <t>1W_Done</t>
  </si>
  <si>
    <t>1E_Days</t>
  </si>
  <si>
    <t>1E_Done</t>
  </si>
  <si>
    <t>1FT_Days</t>
  </si>
  <si>
    <t>1FT_Done</t>
  </si>
  <si>
    <t>2W_Days</t>
  </si>
  <si>
    <t>2W_Done</t>
  </si>
  <si>
    <t>2E_Days</t>
  </si>
  <si>
    <t>2E_Done</t>
  </si>
  <si>
    <t>2FT_Days</t>
  </si>
  <si>
    <t>2FT_Done</t>
  </si>
  <si>
    <t>3W_Days</t>
  </si>
  <si>
    <t>3W_Done</t>
  </si>
  <si>
    <t>3E_Days</t>
  </si>
  <si>
    <t>3E_Done</t>
  </si>
  <si>
    <t>3FT_Days</t>
  </si>
  <si>
    <t>3FT_Done</t>
  </si>
  <si>
    <t>Maintenance Procedure</t>
  </si>
  <si>
    <t>End of Year Ski Maintenance Status</t>
  </si>
  <si>
    <t>End of Year</t>
  </si>
  <si>
    <t>Abbrevation</t>
  </si>
  <si>
    <t>tbl_2024_2025_EOS</t>
  </si>
  <si>
    <t>'2024-2025'!$H$120:$Y$121</t>
  </si>
  <si>
    <t>'2025-2026'!$B$7,$C$7,$D$7,$E$7,$F$7,$G$7,$H$15,$I$15,$J$15,$K$15...</t>
  </si>
  <si>
    <t>tbl_2025_2026_EOS</t>
  </si>
  <si>
    <t>'2026-2027'!$A$18:$Z$20</t>
  </si>
  <si>
    <t>'2026-2027'!$B$7,$C$7,$D$7,$E$7,$F$7,$G$7,$H$15,$I$15,$J$15,$K$15...</t>
  </si>
  <si>
    <t>tbl_2026_2027_EOS</t>
  </si>
  <si>
    <t>'2027-2028'!$A$18:$Z$20</t>
  </si>
  <si>
    <t>'2027-2028'!$B$7,$C$7,$D$7,$E$7,$F$7,$G$7,$H$15,$I$15,$J$15,$K$15...</t>
  </si>
  <si>
    <t>tbl_2027_2028_EOS</t>
  </si>
  <si>
    <t>'2028-2029'!$A$18:$Z$20</t>
  </si>
  <si>
    <t>'2028-2029'!$B$7,$C$7,$D$7,$E$7,$F$7,$G$7,$H$15,$I$15,$J$15,$K$15...</t>
  </si>
  <si>
    <t>tbl_2028_2029_EOS</t>
  </si>
  <si>
    <t>'2029-2030'!$A$18:$Z$20</t>
  </si>
  <si>
    <t>'2029-2030'!$B$7,$C$7,$D$7,$E$7,$F$7,$G$7,$H$15,$I$15,$J$15,$K$15...</t>
  </si>
  <si>
    <t>tbl_2029_2030_EOS</t>
  </si>
  <si>
    <t>'Misc Values'!$A$3:$C$5</t>
  </si>
  <si>
    <t>'2024-2025'!$G$14,$G$15,$G$16,$G$17,$G$18,$G$19,$G$20,$G$21,$G$22,$G$23,$G$24,$G$25,$G$26,$G$27,$G$28,$G$29,$G$30,$G$31,$G$32,$G$33,$G$34,$G$35,$G$36,$G$37,$G$38,...</t>
  </si>
  <si>
    <t>='Misc Values'!$B$5</t>
  </si>
  <si>
    <t>'2022-2023'!$A$1;'2023-2024'!$A$1;'2024-2025'!$A$1;'2025-2026'!$A$1;'2026-2027'!$A$1;'2027-2028'!$A$1;'2028-2029'!$A$1;'2029-2030'!$A$1</t>
  </si>
  <si>
    <t>fn_GET_LAST_IDX_IN_COL</t>
  </si>
  <si>
    <t>=LAMBDA(pCol,[pGetOnlyNotEmptyString],LET(_functionName,N("fn_GET_LAST_IDX_IN_COL"),_comment,N("Gets the index of the last value in the specified array or column, optionally ignoring cells that contain an empty string."),_getOnlyNotEmptyString,IF(ISOMITTED(pGetOnlyNotEmptyString),TRUE,pGetOnlyNotEmptyString),_resultIncludeEmpty,ROWS(pCol),_lookup_value,TRUE,_lookup_array,pCol&lt;&gt;"",_match_mode,0,_search_mode,-1,_resultNotEmpty,XMATCH(_lookup_value,_lookup_array,_match_mode,_search_mode),_prelimResult,IF(_getOnlyNotEmptyString,_resultNotEmpty,_resultIncludeEmpty),_result,IFNA(_prelimResult,c_NOT_FOUND),_result))</t>
  </si>
  <si>
    <t>Gets the index of the last value in the specified array or column, optionally ignoring cells that contain an empty string.</t>
  </si>
  <si>
    <t>'2024-2025'!$I$121,$K$121,$M$121,$O$121,$Q$121,$S$121,$U$121,$W$121,$Y$121;'2025-2026'!$I$15...</t>
  </si>
  <si>
    <t>fn_GET_LAST_VAL_IN_COL</t>
  </si>
  <si>
    <t>=LAMBDA(pCol,[pGetOnlyNotEmptyString], LET( _functionName, N( "fn_GET_LAST_VAL_IN_COL" ), _comment, N( "Gets the last value in the specified array or column, optionally ignoring cells that contain an empty string." ), _getOnlyNotEmptyString, IF( ISOMITTED( pGetOnlyNotEmptyString ), TRUE, pGetOnlyNotEmptyString ), _resultIncludeEmpty, CHOOSEROWS( pCol, - 1 ), _lookup_value, TRUE, _lookup_array, pCol &lt;&gt; "", _return_array, pCol, _if_not_found, c_NOT_FOUND, _match_mode, 0, _search_mode, - 1, _resultNotEmpty, XLOOKUP( _lookup_value, _lookup_array, _return_array, _if_not_found, _match_mode, _search_mode ), _result, IF( _getOnlyNotEmptyString, _resultNotEmpty, _resultIncludeEmpty ), _result ) )</t>
  </si>
  <si>
    <t>Gets the last value in the specified array or column, optionally ignoring cells that contain an empty string.</t>
  </si>
  <si>
    <t>'2024-2025'!$H$121,$J$121,$L$121,$N$121,$P$121,$R$121,$T$121,$V$121,$X$121;'2025-2026'!$H$15...</t>
  </si>
  <si>
    <t>'2022-2023'!$A$2;'2023-2024'!$A$2;'2024-2025'!$A$2;'2025-2026'!$A$2;'2026-2027'!$A$2;'2027-2028'!$A$2;'2028-2029'!$A$2;'2029-2030'!$A$2</t>
  </si>
  <si>
    <t>fn_Get20242025EosSkiMaintDaysByProcAbbrev</t>
  </si>
  <si>
    <t>=LAMBDA(pSkiIdxPlusMainProcAbbrev, LET( _functionName, N( "fn_Get20242025EosSkiMaintDaysByProcAbbrev" ), _comment, N( "Gets the 2024-2025 end of season days since last maintenance performed for the specified maintenance procedure." ), _result, SWITCH( pSkiIdxPlusMainProcAbbrev, "1W", tbl_2024_2025_EOS[1W_Days], "1E", tbl_2024_2025_EOS[1E_Days], "1FT", tbl_2024_2025_EOS[1FT_Days], "2W", tbl_2024_2025_EOS[2W_Days], "2E", tbl_2024_2025_EOS[2E_Days], "2FT", tbl_2024_2025_EOS[2FT_Days], "3W", tbl_2024_2025_EOS[3W_Days], "3E", tbl_2024_2025_EOS[3E_Days], "3FT", tbl_2024_2025_EOS[3FT_Days], c_NOT_FOUND ), _result ) )</t>
  </si>
  <si>
    <t>Gets the 2024-2025 end of season days since last maintenance performed for the specified maintenance procedure.</t>
  </si>
  <si>
    <t>fn_Get20242025EosSkiMaintDoneByProcAbbrev</t>
  </si>
  <si>
    <t>=LAMBDA(pSkiIdxPlusMainProcAbbrev, LET( _functionName, N( "fn_Get20242025EosSkiMaintDoneByProcAbbrev" ), _comment, N( "Gets the 2024-2025 end of season maintenance was done value for the specified maintenance procedure." ), _result, SWITCH( pSkiIdxPlusMainProcAbbrev, "1W", tbl_2024_2025_EOS[1W_Done], "1E", tbl_2024_2025_EOS[1E_Done], "1FT", tbl_2024_2025_EOS[1FT_Done], "2W", tbl_2024_2025_EOS[2W_Done], "2E", tbl_2024_2025_EOS[2E_Done], "2FT", tbl_2024_2025_EOS[2FT_Done], "3W", tbl_2024_2025_EOS[3W_Done], "3E", tbl_2024_2025_EOS[3E_Done], "3FT", tbl_2024_2025_EOS[3FT_Done], c_NOT_FOUND ), _result ) )</t>
  </si>
  <si>
    <t>Gets the 2024-2025 end of season maintenance was done value for the specified maintenance procedure.</t>
  </si>
  <si>
    <t>fn_Get20252026EosSkiMaintDaysByProcAbbrev</t>
  </si>
  <si>
    <t>=LAMBDA(pSkiIdxPlusMainProcAbbrev, LET( _functionName, N( "fn_Get20252026EosSkiMaintDaysByProcAbbrev" ), _comment, N( "Gets the 2025-2026 end of season days since last maintenance performed for the specified maintenance procedure." ), _result, SWITCH( pSkiIdxPlusMainProcAbbrev, "1W", tbl_2025_2026_EOS[1W_Days], "1E", tbl_2025_2026_EOS[1E_Days], "1FT", tbl_2025_2026_EOS[1FT_Days], "2W", tbl_2025_2026_EOS[2W_Days], "2E", tbl_2025_2026_EOS[2E_Days], "2FT", tbl_2025_2026_EOS[2FT_Days], "3W", tbl_2025_2026_EOS[3W_Days], "3E", tbl_2025_2026_EOS[3E_Days], "3FT", tbl_2025_2026_EOS[3FT_Days], c_NOT_FOUND ), _result ) )</t>
  </si>
  <si>
    <t>Gets the 2025-2026 end of season days since last maintenance performed for the specified maintenance procedure.</t>
  </si>
  <si>
    <t>fn_Get20252026EosSkiMaintDoneByProcAbbrev</t>
  </si>
  <si>
    <t>=LAMBDA(pSkiIdxPlusMainProcAbbrev, LET( _functionName, N( "fn_Get20252026EosSkiMaintDoneByProcAbbrev" ), _comment, N( "Gets the 2025-2026 end of season maintenance was done value for the specified maintenance procedure." ), _result, SWITCH( pSkiIdxPlusMainProcAbbrev, "1W", tbl_2025_2026_EOS[1W_Done], "1E", tbl_2025_2026_EOS[1E_Done], "1FT", tbl_2025_2026_EOS[1FT_Done], "2W", tbl_2025_2026_EOS[2W_Done], "2E", tbl_2025_2026_EOS[2E_Done], "2FT", tbl_2025_2026_EOS[2FT_Done], "3W", tbl_2025_2026_EOS[3W_Done], "3E", tbl_2025_2026_EOS[3E_Done], "3FT", tbl_2025_2026_EOS[3FT_Done], c_NOT_FOUND ), _result ) )</t>
  </si>
  <si>
    <t>Gets the 2025-2026 end of season maintenance was done value for the specified maintenance procedure.</t>
  </si>
  <si>
    <t>fn_Get20262027EosSkiMaintDaysByProcAbbrev</t>
  </si>
  <si>
    <t>=LAMBDA(pSkiIdxPlusMainProcAbbrev, LET( _functionName, N( "fn_Get20262027EosSkiMaintDaysByProcAbbrev" ), _comment, N( "Gets the 2026-2027 end of season days since last maintenance performed for the specified maintenance procedure." ), _result, SWITCH( pSkiIdxPlusMainProcAbbrev, "1W", tbl_2026_2027_EOS[1W_Days], "1E", tbl_2026_2027_EOS[1E_Days], "1FT", tbl_2026_2027_EOS[1FT_Days], "2W", tbl_2026_2027_EOS[2W_Days], "2E", tbl_2026_2027_EOS[2E_Days], "2FT", tbl_2026_2027_EOS[2FT_Days], "3W", tbl_2026_2027_EOS[3W_Days], "3E", tbl_2026_2027_EOS[3E_Days], "3FT", tbl_2026_2027_EOS[3FT_Days], c_NOT_FOUND ), _result ) )</t>
  </si>
  <si>
    <t>Gets the 2026-2027 end of season days since last maintenance performed for the specified maintenance procedure.</t>
  </si>
  <si>
    <t>fn_Get20262027EosSkiMaintDoneByProcAbbrev</t>
  </si>
  <si>
    <t>=LAMBDA(pSkiIdxPlusMainProcAbbrev, LET( _functionName, N( "fn_Get20262027EosSkiMaintDoneByProcAbbrev" ), _comment, N( "Gets the 2026-2027 end of season maintenance was done value for the specified maintenance procedure." ), _result, SWITCH( pSkiIdxPlusMainProcAbbrev, "1W", tbl_2026_2027_EOS[1W_Done], "1E", tbl_2026_2027_EOS[1E_Done], "1FT", tbl_2026_2027_EOS[1FT_Done], "2W", tbl_2026_2027_EOS[2W_Done], "2E", tbl_2026_2027_EOS[2E_Done], "2FT", tbl_2026_2027_EOS[2FT_Done], "3W", tbl_2026_2027_EOS[3W_Done], "3E", tbl_2026_2027_EOS[3E_Done], "3FT", tbl_2026_2027_EOS[3FT_Done], c_NOT_FOUND ), _result ) )</t>
  </si>
  <si>
    <t>Gets the 2026-2027 end of season maintenance was done value for the specified maintenance procedure.</t>
  </si>
  <si>
    <t>fn_Get20272028EosSkiMaintDaysByProcAbbrev</t>
  </si>
  <si>
    <t>=LAMBDA(pSkiIdxPlusMainProcAbbrev, LET( _functionName, N( "fn_Get20272028EosSkiMaintDaysByProcAbbrev" ), _comment, N( "Gets the 2027-2028 end of season days since last maintenance performed for the specified maintenance procedure." ), _result, SWITCH( pSkiIdxPlusMainProcAbbrev, "1W", tbl_2027_2028_EOS[1W_Days], "1E", tbl_2027_2028_EOS[1E_Days], "1FT", tbl_2027_2028_EOS[1FT_Days], "2W", tbl_2027_2028_EOS[2W_Days], "2E", tbl_2027_2028_EOS[2E_Days], "2FT", tbl_2027_2028_EOS[2FT_Days], "3W", tbl_2027_2028_EOS[3W_Days], "3E", tbl_2027_2028_EOS[3E_Days], "3FT", tbl_2027_2028_EOS[3FT_Days], c_NOT_FOUND ), _result ) )</t>
  </si>
  <si>
    <t>Gets the 2027-2028 end of season days since last maintenance performed for the specified maintenance procedure.</t>
  </si>
  <si>
    <t>fn_Get20272028EosSkiMaintDoneByProcAbbrev</t>
  </si>
  <si>
    <t>=LAMBDA(pSkiIdxPlusMainProcAbbrev, LET( _functionName, N( "fn_Get20272028EosSkiMaintDoneByProcAbbrev" ), _comment, N( "Gets the 2027-2028 end of season maintenance was done value for the specified maintenance procedure." ), _result, SWITCH( pSkiIdxPlusMainProcAbbrev, "1W", tbl_2027_2028_EOS[1W_Done], "1E", tbl_2027_2028_EOS[1E_Done], "1FT", tbl_2027_2028_EOS[1FT_Done], "2W", tbl_2027_2028_EOS[2W_Done], "2E", tbl_2027_2028_EOS[2E_Done], "2FT", tbl_2027_2028_EOS[2FT_Done], "3W", tbl_2027_2028_EOS[3W_Done], "3E", tbl_2027_2028_EOS[3E_Done], "3FT", tbl_2027_2028_EOS[3FT_Done], c_NOT_FOUND ), _result ) )</t>
  </si>
  <si>
    <t>Gets the 2027-2028 end of season maintenance was done value for the specified maintenance procedure.</t>
  </si>
  <si>
    <t>fn_Get20282029EosSkiMaintDaysByProcAbbrev</t>
  </si>
  <si>
    <t>=LAMBDA(pSkiIdxPlusMainProcAbbrev, LET( _functionName, N( "fn_Get20282029EosSkiMaintDaysByProcAbbrev" ), _comment, N( "Gets the 2028-2029 end of season days since last maintenance performed for the specified maintenance procedure." ), _result, SWITCH( pSkiIdxPlusMainProcAbbrev, "1W", tbl_2028_2029_EOS[1W_Days], "1E", tbl_2028_2029_EOS[1E_Days], "1FT", tbl_2028_2029_EOS[1FT_Days], "2W", tbl_2028_2029_EOS[2W_Days], "2E", tbl_2028_2029_EOS[2E_Days], "2FT", tbl_2028_2029_EOS[2FT_Days], "3W", tbl_2028_2029_EOS[3W_Days], "3E", tbl_2028_2029_EOS[3E_Days], "3FT", tbl_2028_2029_EOS[3FT_Days], c_NOT_FOUND ), _result ) )</t>
  </si>
  <si>
    <t>Gets the 2028-2029 end of season days since last maintenance performed for the specified maintenance procedure.</t>
  </si>
  <si>
    <t>fn_Get20282029EosSkiMaintDoneByProcAbbrev</t>
  </si>
  <si>
    <t>=LAMBDA(pSkiIdxPlusMainProcAbbrev, LET( _functionName, N( "fn_Get20282029EosSkiMaintDoneByProcAbbrev" ), _comment, N( "Gets the 2028-2029 end of season maintenance was done value for the specified maintenance procedure." ), _result, SWITCH( pSkiIdxPlusMainProcAbbrev, "1W", tbl_2028_2029_EOS[1W_Done], "1E", tbl_2028_2029_EOS[1E_Done], "1FT", tbl_2028_2029_EOS[1FT_Done], "2W", tbl_2028_2029_EOS[2W_Done], "2E", tbl_2028_2029_EOS[2E_Done], "2FT", tbl_2028_2029_EOS[2FT_Done], "3W", tbl_2028_2029_EOS[3W_Done], "3E", tbl_2028_2029_EOS[3E_Done], "3FT", tbl_2028_2029_EOS[3FT_Done], c_NOT_FOUND ), _result ) )</t>
  </si>
  <si>
    <t>Gets the 2028-2029 end of season maintenance was done value for the specified maintenance procedure.</t>
  </si>
  <si>
    <t>fn_Get20292030EosSkiMaintDaysByProcAbbrev</t>
  </si>
  <si>
    <t>=LAMBDA(pSkiIdxPlusMainProcAbbrev, LET( _functionName, N( "fn_Get20292030EosSkiMaintDaysByProcAbbrev" ), _comment, N( "Gets the 2029-2030 end of season days since last maintenance performed for the specified maintenance procedure." ), _result, SWITCH( pSkiIdxPlusMainProcAbbrev, "1W", tbl_2029_2030_EOS[1W_Days], "1E", tbl_2029_2030_EOS[1E_Days], "1FT", tbl_2029_2030_EOS[1FT_Days], "2W", tbl_2029_2030_EOS[2W_Days], "2E", tbl_2029_2030_EOS[2E_Days], "2FT", tbl_2029_2030_EOS[2FT_Days], "3W", tbl_2029_2030_EOS[3W_Days], "3E", tbl_2029_2030_EOS[3E_Days], "3FT", tbl_2029_2030_EOS[3FT_Days], c_NOT_FOUND ), _result ) )</t>
  </si>
  <si>
    <t>Gets the 2029-2030 end of season days since last maintenance performed for the specified maintenance procedure.</t>
  </si>
  <si>
    <t>fn_Get20292030EosSkiMaintDoneByProcAbbrev</t>
  </si>
  <si>
    <t>=LAMBDA(pSkiIdxPlusMainProcAbbrev, LET( _functionName, N( "fn_Get20292030EosSkiMaintDoneByProcAbbrev" ), _comment, N( "Gets the 2029-2030 end of season maintenance was done value for the specified maintenance procedure." ), _result, SWITCH( pSkiIdxPlusMainProcAbbrev, "1W", tbl_2029_2030_EOS[1W_Done], "1E", tbl_2029_2030_EOS[1E_Done], "1FT", tbl_2029_2030_EOS[1FT_Done], "2W", tbl_2029_2030_EOS[2W_Done], "2E", tbl_2029_2030_EOS[2E_Done], "2FT", tbl_2029_2030_EOS[2FT_Done], "3W", tbl_2029_2030_EOS[3W_Done], "3E", tbl_2029_2030_EOS[3E_Done], "3FT", tbl_2029_2030_EOS[3FT_Done], c_NOT_FOUND ), _result ) )</t>
  </si>
  <si>
    <t>Gets the 2029-2030 end of season maintenance was done value for the specified maintenance procedure.</t>
  </si>
  <si>
    <t>fn_GetDaysSinceSkiMaintProc</t>
  </si>
  <si>
    <t>=LAMBDA(pCurSeasonName,pDayIdx,pLastDaysVal,pLastDoneVal,pMaintSkiIdx,pMaintProcAbbrev,pRowSkiName, LET( _functionName, N( "fn_GetDaysSinceSkiMaintProc" ), _comment, N( "Gets the count of days since the specified maintenance procedure was performed on the specified ski." ), _SkiIdxPlusMainProcAbbrev, TEXT( pMaintSkiIdx, "0" ) &amp; pMaintProcAbbrev, _priorSeasonName, fn_GetPriorSeasonName( pCurSeasonName ), _lastEOSdone, fn_GetEosSkiMaintDoneBySeasonAndProc( _priorSeasonName, _SkiIdxPlusMainProcAbbrev ), _lastEOSdays, fn_GetEosSkiMaintDaysBySeasonAndProc( _priorSeasonName, _SkiIdxPlusMainProcAbbrev ), pRowSkiIdx, fn_GetSkiIdxFromSkiName( pRowSkiName ), _rowAndProcSkiMatch, pRowSkiIdx = pMaintSkiIdx, _useLastSeasonVals, pDayIdx = 1, _done, IF( _useLastSeasonVals, _lastEOSdone, pLastDoneVal ), _unadjustedDays, IF( _useLastSeasonVals, _lastEOSdays, pLastDaysVal ), _adjustmentVal, IF( _rowAndProcSkiMatch, 1, 0 ), _adjustedDays, _unadjustedDays + _adjustmentVal, _result, IF( _done, 0, _adjustedDays ), _result ) )</t>
  </si>
  <si>
    <t>Gets the count of days since the specified maintenance procedure was performed on the specified ski.</t>
  </si>
  <si>
    <t>'2025-2026'!$H$19,$J$19,$L$19,$N$19,$P$19,$R$19,$T$19,$V$19,$X$19,$H$20...</t>
  </si>
  <si>
    <t>fn_GetEosSkiMaintDaysBySeasonAndProc</t>
  </si>
  <si>
    <t>=LAMBDA(pSkiSeasonName,pSkiIdxPlusMainProcAbbrev, LET( _functionName, N( "fn_GetEosSkiMaintDaysBySeasonAndProc" ), _comment, N( "Gets the end of season days since last maintenance performed for the specified maintenance procedure and season." ), _result, SWITCH( pSkiSeasonName, "2024-2025", fn_Get20242025EosSkiMaintDaysByProcAbbrev( pSkiIdxPlusMainProcAbbrev ), "2025-2026", fn_Get20252026EosSkiMaintDaysByProcAbbrev( pSkiIdxPlusMainProcAbbrev ), "2026-2027", fn_Get20262027EosSkiMaintDaysByProcAbbrev( pSkiIdxPlusMainProcAbbrev ), "2027-2028", fn_Get20272028EosSkiMaintDaysByProcAbbrev( pSkiIdxPlusMainProcAbbrev ), "2028-2029", fn_Get20282029EosSkiMaintDaysByProcAbbrev( pSkiIdxPlusMainProcAbbrev ), "2029-2030", fn_Get20292030EosSkiMaintDaysByProcAbbrev( pSkiIdxPlusMainProcAbbrev ), c_NOT_FOUND ), _result ) )</t>
  </si>
  <si>
    <t>Gets the end of season days since last maintenance performed for the specified maintenance procedure and season.</t>
  </si>
  <si>
    <t>fn_GetEosSkiMaintDoneBySeasonAndProc</t>
  </si>
  <si>
    <t>=LAMBDA(pSkiSeasonName,pSkiIdxPlusMainProcAbbrev, LET( _functionName, N( "fn_GetEosSkiMaintDoneBySeasonAndProc" ), _comment, N( "Gets the end of season maintenance was done value for the specified maintenance procedure and season" ), _result, SWITCH( pSkiSeasonName, "2024-2025", fn_Get20242025EosSkiMaintDoneByProcAbbrev( pSkiIdxPlusMainProcAbbrev ), "2025-2026", fn_Get20252026EosSkiMaintDoneByProcAbbrev( pSkiIdxPlusMainProcAbbrev ), "2026-2027", fn_Get20262027EosSkiMaintDoneByProcAbbrev( pSkiIdxPlusMainProcAbbrev ), "2027-2028", fn_Get20272028EosSkiMaintDoneByProcAbbrev( pSkiIdxPlusMainProcAbbrev ), "2028-2029", fn_Get20282029EosSkiMaintDoneByProcAbbrev( pSkiIdxPlusMainProcAbbrev ), "2029-2030", fn_Get20292030EosSkiMaintDoneByProcAbbrev( pSkiIdxPlusMainProcAbbrev ), c_NOT_FOUND ), _result ) )</t>
  </si>
  <si>
    <t>Gets the end of season maintenance was done value for the specified maintenance procedure and season</t>
  </si>
  <si>
    <t>fn_GetMaintProcAbbrevFromName</t>
  </si>
  <si>
    <t>=LAMBDA(pMaintProcName, LET( _functionName, N( "fn_GetMaintProcAbbrevFromName" ), _comment, N( "Get the abbreviated name for the specified ski maintenance procedure." ), _result, SWITCH( LOWER( pMaintProcName ), LOWER( "Edges" ), "E", LOWER( "Full Tune" ), "FT", LOWER( "Wax" ), "W", "Not Defined" ), _result ) )</t>
  </si>
  <si>
    <t>Get the abbreviated name for the specified ski maintenance procedure.</t>
  </si>
  <si>
    <t>'2024-2025'!$H$119,$J$119,$L$119,$N$119,$P$119,$R$119,$T$119,$V$119,$X$119;'2025-2026'!$H$13...</t>
  </si>
  <si>
    <t>fn_GetMaintProcNameFromAbbrev</t>
  </si>
  <si>
    <t>=LAMBDA(pMaintProcAbbrev, LET( _functionName, N( "fn_GetMaintProcNameFromAbbrev" ), _comment, N( "Get the name of the ski maintenance procedure by its abbreviation." ), _result, SWITCH( UPPER( pMaintProcAbbrev ), UPPER( "E" ), "Edges", UPPER( "FT" ), "Full Tune", UPPER( "W" ), "Wax", "Not Defined" ), _result ) )</t>
  </si>
  <si>
    <t>Get the name of the ski maintenance procedure by its abbreviation.</t>
  </si>
  <si>
    <t>fn_GetPriorSeasonName</t>
  </si>
  <si>
    <t>=LAMBDA(pCurSeasonName, LET( _functionName, N( "fn_GetPriorSeasonName" ), _comment, N( "Gets name of the season the precedes the current season specified by name." ), _currentStartYear, LEFT( pCurSeasonName, 4 ), _currentEndYear, RIGHT( pCurSeasonName, 4 ), _priorYearStart, _currentStartYear - 1, _priorYearEnd, _currentEndYear - 1, _result, _priorYearStart &amp; "-" &amp; _priorYearEnd, _result ) )</t>
  </si>
  <si>
    <t>Gets name of the season the precedes the current season specified by name.</t>
  </si>
  <si>
    <t>fn_GetSkiIdxFromSkiName</t>
  </si>
  <si>
    <t>=LAMBDA(pSkiName, LET( _functionName, N( "fn_GetSkiIdxFromSkiName" ), _comment, N( "Get the ski index specified by ski name." ), _lookup_value, pSkiName, _lookup_array, tbl_Skis[Name], _return_array, tbl_Skis[Index], _if_not_found, c_NOT_FOUND, _match_mode, 0, _result, XLOOKUP( _lookup_value, _lookup_array, _return_array, _if_not_found, _match_mode ), _result ) )</t>
  </si>
  <si>
    <t>Get the ski index specified by ski name.</t>
  </si>
  <si>
    <t>'2024-2025'!$H$117,$N$117,$T$117;'2025-2026'!$H$11,$N$11,$T$11;'2026-2027'!$H$11,$N$11,$T$11;'2027-2028'!$H$11...</t>
  </si>
  <si>
    <t>=LAMBDA(pWsName,LET(_functionName,N("fn_GetTblDaysColResortNameBySeason"),_comment,N("Gets the resort name column from the individual days table for the season specified by worksheet name."),_result,SWITCH(pWsName,"2025-2026",tbl_2025_2026_Days[Resort Name],"2026-2027",#REF!#REF!,"2027-2028",#REF!,"2028-2029",#REF!,"2029-2030",#REF!,"Table Not Found",),_result))</t>
  </si>
  <si>
    <t>fn_IsTableCellInFirstRow</t>
  </si>
  <si>
    <t>=LAMBDA(pCellRef,pTableColRef,LET(_functionName,N("fn_IsTableCellInFirstRow"),_comment,N("Determines if the specified cell is in the first row of the specified table."),_result,ROW(pCellRef)=MIN(ROW(pTableColRef)),_result))</t>
  </si>
  <si>
    <t>Determines if the specified cell is in the first row of the specified table.</t>
  </si>
  <si>
    <t>'2025-2026'!$A$19,$A$20,$A$21,$A$22,$A$23,$A$24,$A$25,$A$26,$A$27,$A$28...</t>
  </si>
  <si>
    <t>{=LAMBDA(pCol,[pGetOnlyNotEmptyString],LET(_functionName,N("fn_GET_LAST_IDX_IN_COL"),_comment,N("Gets the index of the last value in the specified array or column, optionally ignoring cells that contain an empty string."),_getOnlyNotEmptyString,IF(ISOMITTED(pGetOnlyNotEmptyString),TRUE,pGetOnlyNotEmptyString),_resultIncludeEmpty,ROWS(pCol),_lookup_value,TRUE,_lookup_array,pCol&lt;&gt;"",_match_mode,0,_search_mode,-1,_resultNotEmpty,XMATCH(_lookup_value,_lookup_array,_match_mode,_search_mode),_prelimResult,IF(_getOnlyNotEmptyString,_resultNotEmpty,_resultIncludeEmpty),_result,IFNA(_prelimResult,c_NOT_FOUND),_result))}, {=LAMBDA(pCol,[pGetOnlyNotEmptyString], LET( _functionName, N( "fn_GET_LAST_VAL_IN_COL" ), _comment, N( "Gets the last value in the specified array or column, optionally ignoring cells that contain an empty string." ), _getOnlyNotEmptyString, IF( ISOMITTED( pGetOnlyNotEmptyString ), TRUE, pGetOnlyNotEmptyString ), _resultIncludeEmpty, CHOOSEROWS( pCol, - 1 ), _lookup_value, TRUE, _lookup_array, pCol &lt;&gt; "", _return_array, pCol, _if_not_found, c_NOT_FOUND, _match_mode, 0, _search_mode, - 1, _resultNotEmpty, XLOOKUP( _lookup_value, _lookup_array, _return_array, _if_not_found, _match_mode, _search_mode ), _result, IF( _getOnlyNotEmptyString, _resultNotEmpty, _resultIncludeEmpty ), _result ) )}, {=LAMBDA(pSkiIdxPlusMainProcAbbrev, LET( _functionName, N( "fn_Get20242025EosSkiMaintDaysByProcAbbrev" ), _comment, N( "Gets the 2024-2025 end of season days since last maintenance performed for the specified maintenance procedure." ), _result, SWITCH( pSkiIdxPlusMainProcAbbrev, "1W", tbl_2024_2025_EOS[1W_Days], "1E", tbl_2024_2025_EOS[1E_Days], "1FT", tbl_2024_2025_EOS[1FT_Days], "2W", tbl_2024_2025_EOS[2W_Days], "2E", tbl_2024_2025_EOS[2E_Days], "2FT", tbl_2024_2025_EOS[2FT_Days], "3W", tbl_2024_2025_EOS[3W_Days], "3E", tbl_2024_2025_EOS[3E_Days], "3FT", tbl_2024_2025_EOS[3FT_Days], c_NOT_FOUND ), _result ) )}, {=LAMBDA(pSkiIdxPlusMainProcAbbrev, LET( _functionName, N( "fn_Get20242025EosSkiMaintDoneByProcAbbrev" ), _comment, N( "Gets the 2024-2025 end of season maintenance was done value for the specified maintenance procedure." ), _result, SWITCH( pSkiIdxPlusMainProcAbbrev, "1W", tbl_2024_2025_EOS[1W_Done], "1E", tbl_2024_2025_EOS[1E_Done], "1FT", tbl_2024_2025_EOS[1FT_Done], "2W", tbl_2024_2025_EOS[2W_Done], "2E", tbl_2024_2025_EOS[2E_Done], "2FT", tbl_2024_2025_EOS[2FT_Done], "3W", tbl_2024_2025_EOS[3W_Done], "3E", tbl_2024_2025_EOS[3E_Done], "3FT", tbl_2024_2025_EOS[3FT_Done], c_NOT_FOUND ), _result ) )}, {=LAMBDA(pSkiIdxPlusMainProcAbbrev, LET( _functionName, N( "fn_Get20252026EosSkiMaintDaysByProcAbbrev" ), _comment, N( "Gets the 2025-2026 end of season days since last maintenance performed for the specified maintenance procedure." ), _result, SWITCH( pSkiIdxPlusMainProcAbbrev, "1W", tbl_2025_2026_EOS[1W_Days], "1E", tbl_2025_2026_EOS[1E_Days], "1FT", tbl_2025_2026_EOS[1FT_Days], "2W", tbl_2025_2026_EOS[2W_Days], "2E", tbl_2025_2026_EOS[2E_Days], "2FT", tbl_2025_2026_EOS[2FT_Days], "3W", tbl_2025_2026_EOS[3W_Days], "3E", tbl_2025_2026_EOS[3E_Days], "3FT", tbl_2025_2026_EOS[3FT_Days], c_NOT_FOUND ), _result ) )}, {=LAMBDA(pSkiIdxPlusMainProcAbbrev, LET( _functionName, N( "fn_Get20252026EosSkiMaintDoneByProcAbbrev" ), _comment, N( "Gets the 2025-2026 end of season maintenance was done value for the specified maintenance procedure." ), _result, SWITCH( pSkiIdxPlusMainProcAbbrev, "1W", tbl_2025_2026_EOS[1W_Done], "1E", tbl_2025_2026_EOS[1E_Done], "1FT", tbl_2025_2026_EOS[1FT_Done], "2W", tbl_2025_2026_EOS[2W_Done], "2E", tbl_2025_2026_EOS[2E_Done], "2FT", tbl_2025_2026_EOS[2FT_Done], "3W", tbl_2025_2026_EOS[3W_Done], "3E", tbl_2025_2026_EOS[3E_Done], "3FT", tbl_2025_2026_EOS[3FT_Done], c_NOT_FOUND ), _result ) )}, {=LAMBDA(pSkiIdxPlusMainProcAbbrev, LET( _functionName, N( "fn_Get20262027EosSkiMaintDaysByProcAbbrev" ), _comment, N( "Gets the 2026-2027 end of season days since last maintenance performed for the specified maintenance procedure." ), _result, SWITCH( pSkiIdxPlusMainProcAbbrev, "1W", tbl_2026_2027_EOS[1W_Days], "1E", tbl_2026_2027_EOS[1E_Days], "1FT", tbl_2026_2027_EOS[1FT_Days], "2W", tbl_2026_2027_EOS[2W_Days], "2E", tbl_2026_2027_EOS[2E_Days], "2FT", tbl_2026_2027_EOS[2FT_Days], "3W", tbl_2026_2027_EOS[3W_Days], "3E", tbl_2026_2027_EOS[3E_Days], "3FT", tbl_2026_2027_EOS[3FT_Days], c_NOT_FOUND ), _result ) )}, {=LAMBDA(pSkiIdxPlusMainProcAbbrev, LET( _functionName, N( "fn_Get20262027EosSkiMaintDoneByProcAbbrev" ), _comment, N( "Gets the 2026-2027 end of season maintenance was done value for the specified maintenance procedure." ), _result, SWITCH( pSkiIdxPlusMainProcAbbrev, "1W", tbl_2026_2027_EOS[1W_Done], "1E", tbl_2026_2027_EOS[1E_Done], "1FT", tbl_2026_2027_EOS[1FT_Done], "2W", tbl_2026_2027_EOS[2W_Done], "2E", tbl_2026_2027_EOS[2E_Done], "2FT", tbl_2026_2027_EOS[2FT_Done], "3W", tbl_2026_2027_EOS[3W_Done], "3E", tbl_2026_2027_EOS[3E_Done], "3FT", tbl_2026_2027_EOS[3FT_Done], c_NOT_FOUND ), _result ) )}, {=LAMBDA(pSkiIdxPlusMainProcAbbrev, LET( _functionName, N( "fn_Get20272028EosSkiMaintDaysByProcAbbrev" ), _comment, N( "Gets the 2027-2028 end of season days since last maintenance performed for the specified maintenance procedure." ), _result, SWITCH( pSkiIdxPlusMainProcAbbrev, "1W", tbl_2027_2028_EOS[1W_Days], "1E", tbl_2027_2028_EOS[1E_Days], "1FT", tbl_2027_2028_EOS[1FT_Days], "2W", tbl_2027_2028_EOS[2W_Days], "2E", tbl_2027_2028_EOS[2E_Days], "2FT", tbl_2027_2028_EOS[2FT_Days], "3W", tbl_2027_2028_EOS[3W_Days], "3E", tbl_2027_2028_EOS[3E_Days], "3FT", tbl_2027_2028_EOS[3FT_Days], c_NOT_FOUND ), _result ) )}, {=LAMBDA(pSkiIdxPlusMainProcAbbrev, LET( _functionName, N( "fn_Get20272028EosSkiMaintDoneByProcAbbrev" ), _comment, N( "Gets the 2027-2028 end of season maintenance was done value for the specified maintenance procedure." ), _result, SWITCH( pSkiIdxPlusMainProcAbbrev, "1W", tbl_2027_2028_EOS[1W_Done], "1E", tbl_2027_2028_EOS[1E_Done], "1FT", tbl_2027_2028_EOS[1FT_Done], "2W", tbl_2027_2028_EOS[2W_Done], "2E", tbl_2027_2028_EOS[2E_Done], "2FT", tbl_2027_2028_EOS[2FT_Done], "3W", tbl_2027_2028_EOS[3W_Done], "3E", tbl_2027_2028_EOS[3E_Done], "3FT", tbl_2027_2028_EOS[3FT_Done], c_NOT_FOUND ), _result ) )}, ...</t>
  </si>
  <si>
    <t>{=LAMBDA(pSkiSeasonName,pSkiIdxPlusMainProcAbbrev, LET( _functionName, N( "fn_GetEosSkiMaintDaysBySeasonAndProc" ), _comment, N( "Gets the end of season days since last maintenance performed for the specified maintenance procedure and season." ), _result, SWITCH( pSkiSeasonName, "2024-2025", fn_Get20242025EosSkiMaintDaysByProcAbbrev( pSkiIdxPlusMainProcAbbrev ), "2025-2026", fn_Get20252026EosSkiMaintDaysByProcAbbrev( pSkiIdxPlusMainProcAbbrev ), "2026-2027", fn_Get20262027EosSkiMaintDaysByProcAbbrev( pSkiIdxPlusMainProcAbbrev ), "2027-2028", fn_Get20272028EosSkiMaintDaysByProcAbbrev( pSkiIdxPlusMainProcAbbrev ), "2028-2029", fn_Get20282029EosSkiMaintDaysByProcAbbrev( pSkiIdxPlusMainProcAbbrev ), "2029-2030", fn_Get20292030EosSkiMaintDaysByProcAbbrev( pSkiIdxPlusMainProcAbbrev ), c_NOT_FOUND ), _result ) )}</t>
  </si>
  <si>
    <t>{=LAMBDA(pSkiSeasonName,pSkiIdxPlusMainProcAbbrev, LET( _functionName, N( "fn_GetEosSkiMaintDoneBySeasonAndProc" ), _comment, N( "Gets the end of season maintenance was done value for the specified maintenance procedure and season" ), _result, SWITCH( pSkiSeasonName, "2024-2025", fn_Get20242025EosSkiMaintDoneByProcAbbrev( pSkiIdxPlusMainProcAbbrev ), "2025-2026", fn_Get20252026EosSkiMaintDoneByProcAbbrev( pSkiIdxPlusMainProcAbbrev ), "2026-2027", fn_Get20262027EosSkiMaintDoneByProcAbbrev( pSkiIdxPlusMainProcAbbrev ), "2027-2028", fn_Get20272028EosSkiMaintDoneByProcAbbrev( pSkiIdxPlusMainProcAbbrev ), "2028-2029", fn_Get20282029EosSkiMaintDoneByProcAbbrev( pSkiIdxPlusMainProcAbbrev ), "2029-2030", fn_Get20292030EosSkiMaintDoneByProcAbbrev( pSkiIdxPlusMainProcAbbrev ), c_NOT_FOUND ), _result ) )}</t>
  </si>
  <si>
    <t>{=LAMBDA(pCurSeasonName,pDayIdx,pLastDaysVal,pLastDoneVal,pMaintSkiIdx,pMaintProcAbbrev,pRowSkiName, LET( _functionName, N( "fn_GetDaysSinceSkiMaintProc" ), _comment, N( "Gets the count of days since the specified maintenance procedure was performed on the specified ski." ), _SkiIdxPlusMainProcAbbrev, TEXT( pMaintSkiIdx, "0" ) &amp; pMaintProcAbbrev, _priorSeasonName, fn_GetPriorSeasonName( pCurSeasonName ), _lastEOSdone, fn_GetEosSkiMaintDoneBySeasonAndProc( _priorSeasonName, _SkiIdxPlusMainProcAbbrev ), _lastEOSdays, fn_GetEosSkiMaintDaysBySeasonAndProc( _priorSeasonName, _SkiIdxPlusMainProcAbbrev ), pRowSkiIdx, fn_GetSkiIdxFromSkiName( pRowSkiName ), _rowAndProcSkiMatch, pRowSkiIdx = pMaintSkiIdx, _useLastSeasonVals, pDayIdx = 1, _done, IF( _useLastSeasonVals, _lastEOSdone, pLastDoneVal ), _unadjustedDays, IF( _useLastSeasonVals, _lastEOSdays, pLastDaysVal ), _adjustmentVal, IF( _rowAndProcSkiMatch, 1, 0 ), _adjustedDays, _unadjustedDays + _adjustmentVal, _result, IF( _done, 0, _adjustedDays ), _result ) )}</t>
  </si>
  <si>
    <t>'2024-2025'!$G$14,$G$15,$G$16,$G$17,$G$18,$G$19,$G$20,$G$21,$G$22,$G$23,...</t>
  </si>
  <si>
    <t>=LAMBDA(pResortName,pSeasonName,LET(_functionName,N("fn_GetDaysSkiedCountByResortAndSeason"),_comment,N("Gets the count of days skied during the season specified by name at the resort specified by name."),_colResortName,fn_GetTblDaysColResortNameBySeason(pSeasonName),_prelimResult,COUNTIF(_colResortName,pResortName),_result,IFERROR(_prelimResult,""),_result))</t>
  </si>
  <si>
    <t>Gets the count of days skied during the season specified by name at the resort specified by name.</t>
  </si>
  <si>
    <t>'Resorts'!$E$5,$F$5,$G$5,$H$5,$I$5,$E$6,$F$6,$G$6,$H$6,$I$6...</t>
  </si>
  <si>
    <t>fn_GetDaysSkiUsedCountBySeasonNameAndSkiName</t>
  </si>
  <si>
    <t>=LAMBDA(pSeasonName,pSkiName, LET( _functionName, N( "fn_GetDaysSkiUsedCountBySeasonNameAndSkiName" ), _comment, N( "Gets the count of days the specified ski was used during the specified season." ), _col, fn_GetTblSeasonDaysColSkiBySeasonName( pSeasonName ), _result, COUNTIF( _col, pSkiName ), _result ) )</t>
  </si>
  <si>
    <t>Gets the count of days the specified ski was used during the specified season.</t>
  </si>
  <si>
    <t>fn_GetTblSeasonDaysColSkiBySeasonName</t>
  </si>
  <si>
    <t>=LAMBDA(pSeasonName, LET( _functionName, N( "fn_GetTblSeasonDaysColSkiBySeasonName" ), _comment, N( "Gets the ski column from the Days table for the specified season." ), _result, SWITCH( LOWER( pSeasonName ), LOWER( "2025-2026" ), tbl_2025_2026_Days[Ski], LOWER( "2026-2027" ), tbl_2026_2027_Days[Ski], LOWER( "2027-2028" ), tbl_2027_2028_Days[Ski], LOWER( "2028-2029" ), tbl_2028_2029_Days[Ski], LOWER( "2029-2030" ), tbl_2028_2029_Days[Ski], c_NOT_FOUND ), _result ) )</t>
  </si>
  <si>
    <t>Gets the ski column from the Days table for the specified season.</t>
  </si>
  <si>
    <t>{=LAMBDA(pResortName,pSeasonName,LET(_functionName,N("fn_GetDaysSkiedCountByResortAndSeason"),_comment,N("Gets the count of days skied during the season specified by name at the resort specified by name."),_colResortName,fn_GetTblDaysColResortNameBySeason(pSeasonName),_prelimResult,COUNTIF(_colResortName,pResortName),_result,IFERROR(_prelimResult,""),_result))}</t>
  </si>
  <si>
    <t>{=LAMBDA(pSeasonName,pSkiName, LET( _functionName, N( "fn_GetDaysSkiUsedCountBySeasonNameAndSkiName" ), _comment, N( "Gets the count of days the specified ski was used during the specified season." ), _col, fn_GetTblSeasonDaysColSkiBySeasonName( pSeasonName ), _result, COUNTIF( _col, pSkiName ), _result ) )}</t>
  </si>
  <si>
    <t>Defined Names, Constants</t>
  </si>
  <si>
    <t>Monarch Mountain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</si>
</sst>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yy"/>
    <numFmt numFmtId="165" formatCode="ddd\,\ mm/dd/yyyy"/>
    <numFmt numFmtId="166" formatCode="_(* #,##0_);_(* \(#,##0\);_(* &quot;-&quot;??_);_(@_)"/>
  </numFmts>
  <fonts count="17" x14ac:knownFonts="1">
    <font>
      <sz val="11"/>
      <color theme="1"/>
      <name val="Aptos Narrow"/>
      <family val="2"/>
      <scheme val="minor"/>
    </font>
    <font>
      <b/>
      <sz val="11"/>
      <color theme="1"/>
      <name val="Aptos Narrow"/>
      <family val="2"/>
      <scheme val="minor"/>
    </font>
    <font>
      <sz val="10"/>
      <color theme="1"/>
      <name val="Cascadia Code"/>
      <family val="3"/>
    </font>
    <font>
      <b/>
      <sz val="12"/>
      <color theme="1"/>
      <name val="Aptos Narrow"/>
      <family val="2"/>
      <scheme val="minor"/>
    </font>
    <font>
      <b/>
      <sz val="14"/>
      <color theme="1"/>
      <name val="Aptos Narrow"/>
      <family val="2"/>
      <scheme val="minor"/>
    </font>
    <font>
      <b/>
      <sz val="10"/>
      <color theme="1"/>
      <name val="Aptos Narrow"/>
      <family val="2"/>
      <scheme val="minor"/>
    </font>
    <font>
      <sz val="11"/>
      <color theme="1"/>
      <name val="Aptos Narrow"/>
      <family val="2"/>
      <scheme val="minor"/>
    </font>
    <font>
      <sz val="8"/>
      <name val="Aptos Narrow"/>
      <family val="2"/>
      <scheme val="minor"/>
    </font>
    <font>
      <b/>
      <sz val="11"/>
      <color theme="0"/>
      <name val="Aptos Narrow"/>
      <family val="2"/>
      <scheme val="minor"/>
    </font>
    <font>
      <b/>
      <sz val="12"/>
      <color theme="1"/>
      <name val="Aptos Display"/>
      <family val="2"/>
      <scheme val="major"/>
    </font>
    <font>
      <sz val="11"/>
      <color rgb="FF000000"/>
      <name val="Aptos Narrow"/>
      <family val="2"/>
    </font>
    <font>
      <sz val="10"/>
      <color theme="1"/>
      <name val="Aptos Narrow"/>
      <family val="2"/>
      <scheme val="minor"/>
    </font>
    <font>
      <b/>
      <sz val="12"/>
      <color theme="1"/>
      <name val="Aptos Display"/>
      <family val="2"/>
    </font>
    <font>
      <b/>
      <sz val="10"/>
      <color rgb="FFFFFFFF"/>
      <name val="Aptos Narrow"/>
      <family val="2"/>
      <scheme val="minor"/>
    </font>
    <font>
      <b/>
      <sz val="12"/>
      <color theme="0"/>
      <name val="Aptos Narrow"/>
      <family val="2"/>
      <scheme val="minor"/>
    </font>
    <font>
      <b/>
      <sz val="10"/>
      <color theme="0"/>
      <name val="Aptos Narrow"/>
      <family val="2"/>
      <scheme val="minor"/>
    </font>
    <font>
      <sz val="11"/>
      <color theme="0"/>
      <name val="Aptos Narrow"/>
      <family val="2"/>
      <scheme val="minor"/>
    </font>
  </fonts>
  <fills count="6">
    <fill>
      <patternFill patternType="none"/>
    </fill>
    <fill>
      <patternFill patternType="gray125"/>
    </fill>
    <fill>
      <patternFill patternType="solid">
        <fgColor theme="7" tint="0.79998168889431442"/>
        <bgColor indexed="64"/>
      </patternFill>
    </fill>
    <fill>
      <patternFill patternType="solid">
        <fgColor rgb="FF156082"/>
        <bgColor indexed="64"/>
      </patternFill>
    </fill>
    <fill>
      <patternFill patternType="solid">
        <fgColor rgb="FFC0E6F5"/>
        <bgColor indexed="64"/>
      </patternFill>
    </fill>
    <fill>
      <patternFill patternType="solid">
        <fgColor theme="4"/>
        <bgColor theme="4"/>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right style="thin">
        <color indexed="64"/>
      </right>
      <top/>
      <bottom/>
      <diagonal/>
    </border>
    <border>
      <left style="thin">
        <color indexed="64"/>
      </left>
      <right/>
      <top/>
      <bottom/>
      <diagonal/>
    </border>
    <border>
      <left/>
      <right style="thin">
        <color indexed="64"/>
      </right>
      <top/>
      <bottom style="medium">
        <color indexed="64"/>
      </bottom>
      <diagonal/>
    </border>
    <border>
      <left/>
      <right/>
      <top/>
      <bottom style="medium">
        <color indexed="64"/>
      </bottom>
      <diagonal/>
    </border>
    <border>
      <left style="medium">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s>
  <cellStyleXfs count="2">
    <xf numFmtId="0" fontId="0" fillId="0" borderId="0"/>
    <xf numFmtId="43" fontId="6" fillId="0" borderId="0" applyFont="0" applyFill="0" applyBorder="0" applyAlignment="0" applyProtection="0"/>
  </cellStyleXfs>
  <cellXfs count="187">
    <xf numFmtId="0" fontId="0" fillId="0" borderId="0" xfId="0"/>
    <xf numFmtId="164" fontId="0" fillId="0" borderId="0" xfId="0" applyNumberFormat="1" applyAlignment="1">
      <alignment horizontal="center"/>
    </xf>
    <xf numFmtId="0" fontId="3" fillId="0" borderId="0" xfId="0" applyFont="1"/>
    <xf numFmtId="0" fontId="0" fillId="0" borderId="1" xfId="0" applyBorder="1"/>
    <xf numFmtId="0" fontId="0" fillId="0" borderId="5" xfId="0" applyBorder="1"/>
    <xf numFmtId="165" fontId="2" fillId="0" borderId="6" xfId="0" applyNumberFormat="1" applyFont="1" applyBorder="1" applyAlignment="1">
      <alignment horizontal="center"/>
    </xf>
    <xf numFmtId="0" fontId="0" fillId="0" borderId="6" xfId="0" applyBorder="1"/>
    <xf numFmtId="0" fontId="0" fillId="0" borderId="7" xfId="0" applyBorder="1"/>
    <xf numFmtId="0" fontId="1" fillId="0" borderId="0" xfId="0" applyFont="1"/>
    <xf numFmtId="0" fontId="4" fillId="0" borderId="0" xfId="0" applyFont="1"/>
    <xf numFmtId="0" fontId="0" fillId="0" borderId="9" xfId="0" applyBorder="1"/>
    <xf numFmtId="165" fontId="2" fillId="2" borderId="6" xfId="0" applyNumberFormat="1" applyFont="1" applyFill="1" applyBorder="1" applyAlignment="1" applyProtection="1">
      <alignment horizontal="center"/>
      <protection locked="0"/>
    </xf>
    <xf numFmtId="0" fontId="0" fillId="2" borderId="6" xfId="0" applyFill="1" applyBorder="1" applyProtection="1">
      <protection locked="0"/>
    </xf>
    <xf numFmtId="165" fontId="2" fillId="2" borderId="1" xfId="0" applyNumberFormat="1" applyFont="1" applyFill="1" applyBorder="1" applyAlignment="1" applyProtection="1">
      <alignment horizontal="center"/>
      <protection locked="0"/>
    </xf>
    <xf numFmtId="0" fontId="0" fillId="2" borderId="1" xfId="0" applyFill="1" applyBorder="1" applyProtection="1">
      <protection locked="0"/>
    </xf>
    <xf numFmtId="165" fontId="2" fillId="2" borderId="3" xfId="0" applyNumberFormat="1" applyFont="1" applyFill="1" applyBorder="1" applyAlignment="1" applyProtection="1">
      <alignment horizontal="center"/>
      <protection locked="0"/>
    </xf>
    <xf numFmtId="0" fontId="0" fillId="2" borderId="3" xfId="0" applyFill="1" applyBorder="1" applyProtection="1">
      <protection locked="0"/>
    </xf>
    <xf numFmtId="0" fontId="0" fillId="2" borderId="7" xfId="0" applyFill="1" applyBorder="1" applyProtection="1">
      <protection locked="0"/>
    </xf>
    <xf numFmtId="0" fontId="0" fillId="2" borderId="2" xfId="0" applyFill="1" applyBorder="1" applyProtection="1">
      <protection locked="0"/>
    </xf>
    <xf numFmtId="0" fontId="0" fillId="2" borderId="4" xfId="0" applyFill="1" applyBorder="1" applyProtection="1">
      <protection locked="0"/>
    </xf>
    <xf numFmtId="0" fontId="3" fillId="0" borderId="0" xfId="0" applyFont="1" applyAlignment="1">
      <alignment horizontal="center"/>
    </xf>
    <xf numFmtId="0" fontId="5" fillId="0" borderId="13" xfId="0" applyFont="1" applyBorder="1" applyAlignment="1">
      <alignment horizontal="center"/>
    </xf>
    <xf numFmtId="0" fontId="5" fillId="0" borderId="4"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xf>
    <xf numFmtId="0" fontId="0" fillId="0" borderId="12" xfId="0" applyBorder="1"/>
    <xf numFmtId="0" fontId="0" fillId="0" borderId="14" xfId="0" applyBorder="1"/>
    <xf numFmtId="0" fontId="0" fillId="0" borderId="3" xfId="0" applyBorder="1"/>
    <xf numFmtId="0" fontId="1" fillId="0" borderId="13" xfId="0" applyFont="1" applyBorder="1" applyAlignment="1">
      <alignment horizontal="center"/>
    </xf>
    <xf numFmtId="0" fontId="0" fillId="0" borderId="6" xfId="0" applyBorder="1" applyProtection="1">
      <protection locked="0"/>
    </xf>
    <xf numFmtId="165" fontId="2" fillId="0" borderId="1" xfId="0" applyNumberFormat="1" applyFont="1" applyBorder="1" applyAlignment="1" applyProtection="1">
      <alignment horizontal="center"/>
      <protection locked="0"/>
    </xf>
    <xf numFmtId="0" fontId="0" fillId="0" borderId="1" xfId="0" applyBorder="1" applyProtection="1">
      <protection locked="0"/>
    </xf>
    <xf numFmtId="0" fontId="0" fillId="0" borderId="5" xfId="0" applyBorder="1" applyProtection="1">
      <protection locked="0"/>
    </xf>
    <xf numFmtId="0" fontId="0" fillId="0" borderId="20" xfId="0" applyBorder="1" applyProtection="1">
      <protection locked="0"/>
    </xf>
    <xf numFmtId="0" fontId="0" fillId="0" borderId="24" xfId="0" applyBorder="1" applyProtection="1">
      <protection locked="0"/>
    </xf>
    <xf numFmtId="0" fontId="0" fillId="0" borderId="25" xfId="0" applyBorder="1" applyProtection="1">
      <protection locked="0"/>
    </xf>
    <xf numFmtId="0" fontId="1" fillId="0" borderId="21" xfId="0" applyFont="1" applyBorder="1" applyAlignment="1">
      <alignment horizontal="center"/>
    </xf>
    <xf numFmtId="0" fontId="0" fillId="0" borderId="8" xfId="0" applyBorder="1"/>
    <xf numFmtId="0" fontId="0" fillId="0" borderId="16" xfId="0" applyBorder="1"/>
    <xf numFmtId="0" fontId="0" fillId="0" borderId="13" xfId="0" applyBorder="1"/>
    <xf numFmtId="0" fontId="5" fillId="0" borderId="0" xfId="0" applyFont="1" applyAlignment="1">
      <alignment horizontal="center"/>
    </xf>
    <xf numFmtId="0" fontId="5" fillId="0" borderId="13" xfId="0" applyFont="1" applyBorder="1" applyAlignment="1">
      <alignment horizontal="center" wrapText="1"/>
    </xf>
    <xf numFmtId="0" fontId="5" fillId="0" borderId="4" xfId="0" applyFont="1" applyBorder="1" applyAlignment="1">
      <alignment horizontal="center" wrapText="1"/>
    </xf>
    <xf numFmtId="0" fontId="5" fillId="0" borderId="29" xfId="0" applyFont="1" applyBorder="1" applyAlignment="1">
      <alignment horizontal="center"/>
    </xf>
    <xf numFmtId="166" fontId="5" fillId="0" borderId="14" xfId="1" applyNumberFormat="1" applyFont="1" applyBorder="1" applyAlignment="1">
      <alignment horizontal="center"/>
    </xf>
    <xf numFmtId="166" fontId="5" fillId="0" borderId="15" xfId="1" applyNumberFormat="1" applyFont="1" applyBorder="1" applyAlignment="1">
      <alignment horizontal="center"/>
    </xf>
    <xf numFmtId="166" fontId="0" fillId="0" borderId="20" xfId="1" applyNumberFormat="1" applyFont="1" applyBorder="1" applyProtection="1">
      <protection locked="0"/>
    </xf>
    <xf numFmtId="0" fontId="0" fillId="0" borderId="28" xfId="0" applyBorder="1"/>
    <xf numFmtId="0" fontId="3" fillId="0" borderId="33" xfId="0" applyFont="1" applyBorder="1" applyAlignment="1">
      <alignment horizontal="center"/>
    </xf>
    <xf numFmtId="0" fontId="3" fillId="0" borderId="31" xfId="0" applyFont="1" applyBorder="1" applyAlignment="1">
      <alignment horizontal="center"/>
    </xf>
    <xf numFmtId="0" fontId="3" fillId="0" borderId="32" xfId="0" applyFont="1" applyBorder="1" applyAlignment="1">
      <alignment horizontal="center"/>
    </xf>
    <xf numFmtId="0" fontId="0" fillId="2" borderId="6" xfId="0" applyFill="1" applyBorder="1" applyProtection="1">
      <protection locked="0"/>
      <extLst>
        <ext xmlns:xfpb="http://schemas.microsoft.com/office/spreadsheetml/2022/featurepropertybag" uri="{C7286773-470A-42A8-94C5-96B5CB345126}">
          <xfpb:xfComplement i="0"/>
        </ext>
      </extLst>
    </xf>
    <xf numFmtId="0" fontId="0" fillId="2" borderId="9" xfId="0" applyFill="1" applyBorder="1" applyProtection="1">
      <protection locked="0"/>
      <extLst>
        <ext xmlns:xfpb="http://schemas.microsoft.com/office/spreadsheetml/2022/featurepropertybag" uri="{C7286773-470A-42A8-94C5-96B5CB345126}">
          <xfpb:xfComplement i="0"/>
        </ext>
      </extLst>
    </xf>
    <xf numFmtId="0" fontId="0" fillId="2" borderId="8" xfId="0" applyFill="1" applyBorder="1" applyProtection="1">
      <protection locked="0"/>
      <extLst>
        <ext xmlns:xfpb="http://schemas.microsoft.com/office/spreadsheetml/2022/featurepropertybag" uri="{C7286773-470A-42A8-94C5-96B5CB345126}">
          <xfpb:xfComplement i="0"/>
        </ext>
      </extLst>
    </xf>
    <xf numFmtId="0" fontId="0" fillId="2" borderId="10" xfId="0" applyFill="1" applyBorder="1" applyProtection="1">
      <protection locked="0"/>
      <extLst>
        <ext xmlns:xfpb="http://schemas.microsoft.com/office/spreadsheetml/2022/featurepropertybag" uri="{C7286773-470A-42A8-94C5-96B5CB345126}">
          <xfpb:xfComplement i="0"/>
        </ext>
      </extLst>
    </xf>
    <xf numFmtId="0" fontId="0" fillId="0" borderId="7" xfId="0" applyBorder="1" applyProtection="1">
      <protection locked="0"/>
      <extLst>
        <ext xmlns:xfpb="http://schemas.microsoft.com/office/spreadsheetml/2022/featurepropertybag" uri="{C7286773-470A-42A8-94C5-96B5CB345126}">
          <xfpb:xfComplement i="0"/>
        </ext>
      </extLst>
    </xf>
    <xf numFmtId="0" fontId="0" fillId="0" borderId="2" xfId="0" applyBorder="1" applyProtection="1">
      <protection locked="0"/>
      <extLst>
        <ext xmlns:xfpb="http://schemas.microsoft.com/office/spreadsheetml/2022/featurepropertybag" uri="{C7286773-470A-42A8-94C5-96B5CB345126}">
          <xfpb:xfComplement i="0"/>
        </ext>
      </extLst>
    </xf>
    <xf numFmtId="0" fontId="0" fillId="0" borderId="4" xfId="0" applyBorder="1" applyProtection="1">
      <protection locked="0"/>
      <extLst>
        <ext xmlns:xfpb="http://schemas.microsoft.com/office/spreadsheetml/2022/featurepropertybag" uri="{C7286773-470A-42A8-94C5-96B5CB345126}">
          <xfpb:xfComplement i="0"/>
        </ext>
      </extLst>
    </xf>
    <xf numFmtId="0" fontId="0" fillId="0" borderId="6" xfId="0" applyBorder="1" applyProtection="1">
      <protection locked="0"/>
      <extLst>
        <ext xmlns:xfpb="http://schemas.microsoft.com/office/spreadsheetml/2022/featurepropertybag" uri="{C7286773-470A-42A8-94C5-96B5CB345126}">
          <xfpb:xfComplement i="0"/>
        </ext>
      </extLst>
    </xf>
    <xf numFmtId="0" fontId="0" fillId="0" borderId="1" xfId="0" applyBorder="1" applyProtection="1">
      <protection locked="0"/>
      <extLst>
        <ext xmlns:xfpb="http://schemas.microsoft.com/office/spreadsheetml/2022/featurepropertybag" uri="{C7286773-470A-42A8-94C5-96B5CB345126}">
          <xfpb:xfComplement i="0"/>
        </ext>
      </extLst>
    </xf>
    <xf numFmtId="0" fontId="0" fillId="0" borderId="3" xfId="0" applyBorder="1" applyProtection="1">
      <protection locked="0"/>
      <extLst>
        <ext xmlns:xfpb="http://schemas.microsoft.com/office/spreadsheetml/2022/featurepropertybag" uri="{C7286773-470A-42A8-94C5-96B5CB345126}">
          <xfpb:xfComplement i="0"/>
        </ext>
      </extLst>
    </xf>
    <xf numFmtId="0" fontId="0" fillId="0" borderId="8" xfId="0" applyBorder="1" applyProtection="1">
      <protection locked="0"/>
      <extLst>
        <ext xmlns:xfpb="http://schemas.microsoft.com/office/spreadsheetml/2022/featurepropertybag" uri="{C7286773-470A-42A8-94C5-96B5CB345126}">
          <xfpb:xfComplement i="0"/>
        </ext>
      </extLst>
    </xf>
    <xf numFmtId="0" fontId="0" fillId="0" borderId="20" xfId="0" applyBorder="1" applyProtection="1">
      <protection locked="0"/>
      <extLst>
        <ext xmlns:xfpb="http://schemas.microsoft.com/office/spreadsheetml/2022/featurepropertybag" uri="{C7286773-470A-42A8-94C5-96B5CB345126}">
          <xfpb:xfComplement i="0"/>
        </ext>
      </extLst>
    </xf>
    <xf numFmtId="0" fontId="0" fillId="0" borderId="21" xfId="0" applyBorder="1" applyProtection="1">
      <protection locked="0"/>
      <extLst>
        <ext xmlns:xfpb="http://schemas.microsoft.com/office/spreadsheetml/2022/featurepropertybag" uri="{C7286773-470A-42A8-94C5-96B5CB345126}">
          <xfpb:xfComplement i="0"/>
        </ext>
      </extLst>
    </xf>
    <xf numFmtId="0" fontId="0" fillId="0" borderId="0" xfId="0" applyProtection="1">
      <protection locked="0"/>
      <extLst>
        <ext xmlns:xfpb="http://schemas.microsoft.com/office/spreadsheetml/2022/featurepropertybag" uri="{C7286773-470A-42A8-94C5-96B5CB345126}">
          <xfpb:xfComplement i="0"/>
        </ext>
      </extLst>
    </xf>
    <xf numFmtId="165" fontId="2" fillId="0" borderId="0" xfId="0" applyNumberFormat="1" applyFont="1" applyAlignment="1" applyProtection="1">
      <alignment horizontal="center"/>
      <protection locked="0"/>
    </xf>
    <xf numFmtId="0" fontId="0" fillId="0" borderId="0" xfId="0" applyProtection="1">
      <protection locked="0"/>
    </xf>
    <xf numFmtId="166" fontId="0" fillId="0" borderId="0" xfId="1" applyNumberFormat="1" applyFont="1" applyBorder="1" applyProtection="1">
      <protection locked="0"/>
    </xf>
    <xf numFmtId="0" fontId="1" fillId="0" borderId="0" xfId="0" applyFont="1" applyAlignment="1">
      <alignment horizontal="center"/>
    </xf>
    <xf numFmtId="0" fontId="1" fillId="0" borderId="0" xfId="0" applyFont="1" applyAlignment="1">
      <alignment horizontal="center" wrapText="1"/>
    </xf>
    <xf numFmtId="164" fontId="1" fillId="0" borderId="0" xfId="0" applyNumberFormat="1" applyFont="1" applyAlignment="1">
      <alignment horizontal="center" wrapText="1"/>
    </xf>
    <xf numFmtId="0" fontId="0" fillId="0" borderId="0" xfId="0" applyAlignment="1">
      <alignment wrapText="1"/>
    </xf>
    <xf numFmtId="0" fontId="1" fillId="0" borderId="0" xfId="0" applyFont="1" applyAlignment="1">
      <alignment horizontal="centerContinuous"/>
    </xf>
    <xf numFmtId="164" fontId="1" fillId="0" borderId="0" xfId="0" applyNumberFormat="1" applyFont="1" applyAlignment="1">
      <alignment horizontal="center"/>
    </xf>
    <xf numFmtId="0" fontId="1" fillId="0" borderId="0" xfId="0" applyFont="1" applyAlignment="1">
      <alignment horizontal="centerContinuous" wrapText="1"/>
    </xf>
    <xf numFmtId="166" fontId="5" fillId="0" borderId="0" xfId="1" applyNumberFormat="1" applyFont="1" applyBorder="1" applyAlignment="1" applyProtection="1">
      <alignment horizontal="center"/>
    </xf>
    <xf numFmtId="0" fontId="0" fillId="0" borderId="0" xfId="0" applyAlignment="1" applyProtection="1">
      <alignment wrapText="1"/>
      <protection locked="0"/>
    </xf>
    <xf numFmtId="166" fontId="0" fillId="0" borderId="0" xfId="1" applyNumberFormat="1" applyFont="1" applyProtection="1">
      <protection locked="0"/>
    </xf>
    <xf numFmtId="0" fontId="1" fillId="0" borderId="9" xfId="0" applyFont="1" applyBorder="1" applyAlignment="1">
      <alignment horizontal="center"/>
    </xf>
    <xf numFmtId="0" fontId="9" fillId="0" borderId="0" xfId="0" applyFont="1"/>
    <xf numFmtId="0" fontId="8" fillId="3" borderId="0" xfId="0" applyFont="1" applyFill="1" applyAlignment="1">
      <alignment horizontal="centerContinuous"/>
    </xf>
    <xf numFmtId="0" fontId="1" fillId="0" borderId="41" xfId="0" applyFont="1" applyBorder="1" applyAlignment="1">
      <alignment horizontal="center"/>
    </xf>
    <xf numFmtId="0" fontId="1" fillId="0" borderId="10" xfId="0" applyFont="1" applyBorder="1" applyAlignment="1">
      <alignment horizontal="center"/>
    </xf>
    <xf numFmtId="0" fontId="0" fillId="0" borderId="39" xfId="0" quotePrefix="1" applyBorder="1"/>
    <xf numFmtId="0" fontId="0" fillId="0" borderId="30" xfId="0" quotePrefix="1" applyBorder="1"/>
    <xf numFmtId="0" fontId="0" fillId="0" borderId="40" xfId="0" applyBorder="1"/>
    <xf numFmtId="0" fontId="11" fillId="0" borderId="0" xfId="0" applyFont="1"/>
    <xf numFmtId="0" fontId="12" fillId="0" borderId="0" xfId="0" applyFont="1"/>
    <xf numFmtId="0" fontId="5" fillId="0" borderId="0" xfId="0" applyFont="1"/>
    <xf numFmtId="0" fontId="11" fillId="0" borderId="0" xfId="0" quotePrefix="1" applyFont="1"/>
    <xf numFmtId="0" fontId="13" fillId="3" borderId="0" xfId="0" applyFont="1" applyFill="1" applyAlignment="1">
      <alignment horizontal="centerContinuous"/>
    </xf>
    <xf numFmtId="0" fontId="0" fillId="0" borderId="30" xfId="0" applyBorder="1"/>
    <xf numFmtId="166" fontId="14" fillId="3" borderId="11" xfId="1" applyNumberFormat="1" applyFont="1" applyFill="1" applyBorder="1" applyAlignment="1" applyProtection="1">
      <alignment horizontal="centerContinuous"/>
    </xf>
    <xf numFmtId="166" fontId="14" fillId="3" borderId="16" xfId="1" applyNumberFormat="1" applyFont="1" applyFill="1" applyBorder="1" applyAlignment="1" applyProtection="1">
      <alignment horizontal="left"/>
    </xf>
    <xf numFmtId="0" fontId="8" fillId="3" borderId="17" xfId="0" applyFont="1" applyFill="1" applyBorder="1" applyAlignment="1">
      <alignment horizontal="centerContinuous"/>
    </xf>
    <xf numFmtId="0" fontId="8" fillId="3" borderId="12" xfId="0" applyFont="1" applyFill="1" applyBorder="1" applyAlignment="1">
      <alignment horizontal="centerContinuous"/>
    </xf>
    <xf numFmtId="0" fontId="8" fillId="3" borderId="1" xfId="0" applyFont="1" applyFill="1" applyBorder="1" applyAlignment="1">
      <alignment horizontal="centerContinuous"/>
    </xf>
    <xf numFmtId="0" fontId="8" fillId="3" borderId="2" xfId="0" applyFont="1" applyFill="1" applyBorder="1" applyAlignment="1">
      <alignment horizontal="centerContinuous"/>
    </xf>
    <xf numFmtId="0" fontId="8" fillId="3" borderId="37" xfId="0" applyFont="1" applyFill="1" applyBorder="1" applyAlignment="1">
      <alignment horizontal="center" wrapText="1"/>
    </xf>
    <xf numFmtId="0" fontId="1" fillId="0" borderId="38" xfId="0" applyFont="1" applyBorder="1" applyAlignment="1">
      <alignment horizontal="center" wrapText="1"/>
    </xf>
    <xf numFmtId="0" fontId="1" fillId="4" borderId="13" xfId="0" applyFont="1" applyFill="1" applyBorder="1"/>
    <xf numFmtId="0" fontId="0" fillId="0" borderId="42" xfId="0" applyBorder="1"/>
    <xf numFmtId="0" fontId="0" fillId="0" borderId="42" xfId="0" applyBorder="1">
      <extLst>
        <ext xmlns:xfpb="http://schemas.microsoft.com/office/spreadsheetml/2022/featurepropertybag" uri="{C7286773-470A-42A8-94C5-96B5CB345126}">
          <xfpb:xfComplement i="0"/>
        </ext>
      </extLst>
    </xf>
    <xf numFmtId="0" fontId="0" fillId="0" borderId="36" xfId="0" applyBorder="1">
      <extLst>
        <ext xmlns:xfpb="http://schemas.microsoft.com/office/spreadsheetml/2022/featurepropertybag" uri="{C7286773-470A-42A8-94C5-96B5CB345126}">
          <xfpb:xfComplement i="0"/>
        </ext>
      </extLst>
    </xf>
    <xf numFmtId="166" fontId="14" fillId="3" borderId="37" xfId="1" applyNumberFormat="1" applyFont="1" applyFill="1" applyBorder="1" applyAlignment="1" applyProtection="1">
      <alignment horizontal="left"/>
    </xf>
    <xf numFmtId="0" fontId="8" fillId="3" borderId="38" xfId="0" applyFont="1" applyFill="1" applyBorder="1" applyAlignment="1">
      <alignment horizontal="centerContinuous"/>
    </xf>
    <xf numFmtId="0" fontId="1" fillId="0" borderId="1" xfId="0" applyFont="1" applyBorder="1" applyAlignment="1">
      <alignment horizontal="center" wrapText="1"/>
    </xf>
    <xf numFmtId="166" fontId="5" fillId="4" borderId="14" xfId="1" applyNumberFormat="1" applyFont="1" applyFill="1" applyBorder="1" applyAlignment="1" applyProtection="1">
      <alignment horizontal="center"/>
    </xf>
    <xf numFmtId="166" fontId="5" fillId="4" borderId="15" xfId="1" applyNumberFormat="1" applyFont="1" applyFill="1" applyBorder="1" applyAlignment="1" applyProtection="1">
      <alignment horizontal="center"/>
    </xf>
    <xf numFmtId="0" fontId="14" fillId="3" borderId="33" xfId="0" applyFont="1" applyFill="1" applyBorder="1" applyAlignment="1">
      <alignment horizontal="centerContinuous"/>
    </xf>
    <xf numFmtId="0" fontId="14" fillId="3" borderId="31" xfId="0" applyFont="1" applyFill="1" applyBorder="1" applyAlignment="1">
      <alignment horizontal="centerContinuous"/>
    </xf>
    <xf numFmtId="0" fontId="14" fillId="3" borderId="32" xfId="0" applyFont="1" applyFill="1" applyBorder="1" applyAlignment="1">
      <alignment horizontal="centerContinuous"/>
    </xf>
    <xf numFmtId="0" fontId="15" fillId="3" borderId="34" xfId="0" applyFont="1" applyFill="1" applyBorder="1" applyAlignment="1">
      <alignment horizontal="center" wrapText="1"/>
    </xf>
    <xf numFmtId="0" fontId="15" fillId="3" borderId="11" xfId="0" applyFont="1" applyFill="1" applyBorder="1" applyAlignment="1">
      <alignment horizontal="centerContinuous" wrapText="1"/>
    </xf>
    <xf numFmtId="0" fontId="15" fillId="3" borderId="12" xfId="0" applyFont="1" applyFill="1" applyBorder="1" applyAlignment="1">
      <alignment horizontal="centerContinuous" wrapText="1"/>
    </xf>
    <xf numFmtId="0" fontId="15" fillId="3" borderId="25" xfId="0" applyFont="1" applyFill="1" applyBorder="1" applyAlignment="1">
      <alignment horizontal="center" wrapText="1"/>
    </xf>
    <xf numFmtId="0" fontId="15" fillId="3" borderId="13" xfId="0" applyFont="1" applyFill="1" applyBorder="1" applyAlignment="1">
      <alignment horizontal="center"/>
    </xf>
    <xf numFmtId="0" fontId="15" fillId="3" borderId="4" xfId="0" applyFont="1" applyFill="1" applyBorder="1" applyAlignment="1">
      <alignment horizontal="center" wrapText="1"/>
    </xf>
    <xf numFmtId="0" fontId="15" fillId="3" borderId="13" xfId="0" applyFont="1" applyFill="1" applyBorder="1" applyAlignment="1">
      <alignment horizontal="center" wrapText="1"/>
    </xf>
    <xf numFmtId="0" fontId="5" fillId="4" borderId="29" xfId="0" applyFont="1" applyFill="1" applyBorder="1" applyAlignment="1">
      <alignment horizontal="center"/>
    </xf>
    <xf numFmtId="0" fontId="1" fillId="0" borderId="0" xfId="0" applyFont="1" applyAlignment="1">
      <alignment wrapText="1"/>
    </xf>
    <xf numFmtId="0" fontId="8" fillId="3" borderId="11" xfId="0" applyFont="1" applyFill="1" applyBorder="1" applyAlignment="1">
      <alignment horizontal="centerContinuous"/>
    </xf>
    <xf numFmtId="0" fontId="8" fillId="3" borderId="17" xfId="0" applyFont="1" applyFill="1" applyBorder="1" applyAlignment="1">
      <alignment horizontal="centerContinuous" wrapText="1"/>
    </xf>
    <xf numFmtId="0" fontId="16" fillId="3" borderId="17" xfId="0" applyFont="1" applyFill="1" applyBorder="1" applyAlignment="1">
      <alignment horizontal="centerContinuous"/>
    </xf>
    <xf numFmtId="0" fontId="8" fillId="3" borderId="16" xfId="0" applyFont="1" applyFill="1" applyBorder="1" applyAlignment="1">
      <alignment horizontal="centerContinuous" wrapText="1"/>
    </xf>
    <xf numFmtId="0" fontId="16" fillId="3" borderId="1" xfId="0" applyFont="1" applyFill="1" applyBorder="1" applyAlignment="1">
      <alignment horizontal="centerContinuous"/>
    </xf>
    <xf numFmtId="0" fontId="8" fillId="3" borderId="47" xfId="0" applyFont="1" applyFill="1" applyBorder="1" applyAlignment="1">
      <alignment horizontal="centerContinuous" wrapText="1"/>
    </xf>
    <xf numFmtId="0" fontId="16" fillId="3" borderId="45" xfId="0" applyFont="1" applyFill="1" applyBorder="1" applyAlignment="1">
      <alignment horizontal="centerContinuous"/>
    </xf>
    <xf numFmtId="0" fontId="8" fillId="3" borderId="43" xfId="0" applyFont="1" applyFill="1" applyBorder="1" applyAlignment="1">
      <alignment horizontal="centerContinuous" vertical="center"/>
    </xf>
    <xf numFmtId="0" fontId="8" fillId="3" borderId="46" xfId="0" applyFont="1" applyFill="1" applyBorder="1" applyAlignment="1">
      <alignment horizontal="centerContinuous" vertical="center"/>
    </xf>
    <xf numFmtId="0" fontId="1" fillId="0" borderId="44" xfId="0" applyFont="1" applyBorder="1" applyAlignment="1">
      <alignment horizontal="center" wrapText="1"/>
    </xf>
    <xf numFmtId="0" fontId="1" fillId="0" borderId="2" xfId="0" applyFont="1" applyBorder="1" applyAlignment="1">
      <alignment horizontal="center" wrapText="1"/>
    </xf>
    <xf numFmtId="0" fontId="8" fillId="3" borderId="35" xfId="0" applyFont="1" applyFill="1" applyBorder="1" applyAlignment="1">
      <alignment horizontal="centerContinuous" vertical="center"/>
    </xf>
    <xf numFmtId="0" fontId="8" fillId="3" borderId="41" xfId="0" applyFont="1" applyFill="1" applyBorder="1" applyAlignment="1">
      <alignment horizontal="centerContinuous" vertical="center"/>
    </xf>
    <xf numFmtId="0" fontId="0" fillId="0" borderId="48" xfId="0" applyBorder="1"/>
    <xf numFmtId="0" fontId="0" fillId="0" borderId="3" xfId="0" applyBorder="1">
      <extLst>
        <ext xmlns:xfpb="http://schemas.microsoft.com/office/spreadsheetml/2022/featurepropertybag" uri="{C7286773-470A-42A8-94C5-96B5CB345126}">
          <xfpb:xfComplement i="0"/>
        </ext>
      </extLst>
    </xf>
    <xf numFmtId="0" fontId="0" fillId="0" borderId="4" xfId="0" applyBorder="1">
      <extLst>
        <ext xmlns:xfpb="http://schemas.microsoft.com/office/spreadsheetml/2022/featurepropertybag" uri="{C7286773-470A-42A8-94C5-96B5CB345126}">
          <xfpb:xfComplement i="0"/>
        </ext>
      </extLst>
    </xf>
    <xf numFmtId="0" fontId="0" fillId="0" borderId="0" xfId="0">
      <extLst>
        <ext xmlns:xfpb="http://schemas.microsoft.com/office/spreadsheetml/2022/featurepropertybag" uri="{C7286773-470A-42A8-94C5-96B5CB345126}">
          <xfpb:xfComplement i="0"/>
        </ext>
      </extLst>
    </xf>
    <xf numFmtId="0" fontId="2" fillId="0" borderId="0" xfId="0" applyFont="1" applyAlignment="1">
      <alignment horizontal="center"/>
    </xf>
    <xf numFmtId="166" fontId="0" fillId="0" borderId="0" xfId="0" applyNumberFormat="1"/>
    <xf numFmtId="0" fontId="0" fillId="0" borderId="0" xfId="0" applyAlignment="1">
      <alignment horizontal="left"/>
    </xf>
    <xf numFmtId="0" fontId="0" fillId="0" borderId="0" xfId="0" applyAlignment="1">
      <alignment horizontal="center"/>
    </xf>
    <xf numFmtId="0" fontId="8" fillId="5" borderId="49" xfId="0" applyFont="1" applyFill="1" applyBorder="1" applyAlignment="1">
      <alignment horizontal="centerContinuous"/>
    </xf>
    <xf numFmtId="0" fontId="8" fillId="5" borderId="0" xfId="0" applyFont="1" applyFill="1" applyAlignment="1">
      <alignment horizontal="centerContinuous"/>
    </xf>
    <xf numFmtId="0" fontId="4" fillId="0" borderId="0" xfId="0" applyFont="1"/>
    <xf numFmtId="0" fontId="1" fillId="0" borderId="17" xfId="0" applyFont="1" applyBorder="1" applyAlignment="1">
      <alignment horizontal="center"/>
    </xf>
    <xf numFmtId="0" fontId="3" fillId="0" borderId="11" xfId="0" applyFont="1" applyBorder="1" applyAlignment="1">
      <alignment horizontal="center"/>
    </xf>
    <xf numFmtId="0" fontId="3" fillId="0" borderId="12" xfId="0" applyFont="1" applyBorder="1" applyAlignment="1">
      <alignment horizontal="center"/>
    </xf>
    <xf numFmtId="0" fontId="1" fillId="0" borderId="18" xfId="0" applyFont="1" applyBorder="1" applyAlignment="1">
      <alignment horizontal="center"/>
    </xf>
    <xf numFmtId="0" fontId="1" fillId="0" borderId="14" xfId="0" applyFont="1" applyBorder="1" applyAlignment="1">
      <alignment horizontal="center"/>
    </xf>
    <xf numFmtId="164" fontId="1" fillId="0" borderId="19" xfId="0" applyNumberFormat="1" applyFont="1" applyBorder="1" applyAlignment="1">
      <alignment horizontal="center"/>
    </xf>
    <xf numFmtId="164" fontId="1" fillId="0" borderId="9" xfId="0" applyNumberFormat="1" applyFont="1" applyBorder="1" applyAlignment="1">
      <alignment horizontal="center"/>
    </xf>
    <xf numFmtId="0" fontId="1" fillId="0" borderId="19" xfId="0" applyFont="1" applyBorder="1" applyAlignment="1">
      <alignment horizontal="center"/>
    </xf>
    <xf numFmtId="0" fontId="1" fillId="0" borderId="9" xfId="0" applyFont="1" applyBorder="1" applyAlignment="1">
      <alignment horizontal="center"/>
    </xf>
    <xf numFmtId="0" fontId="1" fillId="0" borderId="19" xfId="0" applyFont="1" applyBorder="1" applyAlignment="1">
      <alignment horizontal="center" wrapText="1"/>
    </xf>
    <xf numFmtId="0" fontId="1" fillId="0" borderId="9" xfId="0" applyFont="1" applyBorder="1" applyAlignment="1">
      <alignment horizontal="center" wrapText="1"/>
    </xf>
    <xf numFmtId="0" fontId="4" fillId="0" borderId="0" xfId="0" applyFont="1" applyAlignment="1">
      <alignment horizontal="left"/>
    </xf>
    <xf numFmtId="0" fontId="1" fillId="0" borderId="22" xfId="0" applyFont="1" applyBorder="1" applyAlignment="1">
      <alignment horizontal="center"/>
    </xf>
    <xf numFmtId="0" fontId="1" fillId="0" borderId="11" xfId="0" applyFont="1" applyBorder="1" applyAlignment="1">
      <alignment horizontal="center"/>
    </xf>
    <xf numFmtId="0" fontId="1" fillId="0" borderId="16" xfId="0" applyFont="1" applyBorder="1" applyAlignment="1">
      <alignment horizontal="center"/>
    </xf>
    <xf numFmtId="0" fontId="1" fillId="0" borderId="13" xfId="0" applyFont="1" applyBorder="1" applyAlignment="1">
      <alignment horizontal="center"/>
    </xf>
    <xf numFmtId="164" fontId="1" fillId="0" borderId="17" xfId="0" applyNumberFormat="1" applyFont="1" applyBorder="1" applyAlignment="1">
      <alignment horizontal="center"/>
    </xf>
    <xf numFmtId="164" fontId="1" fillId="0" borderId="1" xfId="0" applyNumberFormat="1" applyFont="1" applyBorder="1" applyAlignment="1">
      <alignment horizontal="center"/>
    </xf>
    <xf numFmtId="164" fontId="1" fillId="0" borderId="3" xfId="0" applyNumberFormat="1" applyFont="1" applyBorder="1" applyAlignment="1">
      <alignment horizontal="center"/>
    </xf>
    <xf numFmtId="0" fontId="1" fillId="0" borderId="1" xfId="0" applyFont="1" applyBorder="1" applyAlignment="1">
      <alignment horizontal="center"/>
    </xf>
    <xf numFmtId="0" fontId="1" fillId="0" borderId="3" xfId="0" applyFont="1" applyBorder="1" applyAlignment="1">
      <alignment horizontal="center"/>
    </xf>
    <xf numFmtId="0" fontId="1" fillId="0" borderId="17" xfId="0" applyFont="1" applyBorder="1" applyAlignment="1">
      <alignment horizontal="center" wrapText="1"/>
    </xf>
    <xf numFmtId="0" fontId="1" fillId="0" borderId="1" xfId="0" applyFont="1" applyBorder="1" applyAlignment="1">
      <alignment horizontal="center" wrapText="1"/>
    </xf>
    <xf numFmtId="0" fontId="1" fillId="0" borderId="3" xfId="0" applyFont="1" applyBorder="1" applyAlignment="1">
      <alignment horizontal="center" wrapText="1"/>
    </xf>
    <xf numFmtId="0" fontId="1" fillId="0" borderId="20" xfId="0" applyFont="1" applyBorder="1" applyAlignment="1">
      <alignment horizontal="center" wrapText="1"/>
    </xf>
    <xf numFmtId="0" fontId="1" fillId="0" borderId="21" xfId="0" applyFont="1" applyBorder="1" applyAlignment="1">
      <alignment horizontal="center" wrapText="1"/>
    </xf>
    <xf numFmtId="0" fontId="1" fillId="0" borderId="2" xfId="0" applyFont="1" applyBorder="1" applyAlignment="1">
      <alignment horizontal="center"/>
    </xf>
    <xf numFmtId="0" fontId="1" fillId="0" borderId="20" xfId="0" applyFont="1" applyBorder="1" applyAlignment="1">
      <alignment horizontal="center"/>
    </xf>
    <xf numFmtId="0" fontId="1" fillId="0" borderId="23" xfId="0" applyFont="1" applyBorder="1" applyAlignment="1">
      <alignment horizontal="center"/>
    </xf>
    <xf numFmtId="0" fontId="1" fillId="0" borderId="30" xfId="0" applyFont="1" applyBorder="1" applyAlignment="1">
      <alignment horizontal="center" wrapText="1"/>
    </xf>
    <xf numFmtId="0" fontId="5" fillId="0" borderId="34" xfId="0" applyFont="1" applyBorder="1" applyAlignment="1">
      <alignment horizontal="center" wrapText="1"/>
    </xf>
    <xf numFmtId="0" fontId="5" fillId="0" borderId="25" xfId="0" applyFont="1" applyBorder="1" applyAlignment="1">
      <alignment horizontal="center" wrapText="1"/>
    </xf>
    <xf numFmtId="0" fontId="5" fillId="0" borderId="11" xfId="0" applyFont="1" applyBorder="1" applyAlignment="1">
      <alignment horizontal="center" wrapText="1"/>
    </xf>
    <xf numFmtId="0" fontId="5" fillId="0" borderId="12" xfId="0" applyFont="1" applyBorder="1" applyAlignment="1">
      <alignment horizontal="center" wrapText="1"/>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12" xfId="0" applyFont="1" applyBorder="1" applyAlignment="1">
      <alignment horizontal="center"/>
    </xf>
    <xf numFmtId="0" fontId="5" fillId="0" borderId="0" xfId="0" applyFont="1" applyAlignment="1">
      <alignment horizontal="center"/>
    </xf>
    <xf numFmtId="0" fontId="8" fillId="3" borderId="0" xfId="0" applyFont="1" applyFill="1" applyAlignment="1">
      <alignment horizontal="center"/>
    </xf>
  </cellXfs>
  <cellStyles count="2">
    <cellStyle name="Comma" xfId="1" builtinId="3"/>
    <cellStyle name="Normal" xfId="0" builtinId="0"/>
  </cellStyles>
  <dxfs count="362">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b/>
        <i val="0"/>
        <strike val="0"/>
        <condense val="0"/>
        <extend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b/>
        <i val="0"/>
        <strike val="0"/>
        <condense val="0"/>
        <extend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b/>
        <i val="0"/>
        <strike val="0"/>
        <condense val="0"/>
        <extend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b/>
        <i val="0"/>
        <strike val="0"/>
        <condense val="0"/>
        <extend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b/>
        <i val="0"/>
        <strike val="0"/>
        <condense val="0"/>
        <extend val="0"/>
        <outline val="0"/>
        <shadow val="0"/>
        <u val="none"/>
        <vertAlign val="baseline"/>
        <sz val="10"/>
        <color theme="1"/>
        <name val="Aptos Narrow"/>
        <family val="2"/>
        <scheme val="minor"/>
      </font>
    </dxf>
    <dxf>
      <border diagonalUp="0" diagonalDown="0">
        <left style="thin">
          <color indexed="64"/>
        </left>
        <right/>
        <top/>
        <bottom/>
        <vertical/>
        <horizontal/>
      </border>
    </dxf>
    <dxf>
      <border diagonalUp="0" diagonalDown="0">
        <left style="thin">
          <color indexed="64"/>
        </left>
        <right style="thin">
          <color indexed="64"/>
        </right>
        <top/>
        <bottom/>
        <vertical/>
        <horizontal/>
      </border>
    </dxf>
    <dxf>
      <border diagonalUp="0" diagonalDown="0">
        <left/>
        <right style="thin">
          <color indexed="64"/>
        </right>
        <top/>
        <bottom/>
        <vertical/>
        <horizontal/>
      </border>
    </dxf>
    <dxf>
      <border outline="0">
        <left style="medium">
          <color indexed="64"/>
        </left>
        <right style="medium">
          <color indexed="64"/>
        </right>
        <top style="medium">
          <color indexed="64"/>
        </top>
        <bottom style="medium">
          <color indexed="64"/>
        </bottom>
      </border>
    </dxf>
    <dxf>
      <border outline="0">
        <bottom style="medium">
          <color indexed="64"/>
        </bottom>
      </border>
    </dxf>
    <dxf>
      <font>
        <b/>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protection locked="1" hidden="0"/>
    </dxf>
    <dxf>
      <protection locked="1" hidden="0"/>
    </dxf>
    <dxf>
      <numFmt numFmtId="0" formatCode="General"/>
      <protection locked="1" hidden="0"/>
    </dxf>
    <dxf>
      <protection locked="1" hidden="0"/>
    </dxf>
    <dxf>
      <alignment horizontal="left" vertical="bottom" textRotation="0" wrapText="0" indent="0" justifyLastLine="0" shrinkToFit="0" readingOrder="0"/>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protection locked="1" hidden="0"/>
    </dxf>
    <dxf>
      <protection locked="1" hidden="0"/>
    </dxf>
    <dxf>
      <protection locked="1" hidden="0"/>
    </dxf>
    <dxf>
      <alignment horizontal="center" vertical="bottom" textRotation="0" wrapText="0" indent="0" justifyLastLine="0" shrinkToFit="0" readingOrder="0"/>
      <protection locked="1" hidden="0"/>
    </dxf>
    <dxf>
      <border diagonalUp="0" diagonalDown="0">
        <left style="thin">
          <color indexed="64"/>
        </left>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outline="0">
        <left style="medium">
          <color indexed="64"/>
        </left>
        <right style="medium">
          <color indexed="64"/>
        </right>
        <top style="thin">
          <color indexed="64"/>
        </top>
        <bottom style="medium">
          <color indexed="64"/>
        </bottom>
      </border>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protection locked="0"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1"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dxf>
    <dxf>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0" formatCode="General"/>
      <protection locked="1" hidden="0"/>
    </dxf>
    <dxf>
      <protection locked="0" hidden="0"/>
    </dxf>
    <dxf>
      <font>
        <b val="0"/>
        <i val="0"/>
        <strike val="0"/>
        <condense val="0"/>
        <extend val="0"/>
        <outline val="0"/>
        <shadow val="0"/>
        <u val="none"/>
        <vertAlign val="baseline"/>
        <sz val="10"/>
        <color theme="1"/>
        <name val="Cascadia Code"/>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Cascadia Code"/>
        <family val="3"/>
        <scheme val="none"/>
      </font>
      <numFmt numFmtId="165" formatCode="ddd\,\ mm/dd/yyyy"/>
      <alignment horizontal="center" vertical="bottom" textRotation="0" wrapText="0" indent="0" justifyLastLine="0" shrinkToFit="0" readingOrder="0"/>
      <protection locked="0" hidden="0"/>
    </dxf>
    <dxf>
      <numFmt numFmtId="0" formatCode="General"/>
      <protection locked="1" hidden="0"/>
    </dxf>
    <dxf>
      <protection locked="1" hidden="0"/>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protection locked="1" hidden="0"/>
    </dxf>
    <dxf>
      <border diagonalUp="0" diagonalDown="0">
        <left style="thin">
          <color indexed="64"/>
        </left>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outline="0">
        <left style="medium">
          <color indexed="64"/>
        </left>
        <right style="medium">
          <color indexed="64"/>
        </right>
        <top style="thin">
          <color indexed="64"/>
        </top>
        <bottom style="medium">
          <color indexed="64"/>
        </bottom>
      </border>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protection locked="0"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1"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dxf>
    <dxf>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0" formatCode="General"/>
      <protection locked="1" hidden="0"/>
    </dxf>
    <dxf>
      <protection locked="0" hidden="0"/>
    </dxf>
    <dxf>
      <font>
        <b val="0"/>
        <i val="0"/>
        <strike val="0"/>
        <condense val="0"/>
        <extend val="0"/>
        <outline val="0"/>
        <shadow val="0"/>
        <u val="none"/>
        <vertAlign val="baseline"/>
        <sz val="10"/>
        <color theme="1"/>
        <name val="Cascadia Code"/>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Cascadia Code"/>
        <family val="3"/>
        <scheme val="none"/>
      </font>
      <numFmt numFmtId="165" formatCode="ddd\,\ mm/dd/yyyy"/>
      <alignment horizontal="center" vertical="bottom" textRotation="0" wrapText="0" indent="0" justifyLastLine="0" shrinkToFit="0" readingOrder="0"/>
      <protection locked="0" hidden="0"/>
    </dxf>
    <dxf>
      <numFmt numFmtId="0" formatCode="General"/>
      <protection locked="1" hidden="0"/>
    </dxf>
    <dxf>
      <protection locked="1" hidden="0"/>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protection locked="1" hidden="0"/>
    </dxf>
    <dxf>
      <border diagonalUp="0" diagonalDown="0">
        <left style="thin">
          <color indexed="64"/>
        </left>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outline="0">
        <left style="medium">
          <color indexed="64"/>
        </left>
        <right style="medium">
          <color indexed="64"/>
        </right>
        <top style="thin">
          <color indexed="64"/>
        </top>
        <bottom style="medium">
          <color indexed="64"/>
        </bottom>
      </border>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protection locked="0"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1"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dxf>
    <dxf>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0" formatCode="General"/>
      <protection locked="1" hidden="0"/>
    </dxf>
    <dxf>
      <protection locked="0" hidden="0"/>
    </dxf>
    <dxf>
      <font>
        <b val="0"/>
        <i val="0"/>
        <strike val="0"/>
        <condense val="0"/>
        <extend val="0"/>
        <outline val="0"/>
        <shadow val="0"/>
        <u val="none"/>
        <vertAlign val="baseline"/>
        <sz val="10"/>
        <color theme="1"/>
        <name val="Cascadia Code"/>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Cascadia Code"/>
        <family val="3"/>
        <scheme val="none"/>
      </font>
      <numFmt numFmtId="165" formatCode="ddd\,\ mm/dd/yyyy"/>
      <alignment horizontal="center" vertical="bottom" textRotation="0" wrapText="0" indent="0" justifyLastLine="0" shrinkToFit="0" readingOrder="0"/>
      <protection locked="0" hidden="0"/>
    </dxf>
    <dxf>
      <numFmt numFmtId="0" formatCode="General"/>
      <protection locked="1" hidden="0"/>
    </dxf>
    <dxf>
      <protection locked="1" hidden="0"/>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protection locked="1" hidden="0"/>
    </dxf>
    <dxf>
      <border diagonalUp="0" diagonalDown="0">
        <left style="thin">
          <color indexed="64"/>
        </left>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outline="0">
        <left style="medium">
          <color indexed="64"/>
        </left>
        <right style="medium">
          <color indexed="64"/>
        </right>
        <top style="thin">
          <color indexed="64"/>
        </top>
        <bottom style="medium">
          <color indexed="64"/>
        </bottom>
      </border>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protection locked="0"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1"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dxf>
    <dxf>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0" formatCode="General"/>
      <protection locked="1" hidden="0"/>
    </dxf>
    <dxf>
      <protection locked="0" hidden="0"/>
    </dxf>
    <dxf>
      <font>
        <b val="0"/>
        <i val="0"/>
        <strike val="0"/>
        <condense val="0"/>
        <extend val="0"/>
        <outline val="0"/>
        <shadow val="0"/>
        <u val="none"/>
        <vertAlign val="baseline"/>
        <sz val="10"/>
        <color theme="1"/>
        <name val="Cascadia Code"/>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Cascadia Code"/>
        <family val="3"/>
        <scheme val="none"/>
      </font>
      <numFmt numFmtId="165" formatCode="ddd\,\ mm/dd/yyyy"/>
      <alignment horizontal="center" vertical="bottom" textRotation="0" wrapText="0" indent="0" justifyLastLine="0" shrinkToFit="0" readingOrder="0"/>
      <protection locked="0" hidden="0"/>
    </dxf>
    <dxf>
      <numFmt numFmtId="0" formatCode="General"/>
      <protection locked="1" hidden="0"/>
    </dxf>
    <dxf>
      <protection locked="1" hidden="0"/>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protection locked="1" hidden="0"/>
    </dxf>
    <dxf>
      <border diagonalUp="0" diagonalDown="0">
        <left style="thin">
          <color indexed="64"/>
        </left>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outline="0">
        <left style="medium">
          <color indexed="64"/>
        </left>
        <right style="medium">
          <color indexed="64"/>
        </right>
        <top style="thin">
          <color indexed="64"/>
        </top>
        <bottom style="medium">
          <color indexed="64"/>
        </bottom>
      </border>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protection locked="0"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1"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dxf>
    <dxf>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0" formatCode="General"/>
      <protection locked="1" hidden="0"/>
    </dxf>
    <dxf>
      <protection locked="0" hidden="0"/>
    </dxf>
    <dxf>
      <font>
        <b val="0"/>
        <i val="0"/>
        <strike val="0"/>
        <condense val="0"/>
        <extend val="0"/>
        <outline val="0"/>
        <shadow val="0"/>
        <u val="none"/>
        <vertAlign val="baseline"/>
        <sz val="10"/>
        <color theme="1"/>
        <name val="Cascadia Code"/>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Cascadia Code"/>
        <family val="3"/>
        <scheme val="none"/>
      </font>
      <numFmt numFmtId="165" formatCode="ddd\,\ mm/dd/yyyy"/>
      <alignment horizontal="center" vertical="bottom" textRotation="0" wrapText="0" indent="0" justifyLastLine="0" shrinkToFit="0" readingOrder="0"/>
      <protection locked="0" hidden="0"/>
    </dxf>
    <dxf>
      <numFmt numFmtId="0" formatCode="General"/>
      <protection locked="1" hidden="0"/>
    </dxf>
    <dxf>
      <protection locked="1" hidden="0"/>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border outline="0">
        <left style="medium">
          <color indexed="64"/>
        </left>
        <right style="medium">
          <color indexed="64"/>
        </right>
        <top style="thin">
          <color indexed="64"/>
        </top>
        <bottom style="medium">
          <color indexed="64"/>
        </bottom>
      </border>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border diagonalUp="0" diagonalDown="0">
        <left style="thin">
          <color indexed="64"/>
        </left>
        <right style="thin">
          <color indexed="64"/>
        </right>
        <top/>
        <bottom/>
      </border>
      <protection locked="1" hidden="0"/>
    </dxf>
    <dxf>
      <fill>
        <patternFill>
          <bgColor theme="5" tint="0.79998168889431442"/>
        </patternFill>
      </fill>
    </dxf>
  </dxfs>
  <tableStyles count="0" defaultTableStyle="TableStyleMedium2" defaultPivotStyle="PivotStyleLight16"/>
  <colors>
    <mruColors>
      <color rgb="FF156082"/>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22/11/relationships/FeaturePropertyBag" Target="featurePropertyBag/featurePropertyBag.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596900</xdr:colOff>
          <xdr:row>2</xdr:row>
          <xdr:rowOff>133350</xdr:rowOff>
        </xdr:from>
        <xdr:to>
          <xdr:col>5</xdr:col>
          <xdr:colOff>292100</xdr:colOff>
          <xdr:row>3</xdr:row>
          <xdr:rowOff>171450</xdr:rowOff>
        </xdr:to>
        <xdr:sp macro="" textlink="">
          <xdr:nvSpPr>
            <xdr:cNvPr id="9218" name="Button 2" descr="Protect All Worksheets and Chartsheets" hidden="1">
              <a:extLst>
                <a:ext uri="{63B3BB69-23CF-44E3-9099-C40C66FF867C}">
                  <a14:compatExt spid="_x0000_s9218"/>
                </a:ext>
                <a:ext uri="{FF2B5EF4-FFF2-40B4-BE49-F238E27FC236}">
                  <a16:creationId xmlns:a16="http://schemas.microsoft.com/office/drawing/2014/main" id="{00000000-0008-0000-0B00-00000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Protect All Worksheets and Chartsheets</a:t>
              </a:r>
            </a:p>
            <a:p>
              <a:pPr algn="ctr" rtl="0">
                <a:defRPr sz="1000"/>
              </a:pPr>
              <a:r>
                <a:rPr lang="en-US" sz="1100" b="0" i="0" u="none" strike="noStrike" baseline="0">
                  <a:solidFill>
                    <a:srgbClr val="000000"/>
                  </a:solidFill>
                  <a:latin typeface="Aptos Narrow"/>
                </a:rPr>
                <a:t>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152400</xdr:rowOff>
        </xdr:from>
        <xdr:to>
          <xdr:col>5</xdr:col>
          <xdr:colOff>304800</xdr:colOff>
          <xdr:row>6</xdr:row>
          <xdr:rowOff>6350</xdr:rowOff>
        </xdr:to>
        <xdr:sp macro="" textlink="">
          <xdr:nvSpPr>
            <xdr:cNvPr id="9219" name="Button 3" descr="Unprotect All Worksheets and Chartsheets"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Unprotect All Worksheets and Chartsheets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749300</xdr:colOff>
          <xdr:row>0</xdr:row>
          <xdr:rowOff>63500</xdr:rowOff>
        </xdr:from>
        <xdr:to>
          <xdr:col>7</xdr:col>
          <xdr:colOff>628650</xdr:colOff>
          <xdr:row>1</xdr:row>
          <xdr:rowOff>114300</xdr:rowOff>
        </xdr:to>
        <xdr:sp macro="" textlink="">
          <xdr:nvSpPr>
            <xdr:cNvPr id="21505" name="btnUpsertDvAllRpt" hidden="1">
              <a:extLst>
                <a:ext uri="{63B3BB69-23CF-44E3-9099-C40C66FF867C}">
                  <a14:compatExt spid="_x0000_s21505"/>
                </a:ext>
                <a:ext uri="{FF2B5EF4-FFF2-40B4-BE49-F238E27FC236}">
                  <a16:creationId xmlns:a16="http://schemas.microsoft.com/office/drawing/2014/main" id="{00000000-0008-0000-0C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2266950</xdr:colOff>
          <xdr:row>0</xdr:row>
          <xdr:rowOff>63500</xdr:rowOff>
        </xdr:from>
        <xdr:to>
          <xdr:col>3</xdr:col>
          <xdr:colOff>3282950</xdr:colOff>
          <xdr:row>1</xdr:row>
          <xdr:rowOff>114300</xdr:rowOff>
        </xdr:to>
        <xdr:sp macro="" textlink="">
          <xdr:nvSpPr>
            <xdr:cNvPr id="22529" name="btnUpsertDvByFormulaRpt" hidden="1">
              <a:extLst>
                <a:ext uri="{63B3BB69-23CF-44E3-9099-C40C66FF867C}">
                  <a14:compatExt spid="_x0000_s22529"/>
                </a:ext>
                <a:ext uri="{FF2B5EF4-FFF2-40B4-BE49-F238E27FC236}">
                  <a16:creationId xmlns:a16="http://schemas.microsoft.com/office/drawing/2014/main" id="{00000000-0008-0000-0D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1104900</xdr:colOff>
          <xdr:row>0</xdr:row>
          <xdr:rowOff>63500</xdr:rowOff>
        </xdr:from>
        <xdr:to>
          <xdr:col>5</xdr:col>
          <xdr:colOff>285750</xdr:colOff>
          <xdr:row>1</xdr:row>
          <xdr:rowOff>114300</xdr:rowOff>
        </xdr:to>
        <xdr:sp macro="" textlink="">
          <xdr:nvSpPr>
            <xdr:cNvPr id="23553" name="btnRunUpsrtTblsWsWsRptSlowVrbs"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Complete Update (slow)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603250</xdr:colOff>
          <xdr:row>0</xdr:row>
          <xdr:rowOff>63500</xdr:rowOff>
        </xdr:from>
        <xdr:to>
          <xdr:col>9</xdr:col>
          <xdr:colOff>69850</xdr:colOff>
          <xdr:row>1</xdr:row>
          <xdr:rowOff>114300</xdr:rowOff>
        </xdr:to>
        <xdr:sp macro="" textlink="">
          <xdr:nvSpPr>
            <xdr:cNvPr id="23554" name="btnRunUpsrtTblsWsWsRptFastVrbs" hidden="1">
              <a:extLst>
                <a:ext uri="{63B3BB69-23CF-44E3-9099-C40C66FF867C}">
                  <a14:compatExt spid="_x0000_s23554"/>
                </a:ext>
                <a:ext uri="{FF2B5EF4-FFF2-40B4-BE49-F238E27FC236}">
                  <a16:creationId xmlns:a16="http://schemas.microsoft.com/office/drawing/2014/main" id="{00000000-0008-0000-0E00-000002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Fast Update (No references)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298450</xdr:colOff>
          <xdr:row>0</xdr:row>
          <xdr:rowOff>63500</xdr:rowOff>
        </xdr:from>
        <xdr:to>
          <xdr:col>6</xdr:col>
          <xdr:colOff>450850</xdr:colOff>
          <xdr:row>1</xdr:row>
          <xdr:rowOff>114300</xdr:rowOff>
        </xdr:to>
        <xdr:sp macro="" textlink="">
          <xdr:nvSpPr>
            <xdr:cNvPr id="24577" name="btnRunUpsrtDfNmsWsRptSlowVrbs" hidden="1">
              <a:extLst>
                <a:ext uri="{63B3BB69-23CF-44E3-9099-C40C66FF867C}">
                  <a14:compatExt spid="_x0000_s24577"/>
                </a:ext>
                <a:ext uri="{FF2B5EF4-FFF2-40B4-BE49-F238E27FC236}">
                  <a16:creationId xmlns:a16="http://schemas.microsoft.com/office/drawing/2014/main" id="{00000000-0008-0000-0F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Complete Update (slow)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158750</xdr:colOff>
          <xdr:row>0</xdr:row>
          <xdr:rowOff>63500</xdr:rowOff>
        </xdr:from>
        <xdr:to>
          <xdr:col>10</xdr:col>
          <xdr:colOff>50800</xdr:colOff>
          <xdr:row>1</xdr:row>
          <xdr:rowOff>114300</xdr:rowOff>
        </xdr:to>
        <xdr:sp macro="" textlink="">
          <xdr:nvSpPr>
            <xdr:cNvPr id="24578" name="btnRunUpsrtDfNmsWsRptFastVrbs" hidden="1">
              <a:extLst>
                <a:ext uri="{63B3BB69-23CF-44E3-9099-C40C66FF867C}">
                  <a14:compatExt spid="_x0000_s24578"/>
                </a:ext>
                <a:ext uri="{FF2B5EF4-FFF2-40B4-BE49-F238E27FC236}">
                  <a16:creationId xmlns:a16="http://schemas.microsoft.com/office/drawing/2014/main" id="{00000000-0008-0000-0F00-000002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Fast Update (No references)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939800</xdr:colOff>
          <xdr:row>0</xdr:row>
          <xdr:rowOff>63500</xdr:rowOff>
        </xdr:from>
        <xdr:to>
          <xdr:col>4</xdr:col>
          <xdr:colOff>203200</xdr:colOff>
          <xdr:row>1</xdr:row>
          <xdr:rowOff>114300</xdr:rowOff>
        </xdr:to>
        <xdr:sp macro="" textlink="">
          <xdr:nvSpPr>
            <xdr:cNvPr id="25601" name="btnUpsrtDfNmsAllRfsRptSlow" hidden="1">
              <a:extLst>
                <a:ext uri="{63B3BB69-23CF-44E3-9099-C40C66FF867C}">
                  <a14:compatExt spid="_x0000_s25601"/>
                </a:ext>
                <a:ext uri="{FF2B5EF4-FFF2-40B4-BE49-F238E27FC236}">
                  <a16:creationId xmlns:a16="http://schemas.microsoft.com/office/drawing/2014/main" id="{00000000-0008-0000-10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Complete Update (slow)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520700</xdr:colOff>
          <xdr:row>0</xdr:row>
          <xdr:rowOff>63500</xdr:rowOff>
        </xdr:from>
        <xdr:to>
          <xdr:col>6</xdr:col>
          <xdr:colOff>876300</xdr:colOff>
          <xdr:row>1</xdr:row>
          <xdr:rowOff>114300</xdr:rowOff>
        </xdr:to>
        <xdr:sp macro="" textlink="">
          <xdr:nvSpPr>
            <xdr:cNvPr id="25602" name="btnUpsrtDfNmsAllRfsRptFast" hidden="1">
              <a:extLst>
                <a:ext uri="{63B3BB69-23CF-44E3-9099-C40C66FF867C}">
                  <a14:compatExt spid="_x0000_s25602"/>
                </a:ext>
                <a:ext uri="{FF2B5EF4-FFF2-40B4-BE49-F238E27FC236}">
                  <a16:creationId xmlns:a16="http://schemas.microsoft.com/office/drawing/2014/main" id="{00000000-0008-0000-1000-000002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Fast Update (Sources Not Updated)</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030A4B7-4FE1-438E-8E0E-EE4EF6709873}" name="tbl_2024_2025_EOS" displayName="tbl_2024_2025_EOS" ref="H120:Y121" totalsRowShown="0" headerRowDxfId="360" dataDxfId="359" tableBorderDxfId="358">
  <autoFilter ref="H120:Y121" xr:uid="{3030A4B7-4FE1-438E-8E0E-EE4EF67098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F72B599C-3C6A-4E03-A38A-935DD2F9092E}" name="1W_Days" dataDxfId="357">
      <calculatedColumnFormula array="1">fn_GET_LAST_VAL_IN_COL(H$14:H$113,TRUE)</calculatedColumnFormula>
    </tableColumn>
    <tableColumn id="2" xr3:uid="{597DA37A-6044-47FD-BEA2-DB332092AF3C}" name="1W_Done" dataDxfId="356">
      <calculatedColumnFormula array="1">INDEX(I$14:I$113,fn_GET_LAST_IDX_IN_COL($G$14:$G$113,TRUE))</calculatedColumnFormula>
    </tableColumn>
    <tableColumn id="3" xr3:uid="{B40952BF-6D2A-4F31-902C-415BC5685F25}" name="1E_Days" dataDxfId="355">
      <calculatedColumnFormula array="1">fn_GET_LAST_VAL_IN_COL(J$14:J$113,TRUE)</calculatedColumnFormula>
    </tableColumn>
    <tableColumn id="4" xr3:uid="{694138EE-45CD-4B63-84E0-E286BA1102CD}" name="1E_Done" dataDxfId="354">
      <calculatedColumnFormula array="1">INDEX(K$14:K$113,fn_GET_LAST_IDX_IN_COL($G$14:$G$113,TRUE))</calculatedColumnFormula>
    </tableColumn>
    <tableColumn id="5" xr3:uid="{41969544-117D-47A5-99C5-D876805BA1B0}" name="1FT_Days" dataDxfId="353">
      <calculatedColumnFormula array="1">fn_GET_LAST_VAL_IN_COL(L$14:L$113,TRUE)</calculatedColumnFormula>
    </tableColumn>
    <tableColumn id="6" xr3:uid="{9C802539-DB13-4A47-9491-9171B0A41847}" name="1FT_Done" dataDxfId="352">
      <calculatedColumnFormula array="1">INDEX(M$14:M$113,fn_GET_LAST_IDX_IN_COL($G$14:$G$113,TRUE))</calculatedColumnFormula>
    </tableColumn>
    <tableColumn id="7" xr3:uid="{33739CEF-042E-41DF-BBC1-0BB2C98081E5}" name="2W_Days" dataDxfId="351">
      <calculatedColumnFormula array="1">fn_GET_LAST_VAL_IN_COL(N$14:N$113,TRUE)</calculatedColumnFormula>
    </tableColumn>
    <tableColumn id="8" xr3:uid="{38E6F73E-C3AF-47DC-BED8-71CCC854462D}" name="2W_Done" dataDxfId="350">
      <calculatedColumnFormula array="1">INDEX(O$14:O$113,fn_GET_LAST_IDX_IN_COL($G$14:$G$113,TRUE))</calculatedColumnFormula>
    </tableColumn>
    <tableColumn id="9" xr3:uid="{E438EB91-B5A6-41E1-836F-8DBE43F82CC6}" name="2E_Days" dataDxfId="349">
      <calculatedColumnFormula array="1">fn_GET_LAST_VAL_IN_COL(P$14:P$113,TRUE)</calculatedColumnFormula>
    </tableColumn>
    <tableColumn id="10" xr3:uid="{E4F608B3-BBB5-4107-B336-A40DC6BAB135}" name="2E_Done" dataDxfId="348">
      <calculatedColumnFormula array="1">INDEX(Q$14:Q$113,fn_GET_LAST_IDX_IN_COL($G$14:$G$113,TRUE))</calculatedColumnFormula>
    </tableColumn>
    <tableColumn id="11" xr3:uid="{E9A3C9E8-4ED0-4031-A568-2F1989AD532D}" name="2FT_Days" dataDxfId="347">
      <calculatedColumnFormula array="1">fn_GET_LAST_VAL_IN_COL(R$14:R$113,TRUE)</calculatedColumnFormula>
    </tableColumn>
    <tableColumn id="12" xr3:uid="{DD08DCDA-E57D-47C9-AF5D-29C345BCE665}" name="2FT_Done" dataDxfId="346">
      <calculatedColumnFormula array="1">INDEX(S$14:S$113,fn_GET_LAST_IDX_IN_COL($G$14:$G$113,TRUE))</calculatedColumnFormula>
    </tableColumn>
    <tableColumn id="13" xr3:uid="{B175859C-9E7D-46A1-9413-B8BBCEEF63C2}" name="3W_Days" dataDxfId="345">
      <calculatedColumnFormula array="1">fn_GET_LAST_VAL_IN_COL(T$14:T$113,TRUE)</calculatedColumnFormula>
    </tableColumn>
    <tableColumn id="14" xr3:uid="{F523C201-40E0-4C34-9C4D-CC487AF70CE0}" name="3W_Done" dataDxfId="344">
      <calculatedColumnFormula array="1">INDEX(U$14:U$113,fn_GET_LAST_IDX_IN_COL($G$14:$G$113,TRUE))</calculatedColumnFormula>
    </tableColumn>
    <tableColumn id="15" xr3:uid="{F739C26A-3A7B-47DB-A307-B706E2AE7D48}" name="3E_Days" dataDxfId="343">
      <calculatedColumnFormula array="1">fn_GET_LAST_VAL_IN_COL(V$14:V$113,TRUE)</calculatedColumnFormula>
    </tableColumn>
    <tableColumn id="16" xr3:uid="{6E30714C-6E3F-4B36-BFAD-B32AAE63B229}" name="3E_Done" dataDxfId="342">
      <calculatedColumnFormula array="1">INDEX(W$14:W$113,fn_GET_LAST_IDX_IN_COL($G$14:$G$113,TRUE))</calculatedColumnFormula>
    </tableColumn>
    <tableColumn id="17" xr3:uid="{55287193-57DD-4AC4-A7D2-886719F1930B}" name="3FT_Days" dataDxfId="341">
      <calculatedColumnFormula array="1">fn_GET_LAST_VAL_IN_COL(X$14:X$113,TRUE)</calculatedColumnFormula>
    </tableColumn>
    <tableColumn id="18" xr3:uid="{3D4F349F-4CB0-4497-85AC-2D08A7A0041B}" name="3FT_Done" dataDxfId="340">
      <calculatedColumnFormula array="1">INDEX(Y$14:Y$113,fn_GET_LAST_IDX_IN_COL($G$14:$G$113,TRUE))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CABD95A-7D4A-4EE5-832C-E0AB42A1FAAA}" name="tbl_2025_2026_Days" displayName="tbl_2025_2026_Days" ref="A18:Z73" totalsRowCount="1" headerRowDxfId="339" dataDxfId="338" totalsRowDxfId="337">
  <autoFilter ref="A18:Z72" xr:uid="{3CABD95A-7D4A-4EE5-832C-E0AB42A1FAA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E4A8E119-235A-4284-A22D-5011B4AEF5E8}" name="Day" totalsRowFunction="count" dataDxfId="336">
      <calculatedColumnFormula array="1">IF(fn_IsTableCellInFirstRow($A19,tbl_2025_2026_Days[]),1,$A18+1)</calculatedColumnFormula>
    </tableColumn>
    <tableColumn id="2" xr3:uid="{E829A7BF-DBFD-419D-B22D-187A63AD13CC}" name="Date" dataDxfId="335" totalsRowDxfId="334"/>
    <tableColumn id="3" xr3:uid="{CBDAE092-BA7C-4506-9990-C142B6B783E7}" name="Resort Name" totalsRowFunction="custom" dataDxfId="333">
      <totalsRowFormula>ROWS(_xlfn.UNIQUE(tbl_2025_2026_Days[Resort Name]))</totalsRowFormula>
    </tableColumn>
    <tableColumn id="4" xr3:uid="{2350A050-30FE-45A9-9923-A8D8E8FB14E8}" name="Days Skied at Resort" dataDxfId="332">
      <calculatedColumnFormula array="1">fn_GET_UNIQUE_VALS_RUNNING_COUNTS(tbl_2025_2026_Days[Resort Name], tbl_2025_2026_Days[[#This Row],[Resort Name]])</calculatedColumnFormula>
    </tableColumn>
    <tableColumn id="5" xr3:uid="{444D553A-262C-4089-BFE7-5CD4A7F2E26C}" name="Vertical Feet" totalsRowFunction="sum" dataDxfId="331" totalsRowDxfId="330" dataCellStyle="Comma"/>
    <tableColumn id="6" xr3:uid="{C65600D8-1CEC-495B-99D0-1CAED71A7F8F}" name="Calories" totalsRowFunction="sum" dataDxfId="329" totalsRowDxfId="328" dataCellStyle="Comma"/>
    <tableColumn id="7" xr3:uid="{95CC3DE9-0D40-4A90-B65C-5ADC479C3917}" name="Ski" dataDxfId="327"/>
    <tableColumn id="8" xr3:uid="{E0D98DE4-9481-4C11-AA83-BF275161F116}" name="1W_Days" dataDxfId="326">
      <calculatedColumnFormula array="1">fn_GetDaysSinceSkiMaintProc($A$2,tbl_2025_2026_Days[[#This Row],[Day]],H18,I18,1,"W",tbl_2025_2026_Days[[#This Row],[Ski]])</calculatedColumnFormula>
    </tableColumn>
    <tableColumn id="9" xr3:uid="{2C97E3C4-49B0-4E3A-AF89-8420FAC23DBF}" name="1W_Done" dataDxfId="325"/>
    <tableColumn id="10" xr3:uid="{43DBC1FE-BF0D-48F0-B3F9-007B14A0682A}" name="1E_Days" dataDxfId="324">
      <calculatedColumnFormula array="1">fn_GetDaysSinceSkiMaintProc($A$2,tbl_2025_2026_Days[[#This Row],[Day]],J18,K18,1,"E",tbl_2025_2026_Days[[#This Row],[Ski]])</calculatedColumnFormula>
    </tableColumn>
    <tableColumn id="11" xr3:uid="{D880A9C4-846D-4E9A-8728-7D0047032E38}" name="1E_Done" dataDxfId="323"/>
    <tableColumn id="12" xr3:uid="{E4A9C03B-ABF2-4B35-B901-DDA957E5F512}" name="1FT_Days" dataDxfId="322">
      <calculatedColumnFormula array="1">fn_GetDaysSinceSkiMaintProc($A$2,tbl_2025_2026_Days[[#This Row],[Day]],L18,M18,1,"FT",tbl_2025_2026_Days[[#This Row],[Ski]])</calculatedColumnFormula>
    </tableColumn>
    <tableColumn id="13" xr3:uid="{9DB7BE94-43CB-46BC-84F9-8F83F10A39A9}" name="1FT_Done" dataDxfId="321"/>
    <tableColumn id="14" xr3:uid="{04175123-4538-4293-98BD-9E4C8CD2BBAD}" name="2W_Days" dataDxfId="320">
      <calculatedColumnFormula array="1">fn_GetDaysSinceSkiMaintProc($A$2,tbl_2025_2026_Days[[#This Row],[Day]],N18,O18,2,"W",tbl_2025_2026_Days[[#This Row],[Ski]])</calculatedColumnFormula>
    </tableColumn>
    <tableColumn id="15" xr3:uid="{829A1737-0C77-4A91-80DB-52B71BA6B5C8}" name="2W_Done" dataDxfId="319"/>
    <tableColumn id="16" xr3:uid="{FE456131-C2BE-4A55-9A3D-23B85214F408}" name="2E_Days" dataDxfId="318">
      <calculatedColumnFormula array="1">fn_GetDaysSinceSkiMaintProc($A$2,tbl_2025_2026_Days[[#This Row],[Day]],P18,Q18,2,"E",tbl_2025_2026_Days[[#This Row],[Ski]])</calculatedColumnFormula>
    </tableColumn>
    <tableColumn id="17" xr3:uid="{5D0C8EDA-E073-4BD6-8D7D-62EC1A6F50D4}" name="2E_Done" dataDxfId="317"/>
    <tableColumn id="18" xr3:uid="{58F879D6-4166-458D-95D9-5191768399CE}" name="2FT_Days" dataDxfId="316">
      <calculatedColumnFormula array="1">fn_GetDaysSinceSkiMaintProc($A$2,tbl_2025_2026_Days[[#This Row],[Day]],R18,S18,2,"FT",tbl_2025_2026_Days[[#This Row],[Ski]])</calculatedColumnFormula>
    </tableColumn>
    <tableColumn id="19" xr3:uid="{3ED3D3C3-F7D1-4F96-A725-6892B71A38EE}" name="2FT_Done" dataDxfId="315"/>
    <tableColumn id="20" xr3:uid="{6F3E040F-DF2F-494D-A81F-CAF8C46EC75D}" name="3W_Days" dataDxfId="314">
      <calculatedColumnFormula array="1">fn_GetDaysSinceSkiMaintProc($A$2,tbl_2025_2026_Days[[#This Row],[Day]],T18,U18,3,"W",tbl_2025_2026_Days[[#This Row],[Ski]])</calculatedColumnFormula>
    </tableColumn>
    <tableColumn id="21" xr3:uid="{11EDD34C-D914-4049-837D-93941552C82C}" name="3W_Done" dataDxfId="313"/>
    <tableColumn id="22" xr3:uid="{4ABC6F65-F8A2-4B6A-B85E-4B8D491D7EE6}" name="3E_Days" dataDxfId="312">
      <calculatedColumnFormula array="1">fn_GetDaysSinceSkiMaintProc($A$2,tbl_2025_2026_Days[[#This Row],[Day]],V18,W18,3,"E",tbl_2025_2026_Days[[#This Row],[Ski]])</calculatedColumnFormula>
    </tableColumn>
    <tableColumn id="23" xr3:uid="{DF4257EF-7846-4C6A-A969-C75472CACD28}" name="3E_Done" dataDxfId="311"/>
    <tableColumn id="24" xr3:uid="{63F4208C-C1D4-4CE6-B49D-540C50F73FEE}" name="3FT_Days" dataDxfId="310">
      <calculatedColumnFormula array="1">fn_GetDaysSinceSkiMaintProc($A$2,tbl_2025_2026_Days[[#This Row],[Day]],X18,Y18,3,"FT",tbl_2025_2026_Days[[#This Row],[Ski]])</calculatedColumnFormula>
    </tableColumn>
    <tableColumn id="25" xr3:uid="{1DE26E7F-0C70-472E-81CA-B81A84668619}" name="3FT_Done" dataDxfId="309"/>
    <tableColumn id="26" xr3:uid="{07AAD861-C5A8-4192-B882-BDE6AB67AF97}" name="Notes" totalsRowFunction="count" dataDxfId="30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C408360-7F09-403B-A0B7-8176D6D7C66E}" name="tbl_2025_2026_EOS" displayName="tbl_2025_2026_EOS" ref="H14:Y15" totalsRowShown="0" headerRowDxfId="307" dataDxfId="306" tableBorderDxfId="305">
  <autoFilter ref="H14:Y15" xr:uid="{BC408360-7F09-403B-A0B7-8176D6D7C66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A194664C-E961-4CB2-B80F-06A47DDDC1F4}" name="1W_Days" dataDxfId="304">
      <calculatedColumnFormula array="1">fn_GET_LAST_VAL_IN_COL(tbl_2025_2026_Days[1W_Days],TRUE)</calculatedColumnFormula>
    </tableColumn>
    <tableColumn id="2" xr3:uid="{1455189A-204A-419A-AC92-4D12CACCC246}" name="1W_Done" dataDxfId="303">
      <calculatedColumnFormula array="1">INDEX(tbl_2025_2026_Days[1W_Done],fn_GET_LAST_IDX_IN_COL(tbl_2025_2026_Days[Ski],TRUE))</calculatedColumnFormula>
    </tableColumn>
    <tableColumn id="3" xr3:uid="{475924D9-1E77-4A08-AD54-555F77B042BF}" name="1E_Days" dataDxfId="302">
      <calculatedColumnFormula array="1">fn_GET_LAST_VAL_IN_COL(tbl_2025_2026_Days[1E_Days],TRUE)</calculatedColumnFormula>
    </tableColumn>
    <tableColumn id="4" xr3:uid="{8217DC97-A662-4F9D-9ECB-250C66549E27}" name="1E_Done" dataDxfId="301">
      <calculatedColumnFormula array="1">INDEX(tbl_2025_2026_Days[1E_Done],fn_GET_LAST_IDX_IN_COL(tbl_2025_2026_Days[Ski],TRUE))</calculatedColumnFormula>
    </tableColumn>
    <tableColumn id="5" xr3:uid="{DC753F3D-D53B-4BCA-A927-D401A475050F}" name="1FT_Days" dataDxfId="300">
      <calculatedColumnFormula array="1">fn_GET_LAST_VAL_IN_COL(tbl_2025_2026_Days[1FT_Days],TRUE)</calculatedColumnFormula>
    </tableColumn>
    <tableColumn id="6" xr3:uid="{182B6491-3381-40E7-A7E7-668F89BD7C80}" name="1FT_Done" dataDxfId="299">
      <calculatedColumnFormula array="1">INDEX(tbl_2025_2026_Days[1FT_Done],fn_GET_LAST_IDX_IN_COL(tbl_2025_2026_Days[Ski],TRUE))</calculatedColumnFormula>
    </tableColumn>
    <tableColumn id="7" xr3:uid="{F79C05E4-ED4D-4643-B366-D0B807ECAC77}" name="2W_Days" dataDxfId="298">
      <calculatedColumnFormula array="1">fn_GET_LAST_VAL_IN_COL(tbl_2025_2026_Days[2W_Days],TRUE)</calculatedColumnFormula>
    </tableColumn>
    <tableColumn id="8" xr3:uid="{DED8EBF2-0DA8-4A48-BAAB-13E14EAD30E2}" name="2W_Done" dataDxfId="297">
      <calculatedColumnFormula array="1">INDEX(tbl_2025_2026_Days[2W_Done],fn_GET_LAST_IDX_IN_COL(tbl_2025_2026_Days[Ski],TRUE))</calculatedColumnFormula>
    </tableColumn>
    <tableColumn id="9" xr3:uid="{B22B96D7-4FB1-4D16-B0E3-BE24CA3C9CA5}" name="2E_Days" dataDxfId="296">
      <calculatedColumnFormula array="1">fn_GET_LAST_VAL_IN_COL(tbl_2025_2026_Days[2E_Days],TRUE)</calculatedColumnFormula>
    </tableColumn>
    <tableColumn id="10" xr3:uid="{2A9B5BBD-A435-4E3D-B2B2-C9C452097AD3}" name="2E_Done" dataDxfId="295">
      <calculatedColumnFormula array="1">INDEX(tbl_2025_2026_Days[2E_Done],fn_GET_LAST_IDX_IN_COL(tbl_2025_2026_Days[Ski],TRUE))</calculatedColumnFormula>
    </tableColumn>
    <tableColumn id="11" xr3:uid="{CCEE2AA6-9943-4302-83B4-EDCDC1C189D5}" name="2FT_Days" dataDxfId="294">
      <calculatedColumnFormula array="1">fn_GET_LAST_VAL_IN_COL(tbl_2025_2026_Days[2FT_Days],TRUE)</calculatedColumnFormula>
    </tableColumn>
    <tableColumn id="12" xr3:uid="{594267C8-FAF3-46E2-8A07-4F4D3BE4B659}" name="2FT_Done" dataDxfId="293">
      <calculatedColumnFormula array="1">INDEX(tbl_2025_2026_Days[2FT_Done],fn_GET_LAST_IDX_IN_COL(tbl_2025_2026_Days[Ski],TRUE))</calculatedColumnFormula>
    </tableColumn>
    <tableColumn id="13" xr3:uid="{BA29EFCE-E816-4EE3-9EF5-8752E8A7EBFC}" name="3W_Days" dataDxfId="292">
      <calculatedColumnFormula array="1">fn_GET_LAST_VAL_IN_COL(tbl_2025_2026_Days[3W_Days],TRUE)</calculatedColumnFormula>
    </tableColumn>
    <tableColumn id="14" xr3:uid="{17E7AFF0-2686-42AC-84E3-BE746F722C45}" name="3W_Done" dataDxfId="291">
      <calculatedColumnFormula array="1">INDEX(tbl_2025_2026_Days[3W_Done],fn_GET_LAST_IDX_IN_COL(tbl_2025_2026_Days[Ski],TRUE))</calculatedColumnFormula>
    </tableColumn>
    <tableColumn id="15" xr3:uid="{AC2DE534-42B8-46EC-953B-5ED98C192EF9}" name="3E_Days" dataDxfId="290">
      <calculatedColumnFormula array="1">fn_GET_LAST_VAL_IN_COL(tbl_2025_2026_Days[3E_Days],TRUE)</calculatedColumnFormula>
    </tableColumn>
    <tableColumn id="16" xr3:uid="{4FCD503A-C488-49CE-AEC6-ED8C66428328}" name="3E_Done" dataDxfId="289">
      <calculatedColumnFormula array="1">INDEX(tbl_2025_2026_Days[3E_Done],fn_GET_LAST_IDX_IN_COL(tbl_2025_2026_Days[Ski],TRUE))</calculatedColumnFormula>
    </tableColumn>
    <tableColumn id="17" xr3:uid="{63FCD9A5-4D72-43CE-8758-652A426657AB}" name="3FT_Days" dataDxfId="288">
      <calculatedColumnFormula array="1">fn_GET_LAST_VAL_IN_COL(tbl_2025_2026_Days[3FT_Days],TRUE)</calculatedColumnFormula>
    </tableColumn>
    <tableColumn id="18" xr3:uid="{E075A052-C156-4E39-9861-E8C04E6F4B1D}" name="3FT_Done" dataDxfId="287">
      <calculatedColumnFormula array="1">INDEX(tbl_2025_2026_Days[3FT_Done],fn_GET_LAST_IDX_IN_COL(tbl_2025_2026_Days[Ski],TRUE))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CEEF9F-3C60-4E6D-9619-1AAF179C88A8}" name="tbl_2026_2027_Days" displayName="tbl_2026_2027_Days" ref="A18:Z20" totalsRowCount="1" headerRowDxfId="286" dataDxfId="285" totalsRowDxfId="284">
  <autoFilter ref="A18:Z19" xr:uid="{00CEEF9F-3C60-4E6D-9619-1AAF179C88A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5589F061-256F-4193-9FC2-075925609F2B}" name="Day" totalsRowFunction="count" dataDxfId="283">
      <calculatedColumnFormula array="1">IF(fn_IsTableCellInFirstRow($A19,tbl_2026_2027_Days[]),1,$A18+1)</calculatedColumnFormula>
    </tableColumn>
    <tableColumn id="2" xr3:uid="{FA8E806F-A237-4F70-AB63-BFBE5250E593}" name="Date" dataDxfId="282" totalsRowDxfId="281"/>
    <tableColumn id="3" xr3:uid="{195A93E8-28A1-444B-9753-D4559FA34258}" name="Resort Name" totalsRowFunction="custom" dataDxfId="280">
      <totalsRowFormula>ROWS(_xlfn.UNIQUE(tbl_2026_2027_Days[Resort Name]))</totalsRowFormula>
    </tableColumn>
    <tableColumn id="4" xr3:uid="{C19CFD6E-463D-4B56-820C-6D7212E5A983}" name="Days Skied at Resort" dataDxfId="279">
      <calculatedColumnFormula array="1">fn_GET_UNIQUE_VALS_RUNNING_COUNTS(tbl_2026_2027_Days[Resort Name], tbl_2026_2027_Days[[#This Row],[Resort Name]])</calculatedColumnFormula>
    </tableColumn>
    <tableColumn id="5" xr3:uid="{C536A2BF-13B3-4D3B-AD1A-48FD20D80D5D}" name="Vertical Feet" totalsRowFunction="sum" dataDxfId="278" totalsRowDxfId="277" dataCellStyle="Comma"/>
    <tableColumn id="6" xr3:uid="{CD079961-D4BA-4822-A7E7-36BA816ADAA8}" name="Calories" totalsRowFunction="sum" dataDxfId="276" totalsRowDxfId="275" dataCellStyle="Comma"/>
    <tableColumn id="7" xr3:uid="{91DF6E52-09C9-4979-A74C-81390F2DD69D}" name="Ski" dataDxfId="274"/>
    <tableColumn id="8" xr3:uid="{65CA92FD-06A8-46E3-8524-C2FA8AEC36AF}" name="1W_Days" dataDxfId="273">
      <calculatedColumnFormula array="1">fn_GetDaysSinceSkiMaintProc($A$2,tbl_2026_2027_Days[[#This Row],[Day]],H18,I18,1,"W",tbl_2026_2027_Days[[#This Row],[Ski]])</calculatedColumnFormula>
    </tableColumn>
    <tableColumn id="9" xr3:uid="{BAACFE83-AF42-4620-9DF0-FDBD52938757}" name="1W_Done" dataDxfId="272"/>
    <tableColumn id="10" xr3:uid="{CC1C971C-8590-42B0-8E0F-65290A664F72}" name="1E_Days" dataDxfId="271">
      <calculatedColumnFormula array="1">fn_GetDaysSinceSkiMaintProc($A$2,tbl_2026_2027_Days[[#This Row],[Day]],J18,K18,1,"E",tbl_2026_2027_Days[[#This Row],[Ski]])</calculatedColumnFormula>
    </tableColumn>
    <tableColumn id="11" xr3:uid="{A0393AA5-B96B-427A-A001-7B638088C318}" name="1E_Done" dataDxfId="270"/>
    <tableColumn id="12" xr3:uid="{05E923C8-68B2-43FC-A60D-164E8F2F19EB}" name="1FT_Days" dataDxfId="269">
      <calculatedColumnFormula array="1">fn_GetDaysSinceSkiMaintProc($A$2,tbl_2026_2027_Days[[#This Row],[Day]],L18,M18,1,"FT",tbl_2026_2027_Days[[#This Row],[Ski]])</calculatedColumnFormula>
    </tableColumn>
    <tableColumn id="13" xr3:uid="{8C9196D6-E69A-4EB8-8099-16B9563AC2F8}" name="1FT_Done" dataDxfId="268"/>
    <tableColumn id="14" xr3:uid="{53C08695-E21D-4095-AF3E-671885B89CE6}" name="2W_Days" dataDxfId="267">
      <calculatedColumnFormula array="1">IF(fn_IsTableCellInFirstRow($A19,tbl_2026_2027_Days[Day]),fn_Get20242025EosSkiMaintDaysByProcAbbrev("2W"),IF(O18,0,N18+IF(tbl_2026_2027_Days[[#This Row],[Ski]]=fn_GetSkiNameFromSkiIdx(2),1,0)))</calculatedColumnFormula>
    </tableColumn>
    <tableColumn id="15" xr3:uid="{C8262950-460B-40A1-8194-D3E710CE5614}" name="2W_Done" dataDxfId="266"/>
    <tableColumn id="16" xr3:uid="{F71F5A40-C7F2-45A8-8590-37AC1EA7E2B2}" name="2E_Days" dataDxfId="265">
      <calculatedColumnFormula array="1">fn_GetDaysSinceSkiMaintProc($A$2,tbl_2026_2027_Days[[#This Row],[Day]],P18,Q18,2,"E",tbl_2026_2027_Days[[#This Row],[Ski]])</calculatedColumnFormula>
    </tableColumn>
    <tableColumn id="17" xr3:uid="{6F0D99E6-A620-4B69-A78B-30CD6FFAE4E5}" name="2E_Done" dataDxfId="264"/>
    <tableColumn id="18" xr3:uid="{E8922E1D-FBDD-4730-A89D-78360C460231}" name="2FT_Days" dataDxfId="263">
      <calculatedColumnFormula array="1">IF(fn_IsTableCellInFirstRow($A19,tbl_2026_2027_Days[Day]),fn_Get20242025EosSkiMaintDaysByProcAbbrev("2FT"),IF(S18,0,R18+IF(tbl_2026_2027_Days[[#This Row],[Ski]]=fn_GetSkiNameFromSkiIdx(2),1,0)))</calculatedColumnFormula>
    </tableColumn>
    <tableColumn id="19" xr3:uid="{123832B8-6477-4358-A419-9E20D686AE0C}" name="2FT_Done" dataDxfId="262"/>
    <tableColumn id="20" xr3:uid="{D296F98D-A5DF-4358-B201-50F6D1D47483}" name="3W_Days" dataDxfId="261">
      <calculatedColumnFormula array="1">fn_GetDaysSinceSkiMaintProc($A$2,tbl_2026_2027_Days[[#This Row],[Day]],T18,U18,3,"W",tbl_2026_2027_Days[[#This Row],[Ski]])</calculatedColumnFormula>
    </tableColumn>
    <tableColumn id="21" xr3:uid="{0AD2F642-15D0-4E04-A3C2-2E1674D46F66}" name="3W_Done" dataDxfId="260"/>
    <tableColumn id="22" xr3:uid="{C9F4765F-8C89-44DB-BDC1-19B694C0D0F3}" name="3E_Days" dataDxfId="259">
      <calculatedColumnFormula array="1">fn_GetDaysSinceSkiMaintProc($A$2,tbl_2026_2027_Days[[#This Row],[Day]],V18,W18,3,"E",tbl_2026_2027_Days[[#This Row],[Ski]])</calculatedColumnFormula>
    </tableColumn>
    <tableColumn id="23" xr3:uid="{8774CFAB-A2B2-411C-9041-A0C4ED7F4DF6}" name="3E_Done" dataDxfId="258"/>
    <tableColumn id="24" xr3:uid="{B75B4755-498F-49C0-9145-32EEC54C54F0}" name="3FT_Days" dataDxfId="257">
      <calculatedColumnFormula array="1">fn_GetDaysSinceSkiMaintProc($A$2,tbl_2026_2027_Days[[#This Row],[Day]],X18,Y18,3,"FT",tbl_2026_2027_Days[[#This Row],[Ski]])</calculatedColumnFormula>
    </tableColumn>
    <tableColumn id="25" xr3:uid="{50774835-2D46-4824-83EB-DAD23429A4E0}" name="3FT_Done" dataDxfId="256"/>
    <tableColumn id="26" xr3:uid="{B4CDA473-72A7-4BBC-9D92-8D2CEAB74874}" name="Notes" totalsRowFunction="count" dataDxfId="25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A4FFA5B-EB20-4763-A824-36A3E477E58D}" name="tbl_2026_2027_EOS" displayName="tbl_2026_2027_EOS" ref="H14:Y15" totalsRowShown="0" headerRowDxfId="254" dataDxfId="253" tableBorderDxfId="252">
  <autoFilter ref="H14:Y15" xr:uid="{7A4FFA5B-EB20-4763-A824-36A3E477E58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A8E5F9EF-157A-4809-80FA-9A4B00E93829}" name="1W_Days" dataDxfId="251">
      <calculatedColumnFormula array="1">fn_GET_LAST_VAL_IN_COL(tbl_2026_2027_Days[1W_Days],TRUE)</calculatedColumnFormula>
    </tableColumn>
    <tableColumn id="2" xr3:uid="{564FA22B-89BE-424A-9012-80654FD295B0}" name="1W_Done" dataDxfId="250">
      <calculatedColumnFormula array="1">INDEX(tbl_2026_2027_Days[1W_Done],fn_GET_LAST_IDX_IN_COL(tbl_2026_2027_Days[Ski],TRUE))</calculatedColumnFormula>
    </tableColumn>
    <tableColumn id="3" xr3:uid="{86884BBB-5B56-4D36-9800-E00A274CF2E9}" name="1E_Days" dataDxfId="249">
      <calculatedColumnFormula array="1">fn_GET_LAST_VAL_IN_COL(tbl_2026_2027_Days[1E_Days],TRUE)</calculatedColumnFormula>
    </tableColumn>
    <tableColumn id="4" xr3:uid="{47B3A37A-46EB-4D2D-99F0-674532C5DC93}" name="1E_Done" dataDxfId="248">
      <calculatedColumnFormula array="1">INDEX(tbl_2026_2027_Days[1E_Done],fn_GET_LAST_IDX_IN_COL(tbl_2026_2027_Days[Ski],TRUE))</calculatedColumnFormula>
    </tableColumn>
    <tableColumn id="5" xr3:uid="{DF24ABCD-043D-4A9B-9EAE-049ED0163664}" name="1FT_Days" dataDxfId="247">
      <calculatedColumnFormula array="1">fn_GET_LAST_VAL_IN_COL(tbl_2026_2027_Days[1FT_Days],TRUE)</calculatedColumnFormula>
    </tableColumn>
    <tableColumn id="6" xr3:uid="{6AF33107-9051-4E50-80CE-F472FFB30FCA}" name="1FT_Done" dataDxfId="246">
      <calculatedColumnFormula array="1">INDEX(tbl_2026_2027_Days[1FT_Done],fn_GET_LAST_IDX_IN_COL(tbl_2026_2027_Days[Ski],TRUE))</calculatedColumnFormula>
    </tableColumn>
    <tableColumn id="7" xr3:uid="{5E0D6BEA-536F-48D3-B819-FB5892D2E45B}" name="2W_Days" dataDxfId="245">
      <calculatedColumnFormula array="1">fn_GET_LAST_VAL_IN_COL(tbl_2026_2027_Days[2W_Days],TRUE)</calculatedColumnFormula>
    </tableColumn>
    <tableColumn id="8" xr3:uid="{76989103-4CF8-430E-8DE8-749CD7CCBDBA}" name="2W_Done" dataDxfId="244">
      <calculatedColumnFormula array="1">INDEX(tbl_2026_2027_Days[2W_Done],fn_GET_LAST_IDX_IN_COL(tbl_2026_2027_Days[Ski],TRUE))</calculatedColumnFormula>
    </tableColumn>
    <tableColumn id="9" xr3:uid="{C2B525B3-F07B-4439-A995-427ADA925BF7}" name="2E_Days" dataDxfId="243">
      <calculatedColumnFormula array="1">fn_GET_LAST_VAL_IN_COL(tbl_2026_2027_Days[2E_Days],TRUE)</calculatedColumnFormula>
    </tableColumn>
    <tableColumn id="10" xr3:uid="{852F7EA3-0B86-4C78-84EC-FB2BA3F4DEDF}" name="2E_Done" dataDxfId="242">
      <calculatedColumnFormula array="1">INDEX(tbl_2026_2027_Days[2E_Done],fn_GET_LAST_IDX_IN_COL(tbl_2026_2027_Days[Ski],TRUE))</calculatedColumnFormula>
    </tableColumn>
    <tableColumn id="11" xr3:uid="{A96B058F-2858-45BC-B474-0D3BCCB9DA79}" name="2FT_Days" dataDxfId="241">
      <calculatedColumnFormula array="1">fn_GET_LAST_VAL_IN_COL(tbl_2026_2027_Days[2FT_Days],TRUE)</calculatedColumnFormula>
    </tableColumn>
    <tableColumn id="12" xr3:uid="{F627F884-F883-404E-91F1-B4C8F9137311}" name="2FT_Done" dataDxfId="240">
      <calculatedColumnFormula array="1">INDEX(tbl_2026_2027_Days[2FT_Done],fn_GET_LAST_IDX_IN_COL(tbl_2026_2027_Days[Ski],TRUE))</calculatedColumnFormula>
    </tableColumn>
    <tableColumn id="13" xr3:uid="{3E5A9584-0152-4497-B325-FDC7B4239D60}" name="3W_Days" dataDxfId="239">
      <calculatedColumnFormula array="1">fn_GET_LAST_VAL_IN_COL(tbl_2026_2027_Days[3W_Days],TRUE)</calculatedColumnFormula>
    </tableColumn>
    <tableColumn id="14" xr3:uid="{161A1E73-C0C3-4B96-9AF3-06D8655E9C6C}" name="3W_Done" dataDxfId="238">
      <calculatedColumnFormula array="1">INDEX(tbl_2026_2027_Days[3W_Done],fn_GET_LAST_IDX_IN_COL(tbl_2026_2027_Days[Ski],TRUE))</calculatedColumnFormula>
    </tableColumn>
    <tableColumn id="15" xr3:uid="{899B0585-71BA-4B06-B80F-4282FAF65312}" name="3E_Days" dataDxfId="237">
      <calculatedColumnFormula array="1">fn_GET_LAST_VAL_IN_COL(tbl_2026_2027_Days[3E_Days],TRUE)</calculatedColumnFormula>
    </tableColumn>
    <tableColumn id="16" xr3:uid="{63B76279-2B3C-473C-8226-C7F11FD59F3F}" name="3E_Done" dataDxfId="236">
      <calculatedColumnFormula array="1">INDEX(tbl_2026_2027_Days[3E_Done],fn_GET_LAST_IDX_IN_COL(tbl_2026_2027_Days[Ski],TRUE))</calculatedColumnFormula>
    </tableColumn>
    <tableColumn id="17" xr3:uid="{EA74A35B-73AB-4758-AC55-8010606CA4F3}" name="3FT_Days" dataDxfId="235">
      <calculatedColumnFormula array="1">fn_GET_LAST_VAL_IN_COL(tbl_2026_2027_Days[3FT_Days],TRUE)</calculatedColumnFormula>
    </tableColumn>
    <tableColumn id="18" xr3:uid="{6B024F7D-2D58-48E3-9BDC-945AEF85D95D}" name="3FT_Done" dataDxfId="234">
      <calculatedColumnFormula array="1">INDEX(tbl_2026_2027_Days[3FT_Done],fn_GET_LAST_IDX_IN_COL(tbl_2026_2027_Days[Ski],TRUE))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A7B6E4B-F0AC-47C2-A9E0-875144F1B10F}" name="tbl_2027_2028_Days" displayName="tbl_2027_2028_Days" ref="A18:Z20" totalsRowCount="1" headerRowDxfId="233" dataDxfId="232" totalsRowDxfId="231">
  <autoFilter ref="A18:Z19" xr:uid="{AA7B6E4B-F0AC-47C2-A9E0-875144F1B10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16D47E34-B7E5-4C39-AE16-AD50973B56E7}" name="Day" totalsRowFunction="count" dataDxfId="230">
      <calculatedColumnFormula array="1">IF(fn_IsTableCellInFirstRow($A19,tbl_2027_2028_Days[]),1,$A18+1)</calculatedColumnFormula>
    </tableColumn>
    <tableColumn id="2" xr3:uid="{03EDEBC9-C526-41B8-814A-4169DE84A091}" name="Date" dataDxfId="229" totalsRowDxfId="228"/>
    <tableColumn id="3" xr3:uid="{419493CF-BADE-4AFF-9C8A-6FA65A67D4FE}" name="Resort Name" totalsRowFunction="custom" dataDxfId="227">
      <totalsRowFormula>ROWS(_xlfn.UNIQUE(tbl_2027_2028_Days[Resort Name]))</totalsRowFormula>
    </tableColumn>
    <tableColumn id="4" xr3:uid="{C4AABE57-304F-4719-B824-336B5438E210}" name="Days Skied at Resort" dataDxfId="226">
      <calculatedColumnFormula array="1">fn_GET_UNIQUE_VALS_RUNNING_COUNTS(tbl_2027_2028_Days[Resort Name], tbl_2027_2028_Days[[#This Row],[Resort Name]])</calculatedColumnFormula>
    </tableColumn>
    <tableColumn id="5" xr3:uid="{4C6DB751-FD90-43B7-8DF3-68A6A96AA2D6}" name="Vertical Feet" totalsRowFunction="sum" dataDxfId="225" totalsRowDxfId="224" dataCellStyle="Comma"/>
    <tableColumn id="6" xr3:uid="{8B888120-039F-40BA-97C1-92689C9C008C}" name="Calories" totalsRowFunction="sum" dataDxfId="223" totalsRowDxfId="222" dataCellStyle="Comma"/>
    <tableColumn id="7" xr3:uid="{E679E802-AFB2-474E-8F3F-8C4CD47F6AA4}" name="Ski" dataDxfId="221"/>
    <tableColumn id="8" xr3:uid="{065E5BB3-C7DE-42CC-8C7B-0D2EF6A3CE60}" name="1W_Days" dataDxfId="220">
      <calculatedColumnFormula array="1">fn_GetDaysSinceSkiMaintProc($A$2,tbl_2027_2028_Days[[#This Row],[Day]],H18,I18,1,"W",tbl_2027_2028_Days[[#This Row],[Ski]])</calculatedColumnFormula>
    </tableColumn>
    <tableColumn id="9" xr3:uid="{2C7489DD-8BE1-4A5C-BE42-0F3EF85D7F0D}" name="1W_Done" dataDxfId="219"/>
    <tableColumn id="10" xr3:uid="{3A10AAE4-45E1-4761-A9B7-B4AE2D772672}" name="1E_Days" dataDxfId="218">
      <calculatedColumnFormula array="1">fn_GetDaysSinceSkiMaintProc($A$2,tbl_2027_2028_Days[[#This Row],[Day]],J18,K18,1,"E",tbl_2027_2028_Days[[#This Row],[Ski]])</calculatedColumnFormula>
    </tableColumn>
    <tableColumn id="11" xr3:uid="{D380C66A-703C-4C9D-BC94-CAABE7F45B34}" name="1E_Done" dataDxfId="217"/>
    <tableColumn id="12" xr3:uid="{C8A860C5-66DB-44C0-8DE7-C5D152D7C357}" name="1FT_Days" dataDxfId="216">
      <calculatedColumnFormula array="1">fn_GetDaysSinceSkiMaintProc($A$2,tbl_2027_2028_Days[[#This Row],[Day]],L18,M18,1,"FT",tbl_2027_2028_Days[[#This Row],[Ski]])</calculatedColumnFormula>
    </tableColumn>
    <tableColumn id="13" xr3:uid="{ABE80B50-6E07-46FC-BE13-999685B2E5AA}" name="1FT_Done" dataDxfId="215"/>
    <tableColumn id="14" xr3:uid="{6FDD2648-A062-4088-8B1B-8EF04F895FDD}" name="2W_Days" dataDxfId="214">
      <calculatedColumnFormula array="1">fn_GetDaysSinceSkiMaintProc($A$2,tbl_2027_2028_Days[[#This Row],[Day]],N18,O18,2,"W",tbl_2027_2028_Days[[#This Row],[Ski]])</calculatedColumnFormula>
    </tableColumn>
    <tableColumn id="15" xr3:uid="{2397EE64-047A-4600-8F55-FA65CD738DC3}" name="2W_Done" dataDxfId="213"/>
    <tableColumn id="16" xr3:uid="{FF4CC9FC-D52A-4205-9D43-D14608BF22DC}" name="2E_Days" dataDxfId="212">
      <calculatedColumnFormula array="1">fn_GetDaysSinceSkiMaintProc($A$2,tbl_2027_2028_Days[[#This Row],[Day]],P18,Q18,2,"E",tbl_2027_2028_Days[[#This Row],[Ski]])</calculatedColumnFormula>
    </tableColumn>
    <tableColumn id="17" xr3:uid="{EE0CB55F-6F56-4721-834B-C87BE76445E1}" name="2E_Done" dataDxfId="211"/>
    <tableColumn id="18" xr3:uid="{4BA76560-D0B0-4056-AA7E-D4AB8D734DB7}" name="2FT_Days" dataDxfId="210">
      <calculatedColumnFormula array="1">fn_GetDaysSinceSkiMaintProc($A$2,tbl_2027_2028_Days[[#This Row],[Day]],R18,S18,2,"FT",tbl_2027_2028_Days[[#This Row],[Ski]])</calculatedColumnFormula>
    </tableColumn>
    <tableColumn id="19" xr3:uid="{4FD785D5-7E33-4E76-B031-342C2DB4AFEE}" name="2FT_Done" dataDxfId="209"/>
    <tableColumn id="20" xr3:uid="{D6E74C92-C5E1-4B78-9ED6-004E0EC6CF09}" name="3W_Days" dataDxfId="208">
      <calculatedColumnFormula array="1">fn_GetDaysSinceSkiMaintProc($A$2,tbl_2027_2028_Days[[#This Row],[Day]],T18,U18,3,"W",tbl_2027_2028_Days[[#This Row],[Ski]])</calculatedColumnFormula>
    </tableColumn>
    <tableColumn id="21" xr3:uid="{F989A63A-F0CD-4E28-99C2-C202229312C6}" name="3W_Done" dataDxfId="207"/>
    <tableColumn id="22" xr3:uid="{92184A85-07EE-4A14-81D5-CB2B1BBF9AA7}" name="3E_Days" dataDxfId="206">
      <calculatedColumnFormula array="1">fn_GetDaysSinceSkiMaintProc($A$2,tbl_2027_2028_Days[[#This Row],[Day]],V18,W18,3,"E",tbl_2027_2028_Days[[#This Row],[Ski]])</calculatedColumnFormula>
    </tableColumn>
    <tableColumn id="23" xr3:uid="{344B90E3-4414-4ADB-8ABF-0359FEB65691}" name="3E_Done" dataDxfId="205"/>
    <tableColumn id="24" xr3:uid="{75AFA464-2ABC-4CBC-9ADD-CA33C7C46B7B}" name="3FT_Days" dataDxfId="204">
      <calculatedColumnFormula array="1">fn_GetDaysSinceSkiMaintProc($A$2,tbl_2027_2028_Days[[#This Row],[Day]],X18,Y18,3,"FT",tbl_2027_2028_Days[[#This Row],[Ski]])</calculatedColumnFormula>
    </tableColumn>
    <tableColumn id="25" xr3:uid="{0F729332-5B3D-400C-8A2E-1D38BCE13F80}" name="3FT_Done" dataDxfId="203"/>
    <tableColumn id="26" xr3:uid="{DCE2896D-7E72-4BBA-81A9-778109859C82}" name="Notes" totalsRowFunction="count" dataDxfId="20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EC6CC51-1114-4F2E-8E38-0EDEA320A23C}" name="tbl_2027_2028_EOS" displayName="tbl_2027_2028_EOS" ref="H14:Y15" totalsRowShown="0" headerRowDxfId="201" dataDxfId="200" tableBorderDxfId="199">
  <autoFilter ref="H14:Y15" xr:uid="{BEC6CC51-1114-4F2E-8E38-0EDEA320A23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BDADA4E0-F09F-4267-8410-ED92BC67DA59}" name="1W_Days" dataDxfId="198">
      <calculatedColumnFormula array="1">fn_GET_LAST_VAL_IN_COL(tbl_2027_2028_Days[1W_Days],TRUE)</calculatedColumnFormula>
    </tableColumn>
    <tableColumn id="2" xr3:uid="{B05E5BFB-D01F-4B35-BB31-03C34FE1ECC5}" name="1W_Done" dataDxfId="197">
      <calculatedColumnFormula array="1">INDEX(tbl_2027_2028_Days[1W_Done],fn_GET_LAST_IDX_IN_COL(tbl_2027_2028_Days[Ski],TRUE))</calculatedColumnFormula>
    </tableColumn>
    <tableColumn id="3" xr3:uid="{71B31548-C0DD-44E6-A21A-069A78FFAA4C}" name="1E_Days" dataDxfId="196">
      <calculatedColumnFormula array="1">fn_GET_LAST_VAL_IN_COL(tbl_2027_2028_Days[1E_Days],TRUE)</calculatedColumnFormula>
    </tableColumn>
    <tableColumn id="4" xr3:uid="{9657B496-C3A9-4096-8315-B00DEFC00E52}" name="1E_Done" dataDxfId="195">
      <calculatedColumnFormula array="1">INDEX(tbl_2027_2028_Days[1E_Done],fn_GET_LAST_IDX_IN_COL(tbl_2027_2028_Days[Ski],TRUE))</calculatedColumnFormula>
    </tableColumn>
    <tableColumn id="5" xr3:uid="{6B900CEE-A316-4FAF-B6A4-4AF4A3349DDC}" name="1FT_Days" dataDxfId="194">
      <calculatedColumnFormula array="1">fn_GET_LAST_VAL_IN_COL(tbl_2027_2028_Days[1FT_Days],TRUE)</calculatedColumnFormula>
    </tableColumn>
    <tableColumn id="6" xr3:uid="{DE28E653-BBDC-4FC9-9371-B5BDC7B7396C}" name="1FT_Done" dataDxfId="193">
      <calculatedColumnFormula array="1">INDEX(tbl_2027_2028_Days[1FT_Done],fn_GET_LAST_IDX_IN_COL(tbl_2027_2028_Days[Ski],TRUE))</calculatedColumnFormula>
    </tableColumn>
    <tableColumn id="7" xr3:uid="{72E6B5CA-397D-4627-A5EB-A75E92052A7C}" name="2W_Days" dataDxfId="192">
      <calculatedColumnFormula array="1">fn_GET_LAST_VAL_IN_COL(tbl_2027_2028_Days[2W_Days],TRUE)</calculatedColumnFormula>
    </tableColumn>
    <tableColumn id="8" xr3:uid="{771C4385-95A0-4DD8-986C-103681EB386F}" name="2W_Done" dataDxfId="191">
      <calculatedColumnFormula array="1">INDEX(tbl_2027_2028_Days[2W_Done],fn_GET_LAST_IDX_IN_COL(tbl_2027_2028_Days[Ski],TRUE))</calculatedColumnFormula>
    </tableColumn>
    <tableColumn id="9" xr3:uid="{ED9262A1-902C-40B9-B9F0-FF1C9204CBBC}" name="2E_Days" dataDxfId="190">
      <calculatedColumnFormula array="1">fn_GET_LAST_VAL_IN_COL(tbl_2027_2028_Days[2E_Days],TRUE)</calculatedColumnFormula>
    </tableColumn>
    <tableColumn id="10" xr3:uid="{E7D3179A-8FCD-4E09-AF11-41364B878D5B}" name="2E_Done" dataDxfId="189">
      <calculatedColumnFormula array="1">INDEX(tbl_2027_2028_Days[2E_Done],fn_GET_LAST_IDX_IN_COL(tbl_2027_2028_Days[Ski],TRUE))</calculatedColumnFormula>
    </tableColumn>
    <tableColumn id="11" xr3:uid="{63B07EAF-699A-4581-B15B-DFB5EEEF2CA7}" name="2FT_Days" dataDxfId="188">
      <calculatedColumnFormula array="1">fn_GET_LAST_VAL_IN_COL(tbl_2027_2028_Days[2FT_Days],TRUE)</calculatedColumnFormula>
    </tableColumn>
    <tableColumn id="12" xr3:uid="{E8F1089C-871C-4245-9CBF-83B16B829E39}" name="2FT_Done" dataDxfId="187">
      <calculatedColumnFormula array="1">INDEX(tbl_2027_2028_Days[2FT_Done],fn_GET_LAST_IDX_IN_COL(tbl_2027_2028_Days[Ski],TRUE))</calculatedColumnFormula>
    </tableColumn>
    <tableColumn id="13" xr3:uid="{9A5DBAA3-6A20-416E-BE45-588BA8B41686}" name="3W_Days" dataDxfId="186">
      <calculatedColumnFormula array="1">fn_GET_LAST_VAL_IN_COL(tbl_2027_2028_Days[3W_Days],TRUE)</calculatedColumnFormula>
    </tableColumn>
    <tableColumn id="14" xr3:uid="{3E9F1639-1FA7-46D4-B54E-41319D3DD6C1}" name="3W_Done" dataDxfId="185">
      <calculatedColumnFormula array="1">INDEX(tbl_2027_2028_Days[3W_Done],fn_GET_LAST_IDX_IN_COL(tbl_2027_2028_Days[Ski],TRUE))</calculatedColumnFormula>
    </tableColumn>
    <tableColumn id="15" xr3:uid="{1E23A3A7-976E-44B7-996F-391677314E79}" name="3E_Days" dataDxfId="184">
      <calculatedColumnFormula array="1">fn_GET_LAST_VAL_IN_COL(tbl_2027_2028_Days[3E_Days],TRUE)</calculatedColumnFormula>
    </tableColumn>
    <tableColumn id="16" xr3:uid="{EB66381B-9A01-4527-9AF6-968CA5BDC2E9}" name="3E_Done" dataDxfId="183">
      <calculatedColumnFormula array="1">INDEX(tbl_2027_2028_Days[3E_Done],fn_GET_LAST_IDX_IN_COL(tbl_2027_2028_Days[Ski],TRUE))</calculatedColumnFormula>
    </tableColumn>
    <tableColumn id="17" xr3:uid="{A89F3946-1958-4711-A1DB-ACFFE33AA8BC}" name="3FT_Days" dataDxfId="182">
      <calculatedColumnFormula array="1">fn_GET_LAST_VAL_IN_COL(tbl_2027_2028_Days[3FT_Days],TRUE)</calculatedColumnFormula>
    </tableColumn>
    <tableColumn id="18" xr3:uid="{56CA5250-3E3F-475D-8E6D-91D4AA84EEEC}" name="3FT_Done" dataDxfId="181">
      <calculatedColumnFormula array="1">INDEX(tbl_2027_2028_Days[3FT_Done],fn_GET_LAST_IDX_IN_COL(tbl_2027_2028_Days[Ski],TRUE))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8C30C44-30C0-4F8F-8730-AF98A6EE7BBA}" name="tbl_2028_2029_Days" displayName="tbl_2028_2029_Days" ref="A18:Z20" totalsRowCount="1" headerRowDxfId="180" dataDxfId="179" totalsRowDxfId="178">
  <autoFilter ref="A18:Z19" xr:uid="{18C30C44-30C0-4F8F-8730-AF98A6EE7BB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08A628E8-0714-4094-89DD-78B882091C74}" name="Day" totalsRowFunction="count" dataDxfId="177">
      <calculatedColumnFormula array="1">IF(fn_IsTableCellInFirstRow($A19,tbl_2028_2029_Days[]),1,$A18+1)</calculatedColumnFormula>
    </tableColumn>
    <tableColumn id="2" xr3:uid="{2D51DE02-EE1D-424C-9DA5-C8E554CBB846}" name="Date" dataDxfId="176" totalsRowDxfId="175"/>
    <tableColumn id="3" xr3:uid="{4C7389C1-2A61-4661-BE0C-CF00B7F3358D}" name="Resort Name" totalsRowFunction="custom" dataDxfId="174">
      <totalsRowFormula>ROWS(_xlfn.UNIQUE(tbl_2028_2029_Days[Resort Name]))</totalsRowFormula>
    </tableColumn>
    <tableColumn id="4" xr3:uid="{87B4FCA5-F539-45AF-AF27-80BB9A5D3079}" name="Days Skied at Resort" dataDxfId="173">
      <calculatedColumnFormula array="1">fn_GET_UNIQUE_VALS_RUNNING_COUNTS(tbl_2028_2029_Days[Resort Name], tbl_2028_2029_Days[[#This Row],[Resort Name]])</calculatedColumnFormula>
    </tableColumn>
    <tableColumn id="5" xr3:uid="{36F0736A-E0AF-4DEA-B250-46DF837DAF90}" name="Vertical Feet" totalsRowFunction="sum" dataDxfId="172" totalsRowDxfId="171" dataCellStyle="Comma"/>
    <tableColumn id="6" xr3:uid="{78EDF7A4-9225-48BE-833E-A0AB7A424056}" name="Calories" totalsRowFunction="sum" dataDxfId="170" totalsRowDxfId="169" dataCellStyle="Comma"/>
    <tableColumn id="7" xr3:uid="{C3797A01-B238-4B06-8ECD-10978B8796D2}" name="Ski" dataDxfId="168"/>
    <tableColumn id="8" xr3:uid="{C24EBB41-AD9F-48A2-9FCE-5C29EC2FCB9E}" name="1W_Days" dataDxfId="167">
      <calculatedColumnFormula array="1">fn_GetDaysSinceSkiMaintProc($A$2,tbl_2028_2029_Days[[#This Row],[Day]],H18,I18,1,"W",tbl_2028_2029_Days[[#This Row],[Ski]])</calculatedColumnFormula>
    </tableColumn>
    <tableColumn id="9" xr3:uid="{35D7A5E4-E295-4CE8-B357-C6846CAB64A2}" name="1W_Done" dataDxfId="166"/>
    <tableColumn id="10" xr3:uid="{6443C23C-D579-4580-92E0-C5BA5E09DB89}" name="1E_Days" dataDxfId="165">
      <calculatedColumnFormula array="1">fn_GetDaysSinceSkiMaintProc($A$2,tbl_2028_2029_Days[[#This Row],[Day]],J18,K18,1,"E",tbl_2028_2029_Days[[#This Row],[Ski]])</calculatedColumnFormula>
    </tableColumn>
    <tableColumn id="11" xr3:uid="{ED449F88-899F-4432-B959-8BC8B575F140}" name="1E_Done" dataDxfId="164"/>
    <tableColumn id="12" xr3:uid="{934F8618-2FE7-4110-A154-ED1379FEADAE}" name="1FT_Days" dataDxfId="163">
      <calculatedColumnFormula array="1">fn_GetDaysSinceSkiMaintProc($A$2,tbl_2028_2029_Days[[#This Row],[Day]],L18,M18,1,"FT",tbl_2028_2029_Days[[#This Row],[Ski]])</calculatedColumnFormula>
    </tableColumn>
    <tableColumn id="13" xr3:uid="{0799C702-B7BC-4F55-9D4A-56100E8408B0}" name="1FT_Done" dataDxfId="162"/>
    <tableColumn id="14" xr3:uid="{ACA49CFB-80FC-4998-BB49-E7EC00539EF1}" name="2W_Days" dataDxfId="161">
      <calculatedColumnFormula array="1">fn_GetDaysSinceSkiMaintProc($A$2,tbl_2028_2029_Days[[#This Row],[Day]],N18,O18,2,"W",tbl_2028_2029_Days[[#This Row],[Ski]])</calculatedColumnFormula>
    </tableColumn>
    <tableColumn id="15" xr3:uid="{BFDEC00B-2C63-49DC-9F8F-0A645A516B16}" name="2W_Done" dataDxfId="160"/>
    <tableColumn id="16" xr3:uid="{2A47AED7-2E59-4346-8530-BBFD07180D20}" name="2E_Days" dataDxfId="159">
      <calculatedColumnFormula array="1">fn_GetDaysSinceSkiMaintProc($A$2,tbl_2028_2029_Days[[#This Row],[Day]],P18,Q18,2,"E",tbl_2028_2029_Days[[#This Row],[Ski]])</calculatedColumnFormula>
    </tableColumn>
    <tableColumn id="17" xr3:uid="{C9B383C2-AC58-4C94-AACF-BD399D9F8DED}" name="2E_Done" dataDxfId="158"/>
    <tableColumn id="18" xr3:uid="{4A708CC3-02D4-4298-9C8B-A122BDE07729}" name="2FT_Days" dataDxfId="157">
      <calculatedColumnFormula array="1">fn_GetDaysSinceSkiMaintProc($A$2,tbl_2028_2029_Days[[#This Row],[Day]],R18,S18,2,"FT",tbl_2028_2029_Days[[#This Row],[Ski]])</calculatedColumnFormula>
    </tableColumn>
    <tableColumn id="19" xr3:uid="{6C53BD13-9706-4863-9477-BA17C374A452}" name="2FT_Done" dataDxfId="156"/>
    <tableColumn id="20" xr3:uid="{0FD7D158-CFA3-4552-B18F-FC03E9FF9DA8}" name="3W_Days" dataDxfId="155">
      <calculatedColumnFormula array="1">fn_GetDaysSinceSkiMaintProc($A$2,tbl_2028_2029_Days[[#This Row],[Day]],T18,U18,3,"W",tbl_2028_2029_Days[[#This Row],[Ski]])</calculatedColumnFormula>
    </tableColumn>
    <tableColumn id="21" xr3:uid="{64DCF21D-D88A-438A-8D97-BFDDC09F8941}" name="3W_Done" dataDxfId="154"/>
    <tableColumn id="22" xr3:uid="{58D6BBB0-A4A1-4234-956C-00EFDD83D5C6}" name="3E_Days" dataDxfId="153">
      <calculatedColumnFormula array="1">fn_GetDaysSinceSkiMaintProc($A$2,tbl_2028_2029_Days[[#This Row],[Day]],V18,W18,3,"E",tbl_2028_2029_Days[[#This Row],[Ski]])</calculatedColumnFormula>
    </tableColumn>
    <tableColumn id="23" xr3:uid="{4F076967-BF5A-4FEF-9691-133EB9A1883A}" name="3E_Done" dataDxfId="152"/>
    <tableColumn id="24" xr3:uid="{F89CA346-DBC3-45E9-B12B-A993BB7E252C}" name="3FT_Days" dataDxfId="151">
      <calculatedColumnFormula array="1">fn_GetDaysSinceSkiMaintProc($A$2,tbl_2028_2029_Days[[#This Row],[Day]],X18,Y18,3,"FT",tbl_2028_2029_Days[[#This Row],[Ski]])</calculatedColumnFormula>
    </tableColumn>
    <tableColumn id="25" xr3:uid="{A17BA2F0-A706-4860-A134-F83781831C5D}" name="3FT_Done" dataDxfId="150"/>
    <tableColumn id="26" xr3:uid="{FE7FF05F-2455-482E-AFD4-324EED07AC5C}" name="Notes" totalsRowFunction="count" dataDxfId="14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42CB7BB-ECAD-44F0-8600-E9CFF0390185}" name="tbl_2028_2029_EOS" displayName="tbl_2028_2029_EOS" ref="H14:Y15" totalsRowShown="0" headerRowDxfId="148" dataDxfId="147" tableBorderDxfId="146">
  <autoFilter ref="H14:Y15" xr:uid="{642CB7BB-ECAD-44F0-8600-E9CFF039018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EFED9264-85A6-4DD3-A617-0ECECF358106}" name="1W_Days" dataDxfId="145">
      <calculatedColumnFormula array="1">fn_GET_LAST_VAL_IN_COL(tbl_2028_2029_Days[1W_Days],TRUE)</calculatedColumnFormula>
    </tableColumn>
    <tableColumn id="2" xr3:uid="{7D77488D-54BE-405E-9DA3-6CC998132B1C}" name="1W_Done" dataDxfId="144">
      <calculatedColumnFormula array="1">INDEX(tbl_2028_2029_Days[1W_Done],fn_GET_LAST_IDX_IN_COL(tbl_2028_2029_Days[Ski],TRUE))</calculatedColumnFormula>
    </tableColumn>
    <tableColumn id="3" xr3:uid="{0D3495BC-9335-49C5-AF0C-405F2D2331F3}" name="1E_Days" dataDxfId="143">
      <calculatedColumnFormula array="1">fn_GET_LAST_VAL_IN_COL(tbl_2028_2029_Days[1E_Days],TRUE)</calculatedColumnFormula>
    </tableColumn>
    <tableColumn id="4" xr3:uid="{9DA97867-0D6E-4304-9E21-C1FFC6E5EBD3}" name="1E_Done" dataDxfId="142">
      <calculatedColumnFormula array="1">INDEX(tbl_2028_2029_Days[1E_Done],fn_GET_LAST_IDX_IN_COL(tbl_2028_2029_Days[Ski],TRUE))</calculatedColumnFormula>
    </tableColumn>
    <tableColumn id="5" xr3:uid="{F9BAAC27-1ED1-401D-B05A-AC036A05CCC0}" name="1FT_Days" dataDxfId="141">
      <calculatedColumnFormula array="1">fn_GET_LAST_VAL_IN_COL(tbl_2028_2029_Days[1FT_Days],TRUE)</calculatedColumnFormula>
    </tableColumn>
    <tableColumn id="6" xr3:uid="{770F0DBC-47AC-4D48-868B-F816FFF4A80F}" name="1FT_Done" dataDxfId="140">
      <calculatedColumnFormula array="1">INDEX(tbl_2028_2029_Days[1FT_Done],fn_GET_LAST_IDX_IN_COL(tbl_2028_2029_Days[Ski],TRUE))</calculatedColumnFormula>
    </tableColumn>
    <tableColumn id="7" xr3:uid="{DB6BD06B-9C28-454B-A92E-787CD5EE1D3D}" name="2W_Days" dataDxfId="139">
      <calculatedColumnFormula array="1">fn_GET_LAST_VAL_IN_COL(tbl_2028_2029_Days[2W_Days],TRUE)</calculatedColumnFormula>
    </tableColumn>
    <tableColumn id="8" xr3:uid="{FA6A4987-6DE9-4B16-BF9C-5B737E4B9205}" name="2W_Done" dataDxfId="138">
      <calculatedColumnFormula array="1">INDEX(tbl_2028_2029_Days[2W_Done],fn_GET_LAST_IDX_IN_COL(tbl_2028_2029_Days[Ski],TRUE))</calculatedColumnFormula>
    </tableColumn>
    <tableColumn id="9" xr3:uid="{3494FB5A-4062-4DB9-8110-0D4F29E2C429}" name="2E_Days" dataDxfId="137">
      <calculatedColumnFormula array="1">fn_GET_LAST_VAL_IN_COL(tbl_2028_2029_Days[2E_Days],TRUE)</calculatedColumnFormula>
    </tableColumn>
    <tableColumn id="10" xr3:uid="{6ACE89BE-2F42-4740-B94E-F801148F61F1}" name="2E_Done" dataDxfId="136">
      <calculatedColumnFormula array="1">INDEX(tbl_2028_2029_Days[2E_Done],fn_GET_LAST_IDX_IN_COL(tbl_2028_2029_Days[Ski],TRUE))</calculatedColumnFormula>
    </tableColumn>
    <tableColumn id="11" xr3:uid="{F5F57A1E-1256-4486-BE27-66F02ADDF8ED}" name="2FT_Days" dataDxfId="135">
      <calculatedColumnFormula array="1">fn_GET_LAST_VAL_IN_COL(tbl_2028_2029_Days[2FT_Days],TRUE)</calculatedColumnFormula>
    </tableColumn>
    <tableColumn id="12" xr3:uid="{A5D0DDDD-B55E-407F-938A-AF5CC277C88E}" name="2FT_Done" dataDxfId="134">
      <calculatedColumnFormula array="1">INDEX(tbl_2028_2029_Days[2FT_Done],fn_GET_LAST_IDX_IN_COL(tbl_2028_2029_Days[Ski],TRUE))</calculatedColumnFormula>
    </tableColumn>
    <tableColumn id="13" xr3:uid="{EFD91EC0-1A51-4632-9957-BEB1B53F8645}" name="3W_Days" dataDxfId="133">
      <calculatedColumnFormula array="1">fn_GET_LAST_VAL_IN_COL(tbl_2028_2029_Days[3W_Days],TRUE)</calculatedColumnFormula>
    </tableColumn>
    <tableColumn id="14" xr3:uid="{07B4945B-463C-4D8F-AE87-39FE6B8B8059}" name="3W_Done" dataDxfId="132">
      <calculatedColumnFormula array="1">INDEX(tbl_2028_2029_Days[3W_Done],fn_GET_LAST_IDX_IN_COL(tbl_2028_2029_Days[Ski],TRUE))</calculatedColumnFormula>
    </tableColumn>
    <tableColumn id="15" xr3:uid="{91B4A3C2-857A-4E28-AA59-97EFB4777C06}" name="3E_Days" dataDxfId="131">
      <calculatedColumnFormula array="1">fn_GET_LAST_VAL_IN_COL(tbl_2028_2029_Days[3E_Days],TRUE)</calculatedColumnFormula>
    </tableColumn>
    <tableColumn id="16" xr3:uid="{51315725-B7D1-4EE2-A628-F6C578D777EE}" name="3E_Done" dataDxfId="130">
      <calculatedColumnFormula array="1">INDEX(tbl_2028_2029_Days[3E_Done],fn_GET_LAST_IDX_IN_COL(tbl_2028_2029_Days[Ski],TRUE))</calculatedColumnFormula>
    </tableColumn>
    <tableColumn id="17" xr3:uid="{32E0DE36-82E3-4D57-B945-7E6F8491B3E5}" name="3FT_Days" dataDxfId="129">
      <calculatedColumnFormula array="1">fn_GET_LAST_VAL_IN_COL(tbl_2028_2029_Days[3FT_Days],TRUE)</calculatedColumnFormula>
    </tableColumn>
    <tableColumn id="18" xr3:uid="{2F0B8A51-92C5-455C-BEF3-305DF10769CA}" name="3FT_Done" dataDxfId="128">
      <calculatedColumnFormula array="1">INDEX(tbl_2028_2029_Days[3FT_Done],fn_GET_LAST_IDX_IN_COL(tbl_2028_2029_Days[Ski],TRUE))</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92359AF-B942-4090-950E-79C348C1877D}" name="tbl_2029_2030_Days" displayName="tbl_2029_2030_Days" ref="A18:Z20" totalsRowCount="1" headerRowDxfId="127" dataDxfId="126" totalsRowDxfId="125">
  <autoFilter ref="A18:Z19" xr:uid="{A92359AF-B942-4090-950E-79C348C1877D}"/>
  <tableColumns count="26">
    <tableColumn id="1" xr3:uid="{6A84F2D4-F0C0-4144-9D69-5A4010DE9FC3}" name="Day" totalsRowFunction="count" dataDxfId="124">
      <calculatedColumnFormula array="1">IF(fn_IsTableCellInFirstRow($A19,tbl_2029_2030_Days[]),1,$A18+1)</calculatedColumnFormula>
    </tableColumn>
    <tableColumn id="2" xr3:uid="{759964EB-3544-4D21-8D89-C58C76B9D33A}" name="Date" dataDxfId="123" totalsRowDxfId="122"/>
    <tableColumn id="3" xr3:uid="{7B51F23D-B0B8-4192-83AE-E847798823A4}" name="Resort Name" totalsRowFunction="custom" dataDxfId="121">
      <totalsRowFormula>ROWS(_xlfn.UNIQUE(tbl_2029_2030_Days[Resort Name]))</totalsRowFormula>
    </tableColumn>
    <tableColumn id="4" xr3:uid="{A399A276-4C87-4DE0-A2FD-7AB663E8FEC4}" name="Days Skied at Resort" dataDxfId="120">
      <calculatedColumnFormula array="1">fn_GET_UNIQUE_VALS_RUNNING_COUNTS(tbl_2029_2030_Days[Resort Name], tbl_2029_2030_Days[[#This Row],[Resort Name]])</calculatedColumnFormula>
    </tableColumn>
    <tableColumn id="5" xr3:uid="{4890A35A-1D7A-4CDA-83D2-1E3DDA3B3C9F}" name="Vertical Feet" totalsRowFunction="sum" dataDxfId="119" totalsRowDxfId="118" dataCellStyle="Comma"/>
    <tableColumn id="6" xr3:uid="{71E255C3-C7D1-476D-A098-C04EE598E1D4}" name="Calories" totalsRowFunction="sum" dataDxfId="117" totalsRowDxfId="116" dataCellStyle="Comma"/>
    <tableColumn id="7" xr3:uid="{2F84E991-3E7D-4C1C-B780-7534F8CFE884}" name="Ski" dataDxfId="115"/>
    <tableColumn id="8" xr3:uid="{1AA56039-2C03-4FEB-B7A9-929CCA9ABEC7}" name="1W_Days" dataDxfId="114">
      <calculatedColumnFormula array="1">fn_GetDaysSinceSkiMaintProc($A$2,tbl_2029_2030_Days[[#This Row],[Day]],H18,I18,1,"W",tbl_2029_2030_Days[[#This Row],[Ski]])</calculatedColumnFormula>
    </tableColumn>
    <tableColumn id="9" xr3:uid="{7591FF5F-DB90-4B2C-819F-E9F0104C5C2C}" name="1W_Done" dataDxfId="113"/>
    <tableColumn id="10" xr3:uid="{058226B1-4858-417A-ACE4-01B0BC5EB9F2}" name="1E_Days" dataDxfId="112">
      <calculatedColumnFormula array="1">fn_GetDaysSinceSkiMaintProc($A$2,tbl_2029_2030_Days[[#This Row],[Day]],J18,K18,1,"E",tbl_2029_2030_Days[[#This Row],[Ski]])</calculatedColumnFormula>
    </tableColumn>
    <tableColumn id="11" xr3:uid="{4D7227ED-C827-4FB0-85D2-2BBF7B591D37}" name="1E_Done" dataDxfId="111"/>
    <tableColumn id="12" xr3:uid="{08D5808B-D020-4928-8420-BDA3646338B2}" name="1FT_Days" dataDxfId="110">
      <calculatedColumnFormula array="1">fn_GetDaysSinceSkiMaintProc($A$2,tbl_2029_2030_Days[[#This Row],[Day]],L18,M18,1,"FT",tbl_2029_2030_Days[[#This Row],[Ski]])</calculatedColumnFormula>
    </tableColumn>
    <tableColumn id="13" xr3:uid="{A0E714A7-0945-4127-B59F-C8B2721089AE}" name="1FT_Done" dataDxfId="109"/>
    <tableColumn id="14" xr3:uid="{646BC3FC-0C4C-4764-9FB8-71B96C4BDE07}" name="2W_Days" dataDxfId="108">
      <calculatedColumnFormula array="1">fn_GetDaysSinceSkiMaintProc($A$2,tbl_2029_2030_Days[[#This Row],[Day]],N18,O18,2,"W",tbl_2029_2030_Days[[#This Row],[Ski]])</calculatedColumnFormula>
    </tableColumn>
    <tableColumn id="15" xr3:uid="{95CB4B77-BEEA-45E4-B368-4CCD38B898F2}" name="2W_Done" dataDxfId="107"/>
    <tableColumn id="16" xr3:uid="{9370BFDB-8AC7-486D-8CC9-4B2BFBA75F73}" name="2E_Days" dataDxfId="106">
      <calculatedColumnFormula array="1">fn_GetDaysSinceSkiMaintProc($A$2,tbl_2029_2030_Days[[#This Row],[Day]],P18,Q18,2,"E",tbl_2029_2030_Days[[#This Row],[Ski]])</calculatedColumnFormula>
    </tableColumn>
    <tableColumn id="17" xr3:uid="{714E397F-5116-4679-BE94-5BC55C8B2159}" name="2E_Done" dataDxfId="105"/>
    <tableColumn id="18" xr3:uid="{9F3CB650-04DA-4F71-BA0E-5BDAF5025BEB}" name="2FT_Days" dataDxfId="104">
      <calculatedColumnFormula array="1">fn_GetDaysSinceSkiMaintProc($A$2,tbl_2029_2030_Days[[#This Row],[Day]],R18,S18,2,"FT",tbl_2029_2030_Days[[#This Row],[Ski]])</calculatedColumnFormula>
    </tableColumn>
    <tableColumn id="19" xr3:uid="{6AB3F2B0-325A-483C-9E91-2565EC50138F}" name="2FT_Done" dataDxfId="103"/>
    <tableColumn id="20" xr3:uid="{DCBC9FB7-2A1C-4877-8884-BA80FAD27161}" name="3W_Days" dataDxfId="102">
      <calculatedColumnFormula array="1">fn_GetDaysSinceSkiMaintProc($A$2,tbl_2029_2030_Days[[#This Row],[Day]],T18,U18,3,"W",tbl_2029_2030_Days[[#This Row],[Ski]])</calculatedColumnFormula>
    </tableColumn>
    <tableColumn id="21" xr3:uid="{50762433-47D4-4B6D-96B9-9DC9B646532B}" name="3W_Done" dataDxfId="101"/>
    <tableColumn id="22" xr3:uid="{66199B80-AEA9-43A5-86A8-5E5E6322527A}" name="3E_Days" dataDxfId="100">
      <calculatedColumnFormula array="1">fn_GetDaysSinceSkiMaintProc($A$2,tbl_2029_2030_Days[[#This Row],[Day]],V18,W18,3,"E",tbl_2029_2030_Days[[#This Row],[Ski]])</calculatedColumnFormula>
    </tableColumn>
    <tableColumn id="23" xr3:uid="{8745CEB6-3F46-4E9D-BCB1-FAA37B46E03A}" name="3E_Done" dataDxfId="99"/>
    <tableColumn id="24" xr3:uid="{D5BAB085-B916-40C9-8235-AF48A1B61862}" name="3FT_Days" dataDxfId="98">
      <calculatedColumnFormula array="1">fn_GetDaysSinceSkiMaintProc($A$2,tbl_2029_2030_Days[[#This Row],[Day]],X18,Y18,3,"FT",tbl_2029_2030_Days[[#This Row],[Ski]])</calculatedColumnFormula>
    </tableColumn>
    <tableColumn id="25" xr3:uid="{9DAABDBE-1FE1-4185-A060-32BA4AAB70FA}" name="3FT_Done" dataDxfId="97"/>
    <tableColumn id="26" xr3:uid="{A2169B26-3DD3-48E7-A07F-6983EA9A79AC}" name="Notes" totalsRowFunction="count" dataDxfId="9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1FB5765-234B-49A0-A502-E57BFDA2B16E}" name="tbl_2029_2030_EOS" displayName="tbl_2029_2030_EOS" ref="H14:Y15" totalsRowShown="0" headerRowDxfId="95" dataDxfId="94" tableBorderDxfId="93">
  <autoFilter ref="H14:Y15" xr:uid="{31FB5765-234B-49A0-A502-E57BFDA2B16E}"/>
  <tableColumns count="18">
    <tableColumn id="1" xr3:uid="{5A6A7BF6-58C7-43CE-99AC-2F0244B0215E}" name="1W_Days" dataDxfId="92">
      <calculatedColumnFormula array="1">fn_GET_LAST_VAL_IN_COL(tbl_2029_2030_Days[1W_Days],TRUE)</calculatedColumnFormula>
    </tableColumn>
    <tableColumn id="2" xr3:uid="{6D5B9FD0-4759-4D47-A2D3-C8AE4CD9D499}" name="1W_Done" dataDxfId="91">
      <calculatedColumnFormula array="1">INDEX(tbl_2029_2030_Days[1W_Done],fn_GET_LAST_IDX_IN_COL(tbl_2029_2030_Days[Ski],TRUE))</calculatedColumnFormula>
    </tableColumn>
    <tableColumn id="3" xr3:uid="{5CCD6981-94C7-4249-9134-29216CEEDBAC}" name="1E_Days" dataDxfId="90">
      <calculatedColumnFormula array="1">fn_GET_LAST_VAL_IN_COL(tbl_2029_2030_Days[1E_Days],TRUE)</calculatedColumnFormula>
    </tableColumn>
    <tableColumn id="4" xr3:uid="{9807FD24-079C-4286-BAB9-3CC88338D479}" name="1E_Done" dataDxfId="89">
      <calculatedColumnFormula array="1">INDEX(tbl_2029_2030_Days[1E_Done],fn_GET_LAST_IDX_IN_COL(tbl_2029_2030_Days[Ski],TRUE))</calculatedColumnFormula>
    </tableColumn>
    <tableColumn id="5" xr3:uid="{10530724-DA7D-40D7-8216-252FD887956C}" name="1FT_Days" dataDxfId="88">
      <calculatedColumnFormula array="1">fn_GET_LAST_VAL_IN_COL(tbl_2029_2030_Days[1FT_Days],TRUE)</calculatedColumnFormula>
    </tableColumn>
    <tableColumn id="6" xr3:uid="{4B2101D7-B5C1-407E-ADA2-B693FB2CBEDF}" name="1FT_Done" dataDxfId="87">
      <calculatedColumnFormula array="1">INDEX(tbl_2029_2030_Days[1FT_Done],fn_GET_LAST_IDX_IN_COL(tbl_2029_2030_Days[Ski],TRUE))</calculatedColumnFormula>
    </tableColumn>
    <tableColumn id="7" xr3:uid="{F1D4B00C-D825-48E5-957C-2B498052CF1E}" name="2W_Days" dataDxfId="86">
      <calculatedColumnFormula array="1">fn_GET_LAST_VAL_IN_COL(tbl_2029_2030_Days[2W_Days],TRUE)</calculatedColumnFormula>
    </tableColumn>
    <tableColumn id="8" xr3:uid="{D051391D-2658-45F5-B836-F4D17FA0E1A9}" name="2W_Done" dataDxfId="85">
      <calculatedColumnFormula array="1">INDEX(tbl_2029_2030_Days[2W_Done],fn_GET_LAST_IDX_IN_COL(tbl_2029_2030_Days[Ski],TRUE))</calculatedColumnFormula>
    </tableColumn>
    <tableColumn id="9" xr3:uid="{12041449-8E42-4B76-8AEA-756C714AB5E4}" name="2E_Days" dataDxfId="84">
      <calculatedColumnFormula array="1">fn_GET_LAST_VAL_IN_COL(tbl_2029_2030_Days[2E_Days],TRUE)</calculatedColumnFormula>
    </tableColumn>
    <tableColumn id="10" xr3:uid="{A7881FB4-3AD7-402E-AB65-41CB03660F8B}" name="2E_Done" dataDxfId="83">
      <calculatedColumnFormula array="1">INDEX(tbl_2029_2030_Days[2E_Done],fn_GET_LAST_IDX_IN_COL(tbl_2029_2030_Days[Ski],TRUE))</calculatedColumnFormula>
    </tableColumn>
    <tableColumn id="11" xr3:uid="{554F05B6-882C-445B-BD3B-FDB557C04B97}" name="2FT_Days" dataDxfId="82">
      <calculatedColumnFormula array="1">fn_GET_LAST_VAL_IN_COL(tbl_2029_2030_Days[2FT_Days],TRUE)</calculatedColumnFormula>
    </tableColumn>
    <tableColumn id="12" xr3:uid="{9A471C0E-0C24-4F56-9F25-48A7427B9573}" name="2FT_Done" dataDxfId="81">
      <calculatedColumnFormula array="1">INDEX(tbl_2029_2030_Days[2FT_Done],fn_GET_LAST_IDX_IN_COL(tbl_2029_2030_Days[Ski],TRUE))</calculatedColumnFormula>
    </tableColumn>
    <tableColumn id="13" xr3:uid="{96B2CA34-FD2B-4DBF-BB42-A9C5173BD97B}" name="3W_Days" dataDxfId="80">
      <calculatedColumnFormula array="1">fn_GET_LAST_VAL_IN_COL(tbl_2029_2030_Days[3W_Days],TRUE)</calculatedColumnFormula>
    </tableColumn>
    <tableColumn id="14" xr3:uid="{2A635BBF-7543-4955-9A6A-360281DA1C79}" name="3W_Done" dataDxfId="79">
      <calculatedColumnFormula array="1">INDEX(tbl_2029_2030_Days[3W_Done],fn_GET_LAST_IDX_IN_COL(tbl_2029_2030_Days[Ski],TRUE))</calculatedColumnFormula>
    </tableColumn>
    <tableColumn id="15" xr3:uid="{3EF05B63-57ED-444D-A08A-96E4E57C1456}" name="3E_Days" dataDxfId="78">
      <calculatedColumnFormula array="1">fn_GET_LAST_VAL_IN_COL(tbl_2029_2030_Days[3E_Days],TRUE)</calculatedColumnFormula>
    </tableColumn>
    <tableColumn id="16" xr3:uid="{91A5D15C-EE6C-4D9C-A1DA-BC427D780A99}" name="3E_Done" dataDxfId="77">
      <calculatedColumnFormula array="1">INDEX(tbl_2029_2030_Days[3E_Done],fn_GET_LAST_IDX_IN_COL(tbl_2029_2030_Days[Ski],TRUE))</calculatedColumnFormula>
    </tableColumn>
    <tableColumn id="17" xr3:uid="{FBD422CD-5FAD-49FD-AF1B-E3C25ED1FC36}" name="3FT_Days" dataDxfId="76">
      <calculatedColumnFormula array="1">fn_GET_LAST_VAL_IN_COL(tbl_2029_2030_Days[3FT_Days],TRUE)</calculatedColumnFormula>
    </tableColumn>
    <tableColumn id="18" xr3:uid="{8F33989B-A1B1-49E5-92C0-695AC329E02A}" name="3FT_Done" dataDxfId="75">
      <calculatedColumnFormula array="1">INDEX(tbl_2029_2030_Days[3FT_Done],fn_GET_LAST_IDX_IN_COL(tbl_2029_2030_Days[Ski],TRUE))</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C93814-551A-4BF2-963C-804669938A8E}" name="tbl_Resorts" displayName="tbl_Resorts" ref="A3:I31" totalsRowCount="1" headerRowDxfId="74" dataDxfId="73" totalsRowDxfId="72">
  <autoFilter ref="A3:I30" xr:uid="{D3C93814-551A-4BF2-963C-804669938A8E}"/>
  <sortState xmlns:xlrd2="http://schemas.microsoft.com/office/spreadsheetml/2017/richdata2" ref="A4:I30">
    <sortCondition ref="A3:A30"/>
  </sortState>
  <tableColumns count="9">
    <tableColumn id="1" xr3:uid="{507DA267-C318-4A38-983F-56B32E4DDF5E}" name="Name" totalsRowLabel="Total" dataDxfId="71"/>
    <tableColumn id="2" xr3:uid="{470963CB-B685-4F1E-91B0-F215C9E51784}" name="2022-2023" totalsRowFunction="sum" dataDxfId="70">
      <calculatedColumnFormula>IFERROR(IF(tbl_Resorts[[#This Row],[Name]]="","",COUNTIF('2022-2023'!$C$11:$C$110,tbl_Resorts[[#This Row],[Name]])),"")</calculatedColumnFormula>
    </tableColumn>
    <tableColumn id="3" xr3:uid="{B1092289-85A2-4C95-BA06-49247991B86E}" name="2023-2024" totalsRowFunction="sum" dataDxfId="69">
      <calculatedColumnFormula>IFERROR(IF(tbl_Resorts[[#This Row],[Name]]="","",COUNTIF('2023-2024'!$C$11:$C$110,tbl_Resorts[[#This Row],[Name]])),"")</calculatedColumnFormula>
    </tableColumn>
    <tableColumn id="4" xr3:uid="{470EE811-E7B5-4F37-9C34-BE2AF5AFA6FC}" name="2024-2025" totalsRowFunction="sum" dataDxfId="68">
      <calculatedColumnFormula>IFERROR(IF(tbl_Resorts[[#This Row],[Name]]="","",COUNTIF('2024-2025'!$C$14:$C$113,tbl_Resorts[[#This Row],[Name]])),"")</calculatedColumnFormula>
    </tableColumn>
    <tableColumn id="5" xr3:uid="{E7F999E2-D927-4F16-A9E0-E78DFD1C8594}" name="2025-2026" totalsRowFunction="sum" dataDxfId="67">
      <calculatedColumnFormula array="1">fn_DaysSkiedCountByResortAndSeason(tbl_Resorts[[#This Row],[Name]],tbl_Resorts[[#Headers],[2025-2026]])</calculatedColumnFormula>
    </tableColumn>
    <tableColumn id="6" xr3:uid="{2E375F05-68DC-4F4D-93F2-932B8661D647}" name="2026-2027" totalsRowFunction="sum" dataDxfId="66">
      <calculatedColumnFormula array="1">fn_DaysSkiedCountByResortAndSeason(tbl_Resorts[[#This Row],[Name]],tbl_Resorts[[#Headers],[2026-2027]])</calculatedColumnFormula>
    </tableColumn>
    <tableColumn id="7" xr3:uid="{4FECFE44-E857-4431-8892-03E03BA04297}" name="2027-2028" totalsRowFunction="sum" dataDxfId="65">
      <calculatedColumnFormula array="1">fn_DaysSkiedCountByResortAndSeason(tbl_Resorts[[#This Row],[Name]],tbl_Resorts[[#Headers],[2027-2028]])</calculatedColumnFormula>
    </tableColumn>
    <tableColumn id="8" xr3:uid="{A5A491DA-E6FB-47C8-BB72-72260B564D73}" name="2028-2029" totalsRowFunction="sum" dataDxfId="64">
      <calculatedColumnFormula array="1">fn_DaysSkiedCountByResortAndSeason(tbl_Resorts[[#This Row],[Name]],tbl_Resorts[[#Headers],[2028-2029]])</calculatedColumnFormula>
    </tableColumn>
    <tableColumn id="10" xr3:uid="{801539EA-EA60-4FB8-A960-5B3263D6EF02}" name="2029-2030" totalsRowFunction="sum" dataDxfId="63">
      <calculatedColumnFormula array="1">fn_DaysSkiedCountByResortAndSeason(tbl_Resorts[[#This Row],[Name]],tbl_Resorts[[#Headers],[2029-2030]])</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10425B2-6112-4B5D-93A9-6C4DF00F9AC4}" name="tbl_Skis" displayName="tbl_Skis" ref="A3:J6" totalsRowShown="0" headerRowDxfId="62" dataDxfId="61">
  <autoFilter ref="A3:J6" xr:uid="{210425B2-6112-4B5D-93A9-6C4DF00F9AC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sortState xmlns:xlrd2="http://schemas.microsoft.com/office/spreadsheetml/2017/richdata2" ref="B4:C6">
    <sortCondition ref="C3:C6"/>
  </sortState>
  <tableColumns count="10">
    <tableColumn id="10" xr3:uid="{815F4DE6-5030-4F2B-B8DF-0E2E77B2DA92}" name="Index" dataDxfId="60"/>
    <tableColumn id="1" xr3:uid="{7F9DBD2E-4189-4282-9C6E-1268212E175A}" name="Name" dataDxfId="59"/>
    <tableColumn id="2" xr3:uid="{4A5CF93D-4830-4901-8039-0FA1AE1C9DC5}" name="Abbrev" dataDxfId="58"/>
    <tableColumn id="3" xr3:uid="{29B7FDA9-0334-40F9-9BCA-A8CF1484E514}" name="2024-2025" dataDxfId="57">
      <calculatedColumnFormula array="1">_xlfn.LAMBDA(_xlop.pSkiName,_xlop.pSeasonName,
_xlfn.LET(
  _xlpm._comment,
  N(
    "function name: GetDaySkisUsedCountBySeason"
  ),
  _xlpm._tableName,
  _xlfn.LET(
    _xlpm.__seasonName,
    IF(
      _xlfn.ISOMITTED(
        _xlpm.pSeasonName
      ),
      GetColumnName(
        "tableSkis"
      ),
      _xlpm.pSeasonName
    ),
    _xlpm.__result,
    "table" &amp; SUBSTITUTE(
      _xlpm.__seasonName,
      "-",
      "_"
    ),
    _xlpm.__result
  ),
  _xlpm._countRange,
  INDIRECT(
    _xlpm._tableName &amp; "[Ski]"
  ),
  _xlpm._countCriteria,
  _xlfn.LET(
    _xlpm.__result,
    IF(
      _xlfn.ISOMITTED(
        _xlpm.pSkiName
      ),
      tbl_Skis[[#This Row],[Name]],
      _xlpm.pSkiName
    ),
    _xlpm.__result
  ),
  _xlpm._result,
  COUNTIF(
    _xlpm._countRange,
    _xlpm._countCriteria
  ),
  _xlpm._tableName  &amp; "[Ski]"
)
)( , )</calculatedColumnFormula>
    </tableColumn>
    <tableColumn id="4" xr3:uid="{68EE2FDB-2D7E-4BFD-997E-AD187A2583AA}" name="2025-2026" dataDxfId="56">
      <calculatedColumnFormula array="1">fn_GetDaysSkiUsedCountBySeasonNameAndSkiName(tbl_Skis[[#Headers],[2025-2026]],tbl_Skis[[#This Row],[Name]])</calculatedColumnFormula>
    </tableColumn>
    <tableColumn id="5" xr3:uid="{54E23A07-ADDE-437D-A8C0-ED6A3740F67A}" name="2026-2027" dataDxfId="55">
      <calculatedColumnFormula array="1">fn_GetDaysSkiUsedCountBySeasonNameAndSkiName(tbl_Skis[[#Headers],[2026-2027]],tbl_Skis[[#This Row],[Name]])</calculatedColumnFormula>
    </tableColumn>
    <tableColumn id="6" xr3:uid="{318B0B62-E4C0-459D-B30B-788D21944EF6}" name="2027-2028" dataDxfId="54">
      <calculatedColumnFormula array="1">fn_GetDaysSkiUsedCountBySeasonNameAndSkiName(tbl_Skis[[#Headers],[2027-2028]],tbl_Skis[[#This Row],[Name]])</calculatedColumnFormula>
    </tableColumn>
    <tableColumn id="7" xr3:uid="{C6C7C0E2-5276-4755-90C1-FB04BE80360C}" name="2028-2029" dataDxfId="53">
      <calculatedColumnFormula array="1">fn_GetDaysSkiUsedCountBySeasonNameAndSkiName(tbl_Skis[[#Headers],[2028-2029]],tbl_Skis[[#This Row],[Name]])</calculatedColumnFormula>
    </tableColumn>
    <tableColumn id="8" xr3:uid="{5442CC51-0E73-451C-87F9-94BED7FF653F}" name="2029-2030" dataDxfId="52">
      <calculatedColumnFormula array="1">fn_GetDaysSkiUsedCountBySeasonNameAndSkiName(tbl_Skis[[#Headers],[2029-2030]],tbl_Skis[[#This Row],[Name]])</calculatedColumnFormula>
    </tableColumn>
    <tableColumn id="9" xr3:uid="{CC0EF6FF-168D-4528-B159-563B33B65371}" name="Total" dataDxfId="51">
      <calculatedColumnFormula>SUM(tbl_Skis[[#This Row],[2024-2025]:[2029-2030]])</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0C1D450-C1DA-47C2-963E-C2A3BC7C2FF2}" name="tbl_Misc_Vals" displayName="tbl_Misc_Vals" ref="A4:C6" totalsRowShown="0" headerRowDxfId="50" headerRowBorderDxfId="49" tableBorderDxfId="48">
  <autoFilter ref="A4:C6" xr:uid="{30C1D450-C1DA-47C2-963E-C2A3BC7C2FF2}"/>
  <tableColumns count="3">
    <tableColumn id="1" xr3:uid="{8180AF26-09BC-4BBD-8F38-0DBB6E3111EE}" name="Name" dataDxfId="47"/>
    <tableColumn id="2" xr3:uid="{A3136BEB-A99E-4DA5-8FE9-CBE689CC4572}" name="Value" dataDxfId="46"/>
    <tableColumn id="3" xr3:uid="{26CF4EA0-6ACB-4B0B-9262-E73CF6E9D202}" name="Description" dataDxfId="45"/>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BD8172-3287-48A3-A85B-FBE8B8B8F5D6}" name="tbl_DvAllRpt" displayName="tbl_DvAllRpt" ref="A3:H519" totalsRowShown="0" headerRowDxfId="44" dataDxfId="43">
  <autoFilter ref="A3:H519" xr:uid="{72BD8172-3287-48A3-A85B-FBE8B8B8F5D6}"/>
  <sortState xmlns:xlrd2="http://schemas.microsoft.com/office/spreadsheetml/2017/richdata2" ref="A4:H519">
    <sortCondition ref="A3:A519"/>
    <sortCondition ref="B3:B519"/>
  </sortState>
  <tableColumns count="8">
    <tableColumn id="1" xr3:uid="{81FEADD6-EB0A-4454-9C89-D2FDE21F2014}" name="Sheet" dataDxfId="42"/>
    <tableColumn id="2" xr3:uid="{33F4B76D-AC12-41DB-9180-2F3A23CD3D64}" name="Cell" dataDxfId="41"/>
    <tableColumn id="3" xr3:uid="{5184EFAB-3DF6-4801-887C-197D7F7BBA8E}" name="Val_Type" dataDxfId="40"/>
    <tableColumn id="4" xr3:uid="{29BD9B9E-967B-4723-8DC6-352A1314CCFA}" name="Operator" dataDxfId="39"/>
    <tableColumn id="5" xr3:uid="{34AEF54C-7714-4160-8410-B9977651A55C}" name="F1" dataDxfId="38"/>
    <tableColumn id="6" xr3:uid="{F2599628-45DE-42BA-8292-5C35CB6EBAA8}" name="F1_Type" dataDxfId="37"/>
    <tableColumn id="7" xr3:uid="{48834510-62C0-41DB-90F4-35218F9F545D}" name="F2" dataDxfId="36"/>
    <tableColumn id="8" xr3:uid="{0D3279E7-477A-42E6-B3F3-B1A1D05DC399}" name="F2_Type" dataDxfId="3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3BA75389-84B2-4D68-8CE1-8ED57C1BA80F}" name="tbl_DvF_Rpt" displayName="tbl_DvF_Rpt" ref="A3:D5" totalsRowShown="0" headerRowDxfId="34" dataDxfId="33">
  <autoFilter ref="A3:D5" xr:uid="{3BA75389-84B2-4D68-8CE1-8ED57C1BA80F}"/>
  <sortState xmlns:xlrd2="http://schemas.microsoft.com/office/spreadsheetml/2017/richdata2" ref="A4:D5">
    <sortCondition ref="A3:A5"/>
    <sortCondition ref="B3:B5"/>
  </sortState>
  <tableColumns count="4">
    <tableColumn id="1" xr3:uid="{CF5AFD34-E1F1-48F9-AD17-FF2C76A30CA9}" name="F1" dataDxfId="32"/>
    <tableColumn id="2" xr3:uid="{3980178E-1272-4B2D-8BB5-140823A04826}" name="F2" dataDxfId="31"/>
    <tableColumn id="3" xr3:uid="{F58B69B1-288C-466B-A832-73522BC4A0C4}" name="Ref_Count" dataDxfId="30"/>
    <tableColumn id="4" xr3:uid="{F7900A64-A812-41AD-8A75-D2D0B2E6AAAC}" name="References" dataDxfId="2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51815A2-A825-4D4E-9813-045FB4E8FDA8}" name="tbl_TblWsRefsRpt" displayName="tbl_TblWsRefsRpt" ref="A3:E17" totalsRowShown="0" headerRowDxfId="28" dataDxfId="27">
  <autoFilter ref="A3:E17" xr:uid="{051815A2-A825-4D4E-9813-045FB4E8FDA8}"/>
  <sortState xmlns:xlrd2="http://schemas.microsoft.com/office/spreadsheetml/2017/richdata2" ref="A4:E17">
    <sortCondition ref="A3:A17"/>
  </sortState>
  <tableColumns count="5">
    <tableColumn id="1" xr3:uid="{6CD7FFF5-90D2-4905-B6EE-9467864F05AC}" name="Name" dataDxfId="26"/>
    <tableColumn id="2" xr3:uid="{F2181943-F505-4B92-8278-91E64CAC1066}" name="Address" dataDxfId="25"/>
    <tableColumn id="3" xr3:uid="{717ECCE4-2B56-42EB-8818-D87CB77F086B}" name="Comment" dataDxfId="24"/>
    <tableColumn id="4" xr3:uid="{3125D59E-2FF2-4588-92D9-DDBF63352FEA}" name="Ref_Cnt" dataDxfId="23"/>
    <tableColumn id="5" xr3:uid="{B645A477-29AF-41F5-8175-4982170B27F5}" name="References" dataDxfId="2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6BB8B6A-04A4-4174-8F80-CDE5C106A4E3}" name="tbl_DefNamesWsRefsRpt" displayName="tbl_DefNamesWsRefsRpt" ref="A3:H35" totalsRowShown="0" headerRowDxfId="21" dataDxfId="20">
  <autoFilter ref="A3:H35" xr:uid="{16BB8B6A-04A4-4174-8F80-CDE5C106A4E3}"/>
  <sortState xmlns:xlrd2="http://schemas.microsoft.com/office/spreadsheetml/2017/richdata2" ref="A4:H35">
    <sortCondition ref="E3:E35"/>
    <sortCondition ref="A3:A35"/>
    <sortCondition ref="C3:C35"/>
  </sortState>
  <tableColumns count="8">
    <tableColumn id="1" xr3:uid="{768C72E0-A21C-4006-8557-9D1330BF2533}" name="Name" dataDxfId="19"/>
    <tableColumn id="2" xr3:uid="{EB1C63BA-3AA9-41C1-A6EB-764A5AB3D284}" name="Refers_To" dataDxfId="18"/>
    <tableColumn id="3" xr3:uid="{DB901ED6-4474-44E8-A774-1AFAEAAB3D4F}" name="Scope" dataDxfId="17"/>
    <tableColumn id="4" xr3:uid="{123297C1-D425-4736-AFF3-DF571748887A}" name="Value" dataDxfId="16"/>
    <tableColumn id="5" xr3:uid="{EE1991B1-5C51-4605-BDC9-03599E3417BC}" name="Visible" dataDxfId="15"/>
    <tableColumn id="6" xr3:uid="{91FA3C10-F75B-480B-954F-D53FD4B9BDE7}" name="Comment" dataDxfId="14"/>
    <tableColumn id="7" xr3:uid="{A510586E-DEA4-43F7-A385-368541A29645}" name="Ref_Cnt" dataDxfId="13"/>
    <tableColumn id="8" xr3:uid="{A85AE9B0-EC70-48ED-82B4-2D39A158899C}" name="References" dataDxfId="12"/>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201E747F-7028-40B7-8D62-2349D0C15235}" name="tbl_DefNamesAllRefsRpt" displayName="tbl_DefNamesAllRefsRpt" ref="A5:J37" totalsRowShown="0" headerRowDxfId="11" dataDxfId="10">
  <autoFilter ref="A5:J37" xr:uid="{201E747F-7028-40B7-8D62-2349D0C15235}"/>
  <sortState xmlns:xlrd2="http://schemas.microsoft.com/office/spreadsheetml/2017/richdata2" ref="A6:J37">
    <sortCondition ref="J5:J37"/>
  </sortState>
  <tableColumns count="10">
    <tableColumn id="1" xr3:uid="{92FFE49C-F3AA-4355-B950-7324E2A188D5}" name="Name" dataDxfId="9"/>
    <tableColumn id="2" xr3:uid="{27B06306-F62E-4B57-87C8-C9E18B1A4F68}" name="RWs_Count" dataDxfId="8"/>
    <tableColumn id="3" xr3:uid="{1DD64C5F-6DE6-4B41-B20A-2BB3424D26F1}" name="RWs_Names" dataDxfId="7"/>
    <tableColumn id="4" xr3:uid="{6FF59308-1173-41F2-A17A-478D9100295F}" name="RF_Count" dataDxfId="6"/>
    <tableColumn id="5" xr3:uid="{2585DB6B-5F15-41E0-B7AB-5C8B7B19E901}" name="RF_Names" dataDxfId="5"/>
    <tableColumn id="6" xr3:uid="{5EFA9B7D-265B-4892-9A15-8BF8781F94E2}" name="RDV_Count" dataDxfId="4"/>
    <tableColumn id="7" xr3:uid="{EEE54620-6D9A-4C9B-BBC6-F88AFEEDBD4A}" name="RDV_Names" dataDxfId="3"/>
    <tableColumn id="8" xr3:uid="{D288144B-3209-4A3D-AE5F-BF1F7F73591B}" name="RVBA_Count" dataDxfId="2"/>
    <tableColumn id="9" xr3:uid="{97A2A180-98BC-4F2B-AF0A-AC5FFEEA1E68}" name="RVBA_Names" dataDxfId="1"/>
    <tableColumn id="10" xr3:uid="{8EB20B36-0AC0-41CD-86A4-41674CEEA111}" name="Any_Ref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875"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B060B658-6C9E-4BE7-A686-B6B9135A6F6E}">
  <we:reference id="wa200003696" version="1.3.0.0" store="en-US" storeType="OMEX"/>
  <we:alternateReferences>
    <we:reference id="wa200003696" version="1.3.0.0" store="wa200003696" storeType="OMEX"/>
  </we:alternateReferences>
  <we:properties>
    <we:property name="projectV0_1-56c6e055-265e-4713-816e-a646dbb708de" value="{&quot;kind&quot;:&quot;AFEJSONBlobNode&quot;,&quot;id&quot;:&quot;{D3857734-C871-4C18-952B-7D2A5E43EC60}&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17.xml"/><Relationship Id="rId4" Type="http://schemas.openxmlformats.org/officeDocument/2006/relationships/ctrlProp" Target="../ctrlProps/ctrlProp6.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table" Target="../tables/table18.xml"/><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19.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75985-9C9D-44B9-A232-362A19785229}">
  <sheetPr codeName="SheetSeason2022_2023"/>
  <dimension ref="A1:K110"/>
  <sheetViews>
    <sheetView workbookViewId="0">
      <selection sqref="A1:C1"/>
    </sheetView>
  </sheetViews>
  <sheetFormatPr defaultRowHeight="14.5" x14ac:dyDescent="0.35"/>
  <cols>
    <col min="2" max="2" width="25.54296875" style="1" customWidth="1"/>
    <col min="3" max="3" width="25.54296875" customWidth="1"/>
    <col min="4" max="4" width="12" customWidth="1"/>
    <col min="11" max="11" width="50.54296875" customWidth="1"/>
  </cols>
  <sheetData>
    <row r="1" spans="1:11" ht="18.5" x14ac:dyDescent="0.45">
      <c r="A1" s="146" t="str">
        <f>c_WORKBOOK_TITLE</f>
        <v>Bob's Ski Days</v>
      </c>
      <c r="B1" s="146"/>
      <c r="C1" s="146"/>
    </row>
    <row r="2" spans="1:11" ht="18.5" x14ac:dyDescent="0.45">
      <c r="A2" s="146" t="str" cm="1">
        <f t="array" aca="1" ref="A2" ca="1">fn_GET_WS_NAME($A$1)</f>
        <v>2022-2023</v>
      </c>
      <c r="B2" s="146"/>
      <c r="C2" s="146"/>
    </row>
    <row r="3" spans="1:11" ht="16.5" thickBot="1" x14ac:dyDescent="0.45">
      <c r="A3" s="2"/>
    </row>
    <row r="4" spans="1:11" ht="16" x14ac:dyDescent="0.4">
      <c r="B4" s="148" t="s">
        <v>22</v>
      </c>
      <c r="C4" s="149"/>
      <c r="D4" s="20"/>
    </row>
    <row r="5" spans="1:11" s="8" customFormat="1" ht="16.5" thickBot="1" x14ac:dyDescent="0.45">
      <c r="B5" s="21" t="s">
        <v>23</v>
      </c>
      <c r="C5" s="22" t="s">
        <v>24</v>
      </c>
      <c r="D5" s="20"/>
    </row>
    <row r="6" spans="1:11" s="8" customFormat="1" ht="16.5" thickBot="1" x14ac:dyDescent="0.45">
      <c r="A6" s="20"/>
      <c r="B6" s="23">
        <f ca="1">COUNT(OFFSET($B$11, 0, 0, COUNTA($B$11:$B$110),1))</f>
        <v>50</v>
      </c>
      <c r="C6" s="24" cm="1">
        <f t="array" aca="1" ref="C6" ca="1">IFERROR(SUMPRODUCT(1/COUNTIF(OFFSET($C$11, 0, 0, COUNTA($C$11:$C$110),1),OFFSET($C$11, 0, 0, COUNTA($C$11:$C$110),1))),"")</f>
        <v>11.999999999999995</v>
      </c>
    </row>
    <row r="7" spans="1:11" ht="15" thickBot="1" x14ac:dyDescent="0.4"/>
    <row r="8" spans="1:11" x14ac:dyDescent="0.35">
      <c r="A8" s="150" t="s">
        <v>0</v>
      </c>
      <c r="B8" s="152" t="s">
        <v>1</v>
      </c>
      <c r="C8" s="154" t="s">
        <v>2</v>
      </c>
      <c r="D8" s="156" t="s">
        <v>18</v>
      </c>
      <c r="E8" s="147" t="s">
        <v>3</v>
      </c>
      <c r="F8" s="147"/>
      <c r="G8" s="147" t="s">
        <v>26</v>
      </c>
      <c r="H8" s="147"/>
      <c r="I8" s="147" t="s">
        <v>27</v>
      </c>
      <c r="J8" s="147"/>
      <c r="K8" s="27"/>
    </row>
    <row r="9" spans="1:11" ht="15" thickBot="1" x14ac:dyDescent="0.4">
      <c r="A9" s="151"/>
      <c r="B9" s="153"/>
      <c r="C9" s="155"/>
      <c r="D9" s="157"/>
      <c r="E9" s="25" t="s">
        <v>21</v>
      </c>
      <c r="F9" s="25" t="s">
        <v>20</v>
      </c>
      <c r="G9" s="25" t="s">
        <v>21</v>
      </c>
      <c r="H9" s="25" t="s">
        <v>20</v>
      </c>
      <c r="I9" s="25" t="s">
        <v>21</v>
      </c>
      <c r="J9" s="25" t="s">
        <v>20</v>
      </c>
      <c r="K9" s="26" t="s">
        <v>15</v>
      </c>
    </row>
    <row r="10" spans="1:11" ht="15" x14ac:dyDescent="0.4">
      <c r="A10" s="4"/>
      <c r="B10" s="5"/>
      <c r="C10" s="6"/>
      <c r="D10" s="6"/>
      <c r="E10" s="12">
        <v>0</v>
      </c>
      <c r="F10" s="53" t="b">
        <f>TRUE</f>
        <v>1</v>
      </c>
      <c r="G10" s="12"/>
      <c r="H10" s="55" t="b">
        <f>TRUE</f>
        <v>1</v>
      </c>
      <c r="I10" s="12">
        <v>0</v>
      </c>
      <c r="J10" s="55" t="b">
        <v>0</v>
      </c>
      <c r="K10" s="7"/>
    </row>
    <row r="11" spans="1:11" ht="15" x14ac:dyDescent="0.4">
      <c r="A11" s="4">
        <f>IF($B11="","",A10+1)</f>
        <v>1</v>
      </c>
      <c r="B11" s="11">
        <v>44869</v>
      </c>
      <c r="C11" s="12" t="s">
        <v>5</v>
      </c>
      <c r="D11" s="6" cm="1">
        <f t="array" aca="1" ref="D11" ca="1">IF($C11="","",COUNTIF(_xlfn.TAKE(OFFSET($C$11, 0, 0, COUNTA($C$11:$C$110),1),$A11),$C11))</f>
        <v>1</v>
      </c>
      <c r="E11" s="6">
        <f>IF($B11="","",IF($F10, 1, $E10+1))</f>
        <v>1</v>
      </c>
      <c r="F11" s="53" t="b">
        <v>0</v>
      </c>
      <c r="G11" s="6">
        <f>IF($B11="","",IF($H10, $G10+1))</f>
        <v>1</v>
      </c>
      <c r="H11" s="55" t="b">
        <v>0</v>
      </c>
      <c r="I11" s="6">
        <f>IF($B11="","",IF($J10, 1, $I10+1))</f>
        <v>1</v>
      </c>
      <c r="J11" s="55" t="b">
        <v>0</v>
      </c>
      <c r="K11" s="17"/>
    </row>
    <row r="12" spans="1:11" ht="15" x14ac:dyDescent="0.4">
      <c r="A12" s="4">
        <f t="shared" ref="A12:A75" si="0">IF($B12="","",A11+1)</f>
        <v>2</v>
      </c>
      <c r="B12" s="13">
        <v>44880</v>
      </c>
      <c r="C12" s="14" t="s">
        <v>5</v>
      </c>
      <c r="D12" s="6" cm="1">
        <f t="array" aca="1" ref="D12" ca="1">IF($C12="","",COUNTIF(_xlfn.TAKE(OFFSET($C$11, 0, 0, COUNTA($C$11:$C$110),1),$A12),$C12))</f>
        <v>2</v>
      </c>
      <c r="E12" s="6">
        <f t="shared" ref="E12:E75" si="1">IF($B12="","",IF($F11, 1, $E11+1))</f>
        <v>2</v>
      </c>
      <c r="F12" s="53" t="b">
        <v>0</v>
      </c>
      <c r="G12" s="6" t="b">
        <f t="shared" ref="G12:G75" si="2">IF($B12="","",IF($H11, $G11+1))</f>
        <v>0</v>
      </c>
      <c r="H12" s="55" t="b">
        <v>0</v>
      </c>
      <c r="I12" s="6">
        <f t="shared" ref="I12:I75" si="3">IF($B12="","",IF($J11, 1, $I11+1))</f>
        <v>2</v>
      </c>
      <c r="J12" s="55" t="b">
        <v>0</v>
      </c>
      <c r="K12" s="18"/>
    </row>
    <row r="13" spans="1:11" ht="15" x14ac:dyDescent="0.4">
      <c r="A13" s="4">
        <f t="shared" si="0"/>
        <v>3</v>
      </c>
      <c r="B13" s="13">
        <v>44881</v>
      </c>
      <c r="C13" s="14" t="s">
        <v>5</v>
      </c>
      <c r="D13" s="6" cm="1">
        <f t="array" aca="1" ref="D13" ca="1">IF($C13="","",COUNTIF(_xlfn.TAKE(OFFSET($C$11, 0, 0, COUNTA($C$11:$C$110),1),$A13),$C13))</f>
        <v>3</v>
      </c>
      <c r="E13" s="6">
        <f t="shared" si="1"/>
        <v>3</v>
      </c>
      <c r="F13" s="53" t="b">
        <v>0</v>
      </c>
      <c r="G13" s="6" t="b">
        <f t="shared" si="2"/>
        <v>0</v>
      </c>
      <c r="H13" s="55" t="b">
        <v>0</v>
      </c>
      <c r="I13" s="6">
        <f t="shared" si="3"/>
        <v>3</v>
      </c>
      <c r="J13" s="55" t="b">
        <v>0</v>
      </c>
      <c r="K13" s="18"/>
    </row>
    <row r="14" spans="1:11" ht="15" x14ac:dyDescent="0.4">
      <c r="A14" s="4">
        <f t="shared" si="0"/>
        <v>4</v>
      </c>
      <c r="B14" s="13">
        <v>44897</v>
      </c>
      <c r="C14" s="14" t="s">
        <v>6</v>
      </c>
      <c r="D14" s="6" cm="1">
        <f t="array" aca="1" ref="D14" ca="1">IF($C14="","",COUNTIF(_xlfn.TAKE(OFFSET($C$11, 0, 0, COUNTA($C$11:$C$110),1),$A14),$C14))</f>
        <v>1</v>
      </c>
      <c r="E14" s="6">
        <f t="shared" si="1"/>
        <v>4</v>
      </c>
      <c r="F14" s="53" t="b">
        <f>TRUE</f>
        <v>1</v>
      </c>
      <c r="G14" s="6" t="b">
        <f t="shared" si="2"/>
        <v>0</v>
      </c>
      <c r="H14" s="55" t="b">
        <f>TRUE</f>
        <v>1</v>
      </c>
      <c r="I14" s="6">
        <f t="shared" si="3"/>
        <v>4</v>
      </c>
      <c r="J14" s="55" t="b">
        <f>TRUE</f>
        <v>1</v>
      </c>
      <c r="K14" s="18"/>
    </row>
    <row r="15" spans="1:11" ht="15" x14ac:dyDescent="0.4">
      <c r="A15" s="4">
        <f t="shared" si="0"/>
        <v>5</v>
      </c>
      <c r="B15" s="13">
        <v>44898</v>
      </c>
      <c r="C15" s="14" t="s">
        <v>6</v>
      </c>
      <c r="D15" s="6" cm="1">
        <f t="array" aca="1" ref="D15" ca="1">IF($C15="","",COUNTIF(_xlfn.TAKE(OFFSET($C$11, 0, 0, COUNTA($C$11:$C$110),1),$A15),$C15))</f>
        <v>2</v>
      </c>
      <c r="E15" s="6">
        <f t="shared" si="1"/>
        <v>1</v>
      </c>
      <c r="F15" s="53" t="b">
        <v>0</v>
      </c>
      <c r="G15" s="6">
        <f t="shared" si="2"/>
        <v>1</v>
      </c>
      <c r="H15" s="55" t="b">
        <v>0</v>
      </c>
      <c r="I15" s="6">
        <f t="shared" si="3"/>
        <v>1</v>
      </c>
      <c r="J15" s="55" t="b">
        <v>0</v>
      </c>
      <c r="K15" s="18"/>
    </row>
    <row r="16" spans="1:11" ht="15" x14ac:dyDescent="0.4">
      <c r="A16" s="4">
        <f t="shared" si="0"/>
        <v>6</v>
      </c>
      <c r="B16" s="13">
        <v>44899</v>
      </c>
      <c r="C16" s="14" t="s">
        <v>6</v>
      </c>
      <c r="D16" s="6" cm="1">
        <f t="array" aca="1" ref="D16" ca="1">IF($C16="","",COUNTIF(_xlfn.TAKE(OFFSET($C$11, 0, 0, COUNTA($C$11:$C$110),1),$A16),$C16))</f>
        <v>3</v>
      </c>
      <c r="E16" s="6">
        <f t="shared" si="1"/>
        <v>2</v>
      </c>
      <c r="F16" s="53" t="b">
        <v>0</v>
      </c>
      <c r="G16" s="6" t="b">
        <f t="shared" si="2"/>
        <v>0</v>
      </c>
      <c r="H16" s="55" t="b">
        <v>0</v>
      </c>
      <c r="I16" s="6">
        <f t="shared" si="3"/>
        <v>2</v>
      </c>
      <c r="J16" s="55" t="b">
        <v>0</v>
      </c>
      <c r="K16" s="18"/>
    </row>
    <row r="17" spans="1:11" ht="15" x14ac:dyDescent="0.4">
      <c r="A17" s="4">
        <f t="shared" si="0"/>
        <v>7</v>
      </c>
      <c r="B17" s="13">
        <v>44900</v>
      </c>
      <c r="C17" s="14" t="s">
        <v>6</v>
      </c>
      <c r="D17" s="6" cm="1">
        <f t="array" aca="1" ref="D17" ca="1">IF($C17="","",COUNTIF(_xlfn.TAKE(OFFSET($C$11, 0, 0, COUNTA($C$11:$C$110),1),$A17),$C17))</f>
        <v>4</v>
      </c>
      <c r="E17" s="6">
        <f t="shared" si="1"/>
        <v>3</v>
      </c>
      <c r="F17" s="53" t="b">
        <v>0</v>
      </c>
      <c r="G17" s="6" t="b">
        <f t="shared" si="2"/>
        <v>0</v>
      </c>
      <c r="H17" s="55" t="b">
        <v>0</v>
      </c>
      <c r="I17" s="6">
        <f t="shared" si="3"/>
        <v>3</v>
      </c>
      <c r="J17" s="55" t="b">
        <v>0</v>
      </c>
      <c r="K17" s="18"/>
    </row>
    <row r="18" spans="1:11" ht="15" x14ac:dyDescent="0.4">
      <c r="A18" s="4">
        <f t="shared" si="0"/>
        <v>8</v>
      </c>
      <c r="B18" s="13">
        <v>44901</v>
      </c>
      <c r="C18" s="14" t="s">
        <v>6</v>
      </c>
      <c r="D18" s="6" cm="1">
        <f t="array" aca="1" ref="D18" ca="1">IF($C18="","",COUNTIF(_xlfn.TAKE(OFFSET($C$11, 0, 0, COUNTA($C$11:$C$110),1),$A18),$C18))</f>
        <v>5</v>
      </c>
      <c r="E18" s="6">
        <f t="shared" si="1"/>
        <v>4</v>
      </c>
      <c r="F18" s="53" t="b">
        <v>0</v>
      </c>
      <c r="G18" s="6" t="b">
        <f t="shared" si="2"/>
        <v>0</v>
      </c>
      <c r="H18" s="55" t="b">
        <v>0</v>
      </c>
      <c r="I18" s="6">
        <f t="shared" si="3"/>
        <v>4</v>
      </c>
      <c r="J18" s="55" t="b">
        <v>0</v>
      </c>
      <c r="K18" s="18"/>
    </row>
    <row r="19" spans="1:11" ht="15" x14ac:dyDescent="0.4">
      <c r="A19" s="4">
        <f t="shared" si="0"/>
        <v>9</v>
      </c>
      <c r="B19" s="13">
        <v>44902</v>
      </c>
      <c r="C19" s="14" t="s">
        <v>6</v>
      </c>
      <c r="D19" s="6" cm="1">
        <f t="array" aca="1" ref="D19" ca="1">IF($C19="","",COUNTIF(_xlfn.TAKE(OFFSET($C$11, 0, 0, COUNTA($C$11:$C$110),1),$A19),$C19))</f>
        <v>6</v>
      </c>
      <c r="E19" s="6">
        <f t="shared" si="1"/>
        <v>5</v>
      </c>
      <c r="F19" s="53" t="b">
        <v>0</v>
      </c>
      <c r="G19" s="6" t="b">
        <f t="shared" si="2"/>
        <v>0</v>
      </c>
      <c r="H19" s="55" t="b">
        <v>0</v>
      </c>
      <c r="I19" s="6">
        <f t="shared" si="3"/>
        <v>5</v>
      </c>
      <c r="J19" s="55" t="b">
        <v>0</v>
      </c>
      <c r="K19" s="18"/>
    </row>
    <row r="20" spans="1:11" ht="15" x14ac:dyDescent="0.4">
      <c r="A20" s="4">
        <f t="shared" si="0"/>
        <v>10</v>
      </c>
      <c r="B20" s="13">
        <v>44903</v>
      </c>
      <c r="C20" s="14" t="s">
        <v>6</v>
      </c>
      <c r="D20" s="6" cm="1">
        <f t="array" aca="1" ref="D20" ca="1">IF($C20="","",COUNTIF(_xlfn.TAKE(OFFSET($C$11, 0, 0, COUNTA($C$11:$C$110),1),$A20),$C20))</f>
        <v>7</v>
      </c>
      <c r="E20" s="6">
        <f t="shared" si="1"/>
        <v>6</v>
      </c>
      <c r="F20" s="53" t="b">
        <v>0</v>
      </c>
      <c r="G20" s="6" t="b">
        <f t="shared" si="2"/>
        <v>0</v>
      </c>
      <c r="H20" s="55" t="b">
        <v>0</v>
      </c>
      <c r="I20" s="6">
        <f t="shared" si="3"/>
        <v>6</v>
      </c>
      <c r="J20" s="55" t="b">
        <v>0</v>
      </c>
      <c r="K20" s="18"/>
    </row>
    <row r="21" spans="1:11" ht="15" x14ac:dyDescent="0.4">
      <c r="A21" s="4">
        <f t="shared" si="0"/>
        <v>11</v>
      </c>
      <c r="B21" s="13">
        <v>44913</v>
      </c>
      <c r="C21" s="14" t="s">
        <v>9</v>
      </c>
      <c r="D21" s="6" cm="1">
        <f t="array" aca="1" ref="D21" ca="1">IF($C21="","",COUNTIF(_xlfn.TAKE(OFFSET($C$11, 0, 0, COUNTA($C$11:$C$110),1),$A21),$C21))</f>
        <v>1</v>
      </c>
      <c r="E21" s="6">
        <f t="shared" si="1"/>
        <v>7</v>
      </c>
      <c r="F21" s="53" t="b">
        <v>0</v>
      </c>
      <c r="G21" s="6" t="b">
        <f t="shared" si="2"/>
        <v>0</v>
      </c>
      <c r="H21" s="55" t="b">
        <v>0</v>
      </c>
      <c r="I21" s="6">
        <f t="shared" si="3"/>
        <v>7</v>
      </c>
      <c r="J21" s="55" t="b">
        <v>0</v>
      </c>
      <c r="K21" s="18"/>
    </row>
    <row r="22" spans="1:11" ht="15" x14ac:dyDescent="0.4">
      <c r="A22" s="4">
        <f t="shared" si="0"/>
        <v>12</v>
      </c>
      <c r="B22" s="13">
        <v>44914</v>
      </c>
      <c r="C22" s="14" t="s">
        <v>9</v>
      </c>
      <c r="D22" s="6" cm="1">
        <f t="array" aca="1" ref="D22" ca="1">IF($C22="","",COUNTIF(_xlfn.TAKE(OFFSET($C$11, 0, 0, COUNTA($C$11:$C$110),1),$A22),$C22))</f>
        <v>2</v>
      </c>
      <c r="E22" s="6">
        <f t="shared" si="1"/>
        <v>8</v>
      </c>
      <c r="F22" s="53" t="b">
        <v>0</v>
      </c>
      <c r="G22" s="6" t="b">
        <f t="shared" si="2"/>
        <v>0</v>
      </c>
      <c r="H22" s="55" t="b">
        <v>0</v>
      </c>
      <c r="I22" s="6">
        <f t="shared" si="3"/>
        <v>8</v>
      </c>
      <c r="J22" s="55" t="b">
        <v>0</v>
      </c>
      <c r="K22" s="18"/>
    </row>
    <row r="23" spans="1:11" ht="15" x14ac:dyDescent="0.4">
      <c r="A23" s="4">
        <f t="shared" si="0"/>
        <v>13</v>
      </c>
      <c r="B23" s="13">
        <v>44915</v>
      </c>
      <c r="C23" s="14" t="s">
        <v>8</v>
      </c>
      <c r="D23" s="6" cm="1">
        <f t="array" aca="1" ref="D23" ca="1">IF($C23="","",COUNTIF(_xlfn.TAKE(OFFSET($C$11, 0, 0, COUNTA($C$11:$C$110),1),$A23),$C23))</f>
        <v>1</v>
      </c>
      <c r="E23" s="6">
        <f t="shared" si="1"/>
        <v>9</v>
      </c>
      <c r="F23" s="53" t="b">
        <v>0</v>
      </c>
      <c r="G23" s="6" t="b">
        <f t="shared" si="2"/>
        <v>0</v>
      </c>
      <c r="H23" s="55" t="b">
        <v>0</v>
      </c>
      <c r="I23" s="6">
        <f t="shared" si="3"/>
        <v>9</v>
      </c>
      <c r="J23" s="55" t="b">
        <v>0</v>
      </c>
      <c r="K23" s="18"/>
    </row>
    <row r="24" spans="1:11" ht="15" x14ac:dyDescent="0.4">
      <c r="A24" s="4">
        <f t="shared" si="0"/>
        <v>14</v>
      </c>
      <c r="B24" s="13">
        <v>44916</v>
      </c>
      <c r="C24" s="14" t="s">
        <v>10</v>
      </c>
      <c r="D24" s="6" cm="1">
        <f t="array" aca="1" ref="D24" ca="1">IF($C24="","",COUNTIF(_xlfn.TAKE(OFFSET($C$11, 0, 0, COUNTA($C$11:$C$110),1),$A24),$C24))</f>
        <v>1</v>
      </c>
      <c r="E24" s="6">
        <f t="shared" si="1"/>
        <v>10</v>
      </c>
      <c r="F24" s="53" t="b">
        <v>0</v>
      </c>
      <c r="G24" s="6" t="b">
        <f t="shared" si="2"/>
        <v>0</v>
      </c>
      <c r="H24" s="55" t="b">
        <v>0</v>
      </c>
      <c r="I24" s="6">
        <f t="shared" si="3"/>
        <v>10</v>
      </c>
      <c r="J24" s="55" t="b">
        <v>0</v>
      </c>
      <c r="K24" s="18"/>
    </row>
    <row r="25" spans="1:11" ht="15" x14ac:dyDescent="0.4">
      <c r="A25" s="4">
        <f t="shared" si="0"/>
        <v>15</v>
      </c>
      <c r="B25" s="13">
        <v>44917</v>
      </c>
      <c r="C25" s="14" t="s">
        <v>11</v>
      </c>
      <c r="D25" s="6" cm="1">
        <f t="array" aca="1" ref="D25" ca="1">IF($C25="","",COUNTIF(_xlfn.TAKE(OFFSET($C$11, 0, 0, COUNTA($C$11:$C$110),1),$A25),$C25))</f>
        <v>1</v>
      </c>
      <c r="E25" s="6">
        <f t="shared" si="1"/>
        <v>11</v>
      </c>
      <c r="F25" s="53" t="b">
        <v>0</v>
      </c>
      <c r="G25" s="6" t="b">
        <f t="shared" si="2"/>
        <v>0</v>
      </c>
      <c r="H25" s="55" t="b">
        <v>0</v>
      </c>
      <c r="I25" s="6">
        <f t="shared" si="3"/>
        <v>11</v>
      </c>
      <c r="J25" s="55" t="b">
        <v>0</v>
      </c>
      <c r="K25" s="18"/>
    </row>
    <row r="26" spans="1:11" ht="15" x14ac:dyDescent="0.4">
      <c r="A26" s="4">
        <f t="shared" si="0"/>
        <v>16</v>
      </c>
      <c r="B26" s="13">
        <v>44928</v>
      </c>
      <c r="C26" s="14" t="s">
        <v>7</v>
      </c>
      <c r="D26" s="6" cm="1">
        <f t="array" aca="1" ref="D26" ca="1">IF($C26="","",COUNTIF(_xlfn.TAKE(OFFSET($C$11, 0, 0, COUNTA($C$11:$C$110),1),$A26),$C26))</f>
        <v>1</v>
      </c>
      <c r="E26" s="6">
        <f t="shared" si="1"/>
        <v>12</v>
      </c>
      <c r="F26" s="53" t="b">
        <v>0</v>
      </c>
      <c r="G26" s="6" t="b">
        <f t="shared" si="2"/>
        <v>0</v>
      </c>
      <c r="H26" s="55" t="b">
        <v>0</v>
      </c>
      <c r="I26" s="6">
        <f t="shared" si="3"/>
        <v>12</v>
      </c>
      <c r="J26" s="55" t="b">
        <v>0</v>
      </c>
      <c r="K26" s="18"/>
    </row>
    <row r="27" spans="1:11" ht="15" x14ac:dyDescent="0.4">
      <c r="A27" s="4">
        <f t="shared" si="0"/>
        <v>17</v>
      </c>
      <c r="B27" s="13">
        <v>44929</v>
      </c>
      <c r="C27" s="14" t="s">
        <v>7</v>
      </c>
      <c r="D27" s="6" cm="1">
        <f t="array" aca="1" ref="D27" ca="1">IF($C27="","",COUNTIF(_xlfn.TAKE(OFFSET($C$11, 0, 0, COUNTA($C$11:$C$110),1),$A27),$C27))</f>
        <v>2</v>
      </c>
      <c r="E27" s="6">
        <f t="shared" si="1"/>
        <v>13</v>
      </c>
      <c r="F27" s="53" t="b">
        <v>0</v>
      </c>
      <c r="G27" s="6" t="b">
        <f t="shared" si="2"/>
        <v>0</v>
      </c>
      <c r="H27" s="55" t="b">
        <v>0</v>
      </c>
      <c r="I27" s="6">
        <f t="shared" si="3"/>
        <v>13</v>
      </c>
      <c r="J27" s="55" t="b">
        <v>0</v>
      </c>
      <c r="K27" s="18"/>
    </row>
    <row r="28" spans="1:11" ht="15" x14ac:dyDescent="0.4">
      <c r="A28" s="4">
        <f t="shared" si="0"/>
        <v>18</v>
      </c>
      <c r="B28" s="13">
        <v>44930</v>
      </c>
      <c r="C28" s="14" t="s">
        <v>7</v>
      </c>
      <c r="D28" s="6" cm="1">
        <f t="array" aca="1" ref="D28" ca="1">IF($C28="","",COUNTIF(_xlfn.TAKE(OFFSET($C$11, 0, 0, COUNTA($C$11:$C$110),1),$A28),$C28))</f>
        <v>3</v>
      </c>
      <c r="E28" s="6">
        <f t="shared" si="1"/>
        <v>14</v>
      </c>
      <c r="F28" s="53" t="b">
        <v>0</v>
      </c>
      <c r="G28" s="6" t="b">
        <f t="shared" si="2"/>
        <v>0</v>
      </c>
      <c r="H28" s="55" t="b">
        <v>0</v>
      </c>
      <c r="I28" s="6">
        <f t="shared" si="3"/>
        <v>14</v>
      </c>
      <c r="J28" s="55" t="b">
        <v>0</v>
      </c>
      <c r="K28" s="18"/>
    </row>
    <row r="29" spans="1:11" ht="15" x14ac:dyDescent="0.4">
      <c r="A29" s="4">
        <f t="shared" si="0"/>
        <v>19</v>
      </c>
      <c r="B29" s="13">
        <v>44931</v>
      </c>
      <c r="C29" s="14" t="s">
        <v>7</v>
      </c>
      <c r="D29" s="6" cm="1">
        <f t="array" aca="1" ref="D29" ca="1">IF($C29="","",COUNTIF(_xlfn.TAKE(OFFSET($C$11, 0, 0, COUNTA($C$11:$C$110),1),$A29),$C29))</f>
        <v>4</v>
      </c>
      <c r="E29" s="6">
        <f t="shared" si="1"/>
        <v>15</v>
      </c>
      <c r="F29" s="53" t="b">
        <v>0</v>
      </c>
      <c r="G29" s="6" t="b">
        <f t="shared" si="2"/>
        <v>0</v>
      </c>
      <c r="H29" s="55" t="b">
        <v>0</v>
      </c>
      <c r="I29" s="6">
        <f t="shared" si="3"/>
        <v>15</v>
      </c>
      <c r="J29" s="55" t="b">
        <v>0</v>
      </c>
      <c r="K29" s="18"/>
    </row>
    <row r="30" spans="1:11" ht="15" x14ac:dyDescent="0.4">
      <c r="A30" s="4">
        <f t="shared" si="0"/>
        <v>20</v>
      </c>
      <c r="B30" s="13">
        <v>44932</v>
      </c>
      <c r="C30" s="14" t="s">
        <v>7</v>
      </c>
      <c r="D30" s="6" cm="1">
        <f t="array" aca="1" ref="D30" ca="1">IF($C30="","",COUNTIF(_xlfn.TAKE(OFFSET($C$11, 0, 0, COUNTA($C$11:$C$110),1),$A30),$C30))</f>
        <v>5</v>
      </c>
      <c r="E30" s="6">
        <f t="shared" si="1"/>
        <v>16</v>
      </c>
      <c r="F30" s="53" t="b">
        <v>0</v>
      </c>
      <c r="G30" s="6" t="b">
        <f t="shared" si="2"/>
        <v>0</v>
      </c>
      <c r="H30" s="55" t="b">
        <v>0</v>
      </c>
      <c r="I30" s="6">
        <f t="shared" si="3"/>
        <v>16</v>
      </c>
      <c r="J30" s="55" t="b">
        <v>0</v>
      </c>
      <c r="K30" s="18"/>
    </row>
    <row r="31" spans="1:11" ht="15" x14ac:dyDescent="0.4">
      <c r="A31" s="4">
        <f t="shared" si="0"/>
        <v>21</v>
      </c>
      <c r="B31" s="13">
        <v>44933</v>
      </c>
      <c r="C31" s="14" t="s">
        <v>7</v>
      </c>
      <c r="D31" s="6" cm="1">
        <f t="array" aca="1" ref="D31" ca="1">IF($C31="","",COUNTIF(_xlfn.TAKE(OFFSET($C$11, 0, 0, COUNTA($C$11:$C$110),1),$A31),$C31))</f>
        <v>6</v>
      </c>
      <c r="E31" s="6">
        <f t="shared" si="1"/>
        <v>17</v>
      </c>
      <c r="F31" s="53" t="b">
        <f>TRUE</f>
        <v>1</v>
      </c>
      <c r="G31" s="6" t="b">
        <f t="shared" si="2"/>
        <v>0</v>
      </c>
      <c r="H31" s="55" t="b">
        <v>0</v>
      </c>
      <c r="I31" s="6">
        <f t="shared" si="3"/>
        <v>17</v>
      </c>
      <c r="J31" s="55" t="b">
        <v>0</v>
      </c>
      <c r="K31" s="18"/>
    </row>
    <row r="32" spans="1:11" ht="15" x14ac:dyDescent="0.4">
      <c r="A32" s="4">
        <f t="shared" si="0"/>
        <v>22</v>
      </c>
      <c r="B32" s="13">
        <v>44941</v>
      </c>
      <c r="C32" s="14" t="s">
        <v>12</v>
      </c>
      <c r="D32" s="6" cm="1">
        <f t="array" aca="1" ref="D32" ca="1">IF($C32="","",COUNTIF(_xlfn.TAKE(OFFSET($C$11, 0, 0, COUNTA($C$11:$C$110),1),$A32),$C32))</f>
        <v>1</v>
      </c>
      <c r="E32" s="6">
        <f t="shared" si="1"/>
        <v>1</v>
      </c>
      <c r="F32" s="53" t="b">
        <v>0</v>
      </c>
      <c r="G32" s="6" t="b">
        <f t="shared" si="2"/>
        <v>0</v>
      </c>
      <c r="H32" s="55" t="b">
        <v>0</v>
      </c>
      <c r="I32" s="6">
        <f t="shared" si="3"/>
        <v>18</v>
      </c>
      <c r="J32" s="55" t="b">
        <v>0</v>
      </c>
      <c r="K32" s="18"/>
    </row>
    <row r="33" spans="1:11" ht="15" x14ac:dyDescent="0.4">
      <c r="A33" s="4">
        <f t="shared" si="0"/>
        <v>23</v>
      </c>
      <c r="B33" s="13">
        <v>44942</v>
      </c>
      <c r="C33" s="14" t="s">
        <v>12</v>
      </c>
      <c r="D33" s="6" cm="1">
        <f t="array" aca="1" ref="D33" ca="1">IF($C33="","",COUNTIF(_xlfn.TAKE(OFFSET($C$11, 0, 0, COUNTA($C$11:$C$110),1),$A33),$C33))</f>
        <v>2</v>
      </c>
      <c r="E33" s="6">
        <f t="shared" si="1"/>
        <v>2</v>
      </c>
      <c r="F33" s="53" t="b">
        <v>0</v>
      </c>
      <c r="G33" s="6" t="b">
        <f t="shared" si="2"/>
        <v>0</v>
      </c>
      <c r="H33" s="55" t="b">
        <v>0</v>
      </c>
      <c r="I33" s="6">
        <f t="shared" si="3"/>
        <v>19</v>
      </c>
      <c r="J33" s="55" t="b">
        <v>0</v>
      </c>
      <c r="K33" s="18"/>
    </row>
    <row r="34" spans="1:11" ht="15" x14ac:dyDescent="0.4">
      <c r="A34" s="4">
        <f t="shared" si="0"/>
        <v>24</v>
      </c>
      <c r="B34" s="13">
        <v>44943</v>
      </c>
      <c r="C34" s="14" t="s">
        <v>12</v>
      </c>
      <c r="D34" s="6" cm="1">
        <f t="array" aca="1" ref="D34" ca="1">IF($C34="","",COUNTIF(_xlfn.TAKE(OFFSET($C$11, 0, 0, COUNTA($C$11:$C$110),1),$A34),$C34))</f>
        <v>3</v>
      </c>
      <c r="E34" s="6">
        <f t="shared" si="1"/>
        <v>3</v>
      </c>
      <c r="F34" s="53" t="b">
        <v>0</v>
      </c>
      <c r="G34" s="6" t="b">
        <f t="shared" si="2"/>
        <v>0</v>
      </c>
      <c r="H34" s="55" t="b">
        <v>0</v>
      </c>
      <c r="I34" s="6">
        <f t="shared" si="3"/>
        <v>20</v>
      </c>
      <c r="J34" s="55" t="b">
        <v>0</v>
      </c>
      <c r="K34" s="18"/>
    </row>
    <row r="35" spans="1:11" ht="15" x14ac:dyDescent="0.4">
      <c r="A35" s="4">
        <f t="shared" si="0"/>
        <v>25</v>
      </c>
      <c r="B35" s="13">
        <v>44944</v>
      </c>
      <c r="C35" s="14" t="s">
        <v>12</v>
      </c>
      <c r="D35" s="6" cm="1">
        <f t="array" aca="1" ref="D35" ca="1">IF($C35="","",COUNTIF(_xlfn.TAKE(OFFSET($C$11, 0, 0, COUNTA($C$11:$C$110),1),$A35),$C35))</f>
        <v>4</v>
      </c>
      <c r="E35" s="6">
        <f t="shared" si="1"/>
        <v>4</v>
      </c>
      <c r="F35" s="53" t="b">
        <v>0</v>
      </c>
      <c r="G35" s="6" t="b">
        <f t="shared" si="2"/>
        <v>0</v>
      </c>
      <c r="H35" s="55" t="b">
        <v>0</v>
      </c>
      <c r="I35" s="6">
        <f t="shared" si="3"/>
        <v>21</v>
      </c>
      <c r="J35" s="55" t="b">
        <v>0</v>
      </c>
      <c r="K35" s="18"/>
    </row>
    <row r="36" spans="1:11" ht="15" x14ac:dyDescent="0.4">
      <c r="A36" s="4">
        <f t="shared" si="0"/>
        <v>26</v>
      </c>
      <c r="B36" s="13">
        <v>44945</v>
      </c>
      <c r="C36" s="14" t="s">
        <v>12</v>
      </c>
      <c r="D36" s="6" cm="1">
        <f t="array" aca="1" ref="D36" ca="1">IF($C36="","",COUNTIF(_xlfn.TAKE(OFFSET($C$11, 0, 0, COUNTA($C$11:$C$110),1),$A36),$C36))</f>
        <v>5</v>
      </c>
      <c r="E36" s="6">
        <f t="shared" si="1"/>
        <v>5</v>
      </c>
      <c r="F36" s="53" t="b">
        <f>TRUE</f>
        <v>1</v>
      </c>
      <c r="G36" s="6" t="b">
        <f t="shared" si="2"/>
        <v>0</v>
      </c>
      <c r="H36" s="55" t="b">
        <f>TRUE</f>
        <v>1</v>
      </c>
      <c r="I36" s="6">
        <f t="shared" si="3"/>
        <v>22</v>
      </c>
      <c r="J36" s="55" t="b">
        <f>TRUE</f>
        <v>1</v>
      </c>
      <c r="K36" s="18"/>
    </row>
    <row r="37" spans="1:11" ht="15" x14ac:dyDescent="0.4">
      <c r="A37" s="4">
        <f t="shared" si="0"/>
        <v>27</v>
      </c>
      <c r="B37" s="13">
        <v>44946</v>
      </c>
      <c r="C37" s="14" t="s">
        <v>12</v>
      </c>
      <c r="D37" s="6" cm="1">
        <f t="array" aca="1" ref="D37" ca="1">IF($C37="","",COUNTIF(_xlfn.TAKE(OFFSET($C$11, 0, 0, COUNTA($C$11:$C$110),1),$A37),$C37))</f>
        <v>6</v>
      </c>
      <c r="E37" s="6">
        <f t="shared" si="1"/>
        <v>1</v>
      </c>
      <c r="F37" s="53" t="b">
        <v>0</v>
      </c>
      <c r="G37" s="6">
        <f t="shared" si="2"/>
        <v>1</v>
      </c>
      <c r="H37" s="55" t="b">
        <v>0</v>
      </c>
      <c r="I37" s="6">
        <f t="shared" si="3"/>
        <v>1</v>
      </c>
      <c r="J37" s="55" t="b">
        <v>0</v>
      </c>
      <c r="K37" s="18"/>
    </row>
    <row r="38" spans="1:11" ht="15" x14ac:dyDescent="0.4">
      <c r="A38" s="4">
        <f t="shared" si="0"/>
        <v>28</v>
      </c>
      <c r="B38" s="13">
        <v>44956</v>
      </c>
      <c r="C38" s="14" t="s">
        <v>7</v>
      </c>
      <c r="D38" s="6" cm="1">
        <f t="array" aca="1" ref="D38" ca="1">IF($C38="","",COUNTIF(_xlfn.TAKE(OFFSET($C$11, 0, 0, COUNTA($C$11:$C$110),1),$A38),$C38))</f>
        <v>7</v>
      </c>
      <c r="E38" s="6">
        <f t="shared" si="1"/>
        <v>2</v>
      </c>
      <c r="F38" s="53" t="b">
        <v>0</v>
      </c>
      <c r="G38" s="6" t="b">
        <f t="shared" si="2"/>
        <v>0</v>
      </c>
      <c r="H38" s="55" t="b">
        <v>0</v>
      </c>
      <c r="I38" s="6">
        <f t="shared" si="3"/>
        <v>2</v>
      </c>
      <c r="J38" s="55" t="b">
        <v>0</v>
      </c>
      <c r="K38" s="18"/>
    </row>
    <row r="39" spans="1:11" ht="15" x14ac:dyDescent="0.4">
      <c r="A39" s="4">
        <f t="shared" si="0"/>
        <v>29</v>
      </c>
      <c r="B39" s="13">
        <v>44957</v>
      </c>
      <c r="C39" s="14" t="s">
        <v>7</v>
      </c>
      <c r="D39" s="6" cm="1">
        <f t="array" aca="1" ref="D39" ca="1">IF($C39="","",COUNTIF(_xlfn.TAKE(OFFSET($C$11, 0, 0, COUNTA($C$11:$C$110),1),$A39),$C39))</f>
        <v>8</v>
      </c>
      <c r="E39" s="6">
        <f t="shared" si="1"/>
        <v>3</v>
      </c>
      <c r="F39" s="53" t="b">
        <v>0</v>
      </c>
      <c r="G39" s="6" t="b">
        <f t="shared" si="2"/>
        <v>0</v>
      </c>
      <c r="H39" s="55" t="b">
        <v>0</v>
      </c>
      <c r="I39" s="6">
        <f t="shared" si="3"/>
        <v>3</v>
      </c>
      <c r="J39" s="55" t="b">
        <v>0</v>
      </c>
      <c r="K39" s="18"/>
    </row>
    <row r="40" spans="1:11" ht="15" x14ac:dyDescent="0.4">
      <c r="A40" s="4">
        <f t="shared" si="0"/>
        <v>30</v>
      </c>
      <c r="B40" s="13">
        <v>44958</v>
      </c>
      <c r="C40" s="14" t="s">
        <v>7</v>
      </c>
      <c r="D40" s="6" cm="1">
        <f t="array" aca="1" ref="D40" ca="1">IF($C40="","",COUNTIF(_xlfn.TAKE(OFFSET($C$11, 0, 0, COUNTA($C$11:$C$110),1),$A40),$C40))</f>
        <v>9</v>
      </c>
      <c r="E40" s="6">
        <f t="shared" si="1"/>
        <v>4</v>
      </c>
      <c r="F40" s="53" t="b">
        <f>TRUE</f>
        <v>1</v>
      </c>
      <c r="G40" s="6" t="b">
        <f t="shared" si="2"/>
        <v>0</v>
      </c>
      <c r="H40" s="55" t="b">
        <v>0</v>
      </c>
      <c r="I40" s="6">
        <f t="shared" si="3"/>
        <v>4</v>
      </c>
      <c r="J40" s="55" t="b">
        <v>0</v>
      </c>
      <c r="K40" s="18"/>
    </row>
    <row r="41" spans="1:11" ht="15" x14ac:dyDescent="0.4">
      <c r="A41" s="4">
        <f t="shared" si="0"/>
        <v>31</v>
      </c>
      <c r="B41" s="13">
        <v>44959</v>
      </c>
      <c r="C41" s="14" t="s">
        <v>7</v>
      </c>
      <c r="D41" s="6" cm="1">
        <f t="array" aca="1" ref="D41" ca="1">IF($C41="","",COUNTIF(_xlfn.TAKE(OFFSET($C$11, 0, 0, COUNTA($C$11:$C$110),1),$A41),$C41))</f>
        <v>10</v>
      </c>
      <c r="E41" s="6">
        <f t="shared" si="1"/>
        <v>1</v>
      </c>
      <c r="F41" s="53" t="b">
        <f>TRUE</f>
        <v>1</v>
      </c>
      <c r="G41" s="6" t="b">
        <f t="shared" si="2"/>
        <v>0</v>
      </c>
      <c r="H41" s="55" t="b">
        <v>0</v>
      </c>
      <c r="I41" s="6">
        <f t="shared" si="3"/>
        <v>5</v>
      </c>
      <c r="J41" s="55" t="b">
        <v>0</v>
      </c>
      <c r="K41" s="18"/>
    </row>
    <row r="42" spans="1:11" ht="15" x14ac:dyDescent="0.4">
      <c r="A42" s="4">
        <f t="shared" si="0"/>
        <v>32</v>
      </c>
      <c r="B42" s="13">
        <v>44960</v>
      </c>
      <c r="C42" s="14" t="s">
        <v>7</v>
      </c>
      <c r="D42" s="6" cm="1">
        <f t="array" aca="1" ref="D42" ca="1">IF($C42="","",COUNTIF(_xlfn.TAKE(OFFSET($C$11, 0, 0, COUNTA($C$11:$C$110),1),$A42),$C42))</f>
        <v>11</v>
      </c>
      <c r="E42" s="6">
        <f t="shared" si="1"/>
        <v>1</v>
      </c>
      <c r="F42" s="53" t="b">
        <v>0</v>
      </c>
      <c r="G42" s="6" t="b">
        <f t="shared" si="2"/>
        <v>0</v>
      </c>
      <c r="H42" s="55" t="b">
        <v>0</v>
      </c>
      <c r="I42" s="6">
        <f t="shared" si="3"/>
        <v>6</v>
      </c>
      <c r="J42" s="55" t="b">
        <v>0</v>
      </c>
      <c r="K42" s="18"/>
    </row>
    <row r="43" spans="1:11" ht="15" x14ac:dyDescent="0.4">
      <c r="A43" s="4">
        <f t="shared" si="0"/>
        <v>33</v>
      </c>
      <c r="B43" s="13">
        <v>44961</v>
      </c>
      <c r="C43" s="14" t="s">
        <v>7</v>
      </c>
      <c r="D43" s="6" cm="1">
        <f t="array" aca="1" ref="D43" ca="1">IF($C43="","",COUNTIF(_xlfn.TAKE(OFFSET($C$11, 0, 0, COUNTA($C$11:$C$110),1),$A43),$C43))</f>
        <v>12</v>
      </c>
      <c r="E43" s="6">
        <f t="shared" si="1"/>
        <v>2</v>
      </c>
      <c r="F43" s="53" t="b">
        <f>TRUE</f>
        <v>1</v>
      </c>
      <c r="G43" s="6" t="b">
        <f t="shared" si="2"/>
        <v>0</v>
      </c>
      <c r="H43" s="55" t="b">
        <v>0</v>
      </c>
      <c r="I43" s="6">
        <f t="shared" si="3"/>
        <v>7</v>
      </c>
      <c r="J43" s="55" t="b">
        <v>0</v>
      </c>
      <c r="K43" s="18"/>
    </row>
    <row r="44" spans="1:11" ht="15" x14ac:dyDescent="0.4">
      <c r="A44" s="4">
        <f t="shared" si="0"/>
        <v>34</v>
      </c>
      <c r="B44" s="13">
        <v>44976</v>
      </c>
      <c r="C44" s="14" t="s">
        <v>13</v>
      </c>
      <c r="D44" s="6" cm="1">
        <f t="array" aca="1" ref="D44" ca="1">IF($C44="","",COUNTIF(_xlfn.TAKE(OFFSET($C$11, 0, 0, COUNTA($C$11:$C$110),1),$A44),$C44))</f>
        <v>1</v>
      </c>
      <c r="E44" s="6">
        <f t="shared" si="1"/>
        <v>1</v>
      </c>
      <c r="F44" s="53" t="b">
        <v>0</v>
      </c>
      <c r="G44" s="6" t="b">
        <f t="shared" si="2"/>
        <v>0</v>
      </c>
      <c r="H44" s="55" t="b">
        <v>0</v>
      </c>
      <c r="I44" s="6">
        <f t="shared" si="3"/>
        <v>8</v>
      </c>
      <c r="J44" s="55" t="b">
        <v>0</v>
      </c>
      <c r="K44" s="18"/>
    </row>
    <row r="45" spans="1:11" ht="15" x14ac:dyDescent="0.4">
      <c r="A45" s="4">
        <f t="shared" si="0"/>
        <v>35</v>
      </c>
      <c r="B45" s="13">
        <v>44977</v>
      </c>
      <c r="C45" s="14" t="s">
        <v>13</v>
      </c>
      <c r="D45" s="6" cm="1">
        <f t="array" aca="1" ref="D45" ca="1">IF($C45="","",COUNTIF(_xlfn.TAKE(OFFSET($C$11, 0, 0, COUNTA($C$11:$C$110),1),$A45),$C45))</f>
        <v>2</v>
      </c>
      <c r="E45" s="6">
        <f t="shared" si="1"/>
        <v>2</v>
      </c>
      <c r="F45" s="53" t="b">
        <v>0</v>
      </c>
      <c r="G45" s="6" t="b">
        <f t="shared" si="2"/>
        <v>0</v>
      </c>
      <c r="H45" s="55" t="b">
        <v>0</v>
      </c>
      <c r="I45" s="6">
        <f t="shared" si="3"/>
        <v>9</v>
      </c>
      <c r="J45" s="55" t="b">
        <v>0</v>
      </c>
      <c r="K45" s="18"/>
    </row>
    <row r="46" spans="1:11" ht="15" x14ac:dyDescent="0.4">
      <c r="A46" s="4">
        <f t="shared" si="0"/>
        <v>36</v>
      </c>
      <c r="B46" s="13">
        <v>44978</v>
      </c>
      <c r="C46" s="14" t="s">
        <v>13</v>
      </c>
      <c r="D46" s="6" cm="1">
        <f t="array" aca="1" ref="D46" ca="1">IF($C46="","",COUNTIF(_xlfn.TAKE(OFFSET($C$11, 0, 0, COUNTA($C$11:$C$110),1),$A46),$C46))</f>
        <v>3</v>
      </c>
      <c r="E46" s="6">
        <f t="shared" si="1"/>
        <v>3</v>
      </c>
      <c r="F46" s="53" t="b">
        <v>0</v>
      </c>
      <c r="G46" s="6" t="b">
        <f t="shared" si="2"/>
        <v>0</v>
      </c>
      <c r="H46" s="55" t="b">
        <v>0</v>
      </c>
      <c r="I46" s="6">
        <f t="shared" si="3"/>
        <v>10</v>
      </c>
      <c r="J46" s="55" t="b">
        <v>0</v>
      </c>
      <c r="K46" s="18"/>
    </row>
    <row r="47" spans="1:11" ht="15" x14ac:dyDescent="0.4">
      <c r="A47" s="4">
        <f t="shared" si="0"/>
        <v>37</v>
      </c>
      <c r="B47" s="13">
        <v>44980</v>
      </c>
      <c r="C47" s="14" t="s">
        <v>14</v>
      </c>
      <c r="D47" s="6" cm="1">
        <f t="array" aca="1" ref="D47" ca="1">IF($C47="","",COUNTIF(_xlfn.TAKE(OFFSET($C$11, 0, 0, COUNTA($C$11:$C$110),1),$A47),$C47))</f>
        <v>1</v>
      </c>
      <c r="E47" s="6">
        <f t="shared" si="1"/>
        <v>4</v>
      </c>
      <c r="F47" s="53" t="b">
        <f>TRUE</f>
        <v>1</v>
      </c>
      <c r="G47" s="6" t="b">
        <f t="shared" si="2"/>
        <v>0</v>
      </c>
      <c r="H47" s="55" t="b">
        <v>0</v>
      </c>
      <c r="I47" s="6">
        <f t="shared" si="3"/>
        <v>11</v>
      </c>
      <c r="J47" s="55" t="b">
        <v>0</v>
      </c>
      <c r="K47" s="18"/>
    </row>
    <row r="48" spans="1:11" ht="15" x14ac:dyDescent="0.4">
      <c r="A48" s="4">
        <f t="shared" si="0"/>
        <v>38</v>
      </c>
      <c r="B48" s="13">
        <v>44981</v>
      </c>
      <c r="C48" s="14" t="s">
        <v>14</v>
      </c>
      <c r="D48" s="6" cm="1">
        <f t="array" aca="1" ref="D48" ca="1">IF($C48="","",COUNTIF(_xlfn.TAKE(OFFSET($C$11, 0, 0, COUNTA($C$11:$C$110),1),$A48),$C48))</f>
        <v>2</v>
      </c>
      <c r="E48" s="6">
        <f t="shared" si="1"/>
        <v>1</v>
      </c>
      <c r="F48" s="53" t="b">
        <v>0</v>
      </c>
      <c r="G48" s="6" t="b">
        <f t="shared" si="2"/>
        <v>0</v>
      </c>
      <c r="H48" s="55" t="b">
        <v>0</v>
      </c>
      <c r="I48" s="6">
        <f t="shared" si="3"/>
        <v>12</v>
      </c>
      <c r="J48" s="55" t="b">
        <v>0</v>
      </c>
      <c r="K48" s="18"/>
    </row>
    <row r="49" spans="1:11" ht="15" x14ac:dyDescent="0.4">
      <c r="A49" s="4">
        <f t="shared" si="0"/>
        <v>39</v>
      </c>
      <c r="B49" s="13">
        <v>44982</v>
      </c>
      <c r="C49" s="14" t="s">
        <v>14</v>
      </c>
      <c r="D49" s="6" cm="1">
        <f t="array" aca="1" ref="D49" ca="1">IF($C49="","",COUNTIF(_xlfn.TAKE(OFFSET($C$11, 0, 0, COUNTA($C$11:$C$110),1),$A49),$C49))</f>
        <v>3</v>
      </c>
      <c r="E49" s="6">
        <f t="shared" si="1"/>
        <v>2</v>
      </c>
      <c r="F49" s="53" t="b">
        <f>TRUE</f>
        <v>1</v>
      </c>
      <c r="G49" s="6" t="b">
        <f t="shared" si="2"/>
        <v>0</v>
      </c>
      <c r="H49" s="55" t="b">
        <v>0</v>
      </c>
      <c r="I49" s="6">
        <f t="shared" si="3"/>
        <v>13</v>
      </c>
      <c r="J49" s="55" t="b">
        <v>0</v>
      </c>
      <c r="K49" s="18"/>
    </row>
    <row r="50" spans="1:11" ht="15" x14ac:dyDescent="0.4">
      <c r="A50" s="4">
        <f t="shared" si="0"/>
        <v>40</v>
      </c>
      <c r="B50" s="13">
        <v>44983</v>
      </c>
      <c r="C50" s="14" t="s">
        <v>14</v>
      </c>
      <c r="D50" s="6" cm="1">
        <f t="array" aca="1" ref="D50" ca="1">IF($C50="","",COUNTIF(_xlfn.TAKE(OFFSET($C$11, 0, 0, COUNTA($C$11:$C$110),1),$A50),$C50))</f>
        <v>4</v>
      </c>
      <c r="E50" s="6">
        <f t="shared" si="1"/>
        <v>1</v>
      </c>
      <c r="F50" s="53" t="b">
        <v>0</v>
      </c>
      <c r="G50" s="6" t="b">
        <f t="shared" si="2"/>
        <v>0</v>
      </c>
      <c r="H50" s="55" t="b">
        <v>0</v>
      </c>
      <c r="I50" s="6">
        <f t="shared" si="3"/>
        <v>14</v>
      </c>
      <c r="J50" s="55" t="b">
        <v>0</v>
      </c>
      <c r="K50" s="18"/>
    </row>
    <row r="51" spans="1:11" ht="15" x14ac:dyDescent="0.4">
      <c r="A51" s="4">
        <f t="shared" si="0"/>
        <v>41</v>
      </c>
      <c r="B51" s="13">
        <v>44984</v>
      </c>
      <c r="C51" s="14" t="s">
        <v>14</v>
      </c>
      <c r="D51" s="6" cm="1">
        <f t="array" aca="1" ref="D51" ca="1">IF($C51="","",COUNTIF(_xlfn.TAKE(OFFSET($C$11, 0, 0, COUNTA($C$11:$C$110),1),$A51),$C51))</f>
        <v>5</v>
      </c>
      <c r="E51" s="6">
        <f t="shared" si="1"/>
        <v>2</v>
      </c>
      <c r="F51" s="53" t="b">
        <v>0</v>
      </c>
      <c r="G51" s="6" t="b">
        <f t="shared" si="2"/>
        <v>0</v>
      </c>
      <c r="H51" s="55" t="b">
        <v>0</v>
      </c>
      <c r="I51" s="6">
        <f t="shared" si="3"/>
        <v>15</v>
      </c>
      <c r="J51" s="55" t="b">
        <v>0</v>
      </c>
      <c r="K51" s="18"/>
    </row>
    <row r="52" spans="1:11" ht="15" x14ac:dyDescent="0.4">
      <c r="A52" s="4">
        <f t="shared" si="0"/>
        <v>42</v>
      </c>
      <c r="B52" s="13">
        <v>44986</v>
      </c>
      <c r="C52" s="14" t="s">
        <v>16</v>
      </c>
      <c r="D52" s="6" cm="1">
        <f t="array" aca="1" ref="D52" ca="1">IF($C52="","",COUNTIF(_xlfn.TAKE(OFFSET($C$11, 0, 0, COUNTA($C$11:$C$110),1),$A52),$C52))</f>
        <v>1</v>
      </c>
      <c r="E52" s="6">
        <f t="shared" si="1"/>
        <v>3</v>
      </c>
      <c r="F52" s="53" t="b">
        <v>0</v>
      </c>
      <c r="G52" s="6" t="b">
        <f t="shared" si="2"/>
        <v>0</v>
      </c>
      <c r="H52" s="55" t="b">
        <v>0</v>
      </c>
      <c r="I52" s="6">
        <f t="shared" si="3"/>
        <v>16</v>
      </c>
      <c r="J52" s="55" t="b">
        <v>0</v>
      </c>
      <c r="K52" s="18"/>
    </row>
    <row r="53" spans="1:11" ht="15" x14ac:dyDescent="0.4">
      <c r="A53" s="4">
        <f t="shared" si="0"/>
        <v>43</v>
      </c>
      <c r="B53" s="13">
        <v>44988</v>
      </c>
      <c r="C53" s="14" t="s">
        <v>17</v>
      </c>
      <c r="D53" s="6" cm="1">
        <f t="array" aca="1" ref="D53" ca="1">IF($C53="","",COUNTIF(_xlfn.TAKE(OFFSET($C$11, 0, 0, COUNTA($C$11:$C$110),1),$A53),$C53))</f>
        <v>1</v>
      </c>
      <c r="E53" s="6">
        <f t="shared" si="1"/>
        <v>4</v>
      </c>
      <c r="F53" s="53" t="b">
        <v>0</v>
      </c>
      <c r="G53" s="6" t="b">
        <f t="shared" si="2"/>
        <v>0</v>
      </c>
      <c r="H53" s="55" t="b">
        <v>0</v>
      </c>
      <c r="I53" s="6">
        <f t="shared" si="3"/>
        <v>17</v>
      </c>
      <c r="J53" s="55" t="b">
        <v>0</v>
      </c>
      <c r="K53" s="18"/>
    </row>
    <row r="54" spans="1:11" ht="15" x14ac:dyDescent="0.4">
      <c r="A54" s="4">
        <f t="shared" si="0"/>
        <v>44</v>
      </c>
      <c r="B54" s="13">
        <v>44990</v>
      </c>
      <c r="C54" s="14" t="s">
        <v>8</v>
      </c>
      <c r="D54" s="6" cm="1">
        <f t="array" aca="1" ref="D54" ca="1">IF($C54="","",COUNTIF(_xlfn.TAKE(OFFSET($C$11, 0, 0, COUNTA($C$11:$C$110),1),$A54),$C54))</f>
        <v>2</v>
      </c>
      <c r="E54" s="6">
        <f t="shared" si="1"/>
        <v>5</v>
      </c>
      <c r="F54" s="53" t="b">
        <f>TRUE</f>
        <v>1</v>
      </c>
      <c r="G54" s="6" t="b">
        <f t="shared" si="2"/>
        <v>0</v>
      </c>
      <c r="H54" s="55" t="b">
        <v>0</v>
      </c>
      <c r="I54" s="6">
        <f t="shared" si="3"/>
        <v>18</v>
      </c>
      <c r="J54" s="55" t="b">
        <v>0</v>
      </c>
      <c r="K54" s="18"/>
    </row>
    <row r="55" spans="1:11" ht="15" x14ac:dyDescent="0.4">
      <c r="A55" s="4">
        <f t="shared" si="0"/>
        <v>45</v>
      </c>
      <c r="B55" s="13">
        <v>45011</v>
      </c>
      <c r="C55" s="14" t="s">
        <v>7</v>
      </c>
      <c r="D55" s="6" cm="1">
        <f t="array" aca="1" ref="D55" ca="1">IF($C55="","",COUNTIF(_xlfn.TAKE(OFFSET($C$11, 0, 0, COUNTA($C$11:$C$110),1),$A55),$C55))</f>
        <v>13</v>
      </c>
      <c r="E55" s="6">
        <f t="shared" si="1"/>
        <v>1</v>
      </c>
      <c r="F55" s="53" t="b">
        <v>0</v>
      </c>
      <c r="G55" s="6" t="b">
        <f t="shared" si="2"/>
        <v>0</v>
      </c>
      <c r="H55" s="55" t="b">
        <v>0</v>
      </c>
      <c r="I55" s="6">
        <f t="shared" si="3"/>
        <v>19</v>
      </c>
      <c r="J55" s="55" t="b">
        <v>0</v>
      </c>
      <c r="K55" s="18"/>
    </row>
    <row r="56" spans="1:11" ht="15" x14ac:dyDescent="0.4">
      <c r="A56" s="4">
        <f t="shared" si="0"/>
        <v>46</v>
      </c>
      <c r="B56" s="13">
        <v>45012</v>
      </c>
      <c r="C56" s="14" t="s">
        <v>7</v>
      </c>
      <c r="D56" s="6" cm="1">
        <f t="array" aca="1" ref="D56" ca="1">IF($C56="","",COUNTIF(_xlfn.TAKE(OFFSET($C$11, 0, 0, COUNTA($C$11:$C$110),1),$A56),$C56))</f>
        <v>14</v>
      </c>
      <c r="E56" s="6">
        <f t="shared" si="1"/>
        <v>2</v>
      </c>
      <c r="F56" s="53" t="b">
        <v>0</v>
      </c>
      <c r="G56" s="6" t="b">
        <f t="shared" si="2"/>
        <v>0</v>
      </c>
      <c r="H56" s="55" t="b">
        <v>0</v>
      </c>
      <c r="I56" s="6">
        <f t="shared" si="3"/>
        <v>20</v>
      </c>
      <c r="J56" s="55" t="b">
        <v>0</v>
      </c>
      <c r="K56" s="18"/>
    </row>
    <row r="57" spans="1:11" ht="15" x14ac:dyDescent="0.4">
      <c r="A57" s="4">
        <f t="shared" si="0"/>
        <v>47</v>
      </c>
      <c r="B57" s="13">
        <v>45013</v>
      </c>
      <c r="C57" s="14" t="s">
        <v>7</v>
      </c>
      <c r="D57" s="6" cm="1">
        <f t="array" aca="1" ref="D57" ca="1">IF($C57="","",COUNTIF(_xlfn.TAKE(OFFSET($C$11, 0, 0, COUNTA($C$11:$C$110),1),$A57),$C57))</f>
        <v>15</v>
      </c>
      <c r="E57" s="6">
        <f t="shared" si="1"/>
        <v>3</v>
      </c>
      <c r="F57" s="53" t="b">
        <f>TRUE</f>
        <v>1</v>
      </c>
      <c r="G57" s="6" t="b">
        <f t="shared" si="2"/>
        <v>0</v>
      </c>
      <c r="H57" s="55" t="b">
        <v>0</v>
      </c>
      <c r="I57" s="6">
        <f t="shared" si="3"/>
        <v>21</v>
      </c>
      <c r="J57" s="55" t="b">
        <v>0</v>
      </c>
      <c r="K57" s="18"/>
    </row>
    <row r="58" spans="1:11" ht="15" x14ac:dyDescent="0.4">
      <c r="A58" s="4">
        <f t="shared" si="0"/>
        <v>48</v>
      </c>
      <c r="B58" s="13">
        <v>45014</v>
      </c>
      <c r="C58" s="14" t="s">
        <v>7</v>
      </c>
      <c r="D58" s="6" cm="1">
        <f t="array" aca="1" ref="D58" ca="1">IF($C58="","",COUNTIF(_xlfn.TAKE(OFFSET($C$11, 0, 0, COUNTA($C$11:$C$110),1),$A58),$C58))</f>
        <v>16</v>
      </c>
      <c r="E58" s="6">
        <f t="shared" si="1"/>
        <v>1</v>
      </c>
      <c r="F58" s="53" t="b">
        <v>0</v>
      </c>
      <c r="G58" s="6" t="b">
        <f t="shared" si="2"/>
        <v>0</v>
      </c>
      <c r="H58" s="55" t="b">
        <v>0</v>
      </c>
      <c r="I58" s="6">
        <f t="shared" si="3"/>
        <v>22</v>
      </c>
      <c r="J58" s="55" t="b">
        <v>0</v>
      </c>
      <c r="K58" s="18"/>
    </row>
    <row r="59" spans="1:11" ht="15" x14ac:dyDescent="0.4">
      <c r="A59" s="4">
        <f t="shared" si="0"/>
        <v>49</v>
      </c>
      <c r="B59" s="13">
        <v>45015</v>
      </c>
      <c r="C59" s="14" t="s">
        <v>7</v>
      </c>
      <c r="D59" s="6" cm="1">
        <f t="array" aca="1" ref="D59" ca="1">IF($C59="","",COUNTIF(_xlfn.TAKE(OFFSET($C$11, 0, 0, COUNTA($C$11:$C$110),1),$A59),$C59))</f>
        <v>17</v>
      </c>
      <c r="E59" s="6">
        <f t="shared" si="1"/>
        <v>2</v>
      </c>
      <c r="F59" s="53" t="b">
        <v>0</v>
      </c>
      <c r="G59" s="6" t="b">
        <f t="shared" si="2"/>
        <v>0</v>
      </c>
      <c r="H59" s="55" t="b">
        <v>0</v>
      </c>
      <c r="I59" s="6">
        <f t="shared" si="3"/>
        <v>23</v>
      </c>
      <c r="J59" s="55" t="b">
        <v>0</v>
      </c>
      <c r="K59" s="18"/>
    </row>
    <row r="60" spans="1:11" ht="15" x14ac:dyDescent="0.4">
      <c r="A60" s="4">
        <f t="shared" si="0"/>
        <v>50</v>
      </c>
      <c r="B60" s="13">
        <v>45016</v>
      </c>
      <c r="C60" s="14" t="s">
        <v>7</v>
      </c>
      <c r="D60" s="6" cm="1">
        <f t="array" aca="1" ref="D60" ca="1">IF($C60="","",COUNTIF(_xlfn.TAKE(OFFSET($C$11, 0, 0, COUNTA($C$11:$C$110),1),$A60),$C60))</f>
        <v>18</v>
      </c>
      <c r="E60" s="6">
        <f t="shared" si="1"/>
        <v>3</v>
      </c>
      <c r="F60" s="53" t="b">
        <v>0</v>
      </c>
      <c r="G60" s="6" t="b">
        <f t="shared" si="2"/>
        <v>0</v>
      </c>
      <c r="H60" s="55" t="b">
        <v>0</v>
      </c>
      <c r="I60" s="6">
        <f t="shared" si="3"/>
        <v>24</v>
      </c>
      <c r="J60" s="55" t="b">
        <v>0</v>
      </c>
      <c r="K60" s="18"/>
    </row>
    <row r="61" spans="1:11" ht="15" x14ac:dyDescent="0.4">
      <c r="A61" s="4" t="str">
        <f t="shared" si="0"/>
        <v/>
      </c>
      <c r="B61" s="13"/>
      <c r="C61" s="14"/>
      <c r="D61" s="6" t="str" cm="1">
        <f t="array" aca="1" ref="D61" ca="1">IF($C61="","",COUNTIF(_xlfn.TAKE(OFFSET($C$11, 0, 0, COUNTA($C$11:$C$110),1),$A61),$C61))</f>
        <v/>
      </c>
      <c r="E61" s="6" t="str">
        <f t="shared" si="1"/>
        <v/>
      </c>
      <c r="F61" s="53" t="b">
        <v>0</v>
      </c>
      <c r="G61" s="6" t="str">
        <f t="shared" si="2"/>
        <v/>
      </c>
      <c r="H61" s="55" t="b">
        <v>0</v>
      </c>
      <c r="I61" s="6" t="str">
        <f t="shared" si="3"/>
        <v/>
      </c>
      <c r="J61" s="55" t="b">
        <v>0</v>
      </c>
      <c r="K61" s="18"/>
    </row>
    <row r="62" spans="1:11" ht="15" x14ac:dyDescent="0.4">
      <c r="A62" s="4" t="str">
        <f t="shared" si="0"/>
        <v/>
      </c>
      <c r="B62" s="13"/>
      <c r="C62" s="14"/>
      <c r="D62" s="6" t="str" cm="1">
        <f t="array" aca="1" ref="D62" ca="1">IF($C62="","",COUNTIF(_xlfn.TAKE(OFFSET($C$11, 0, 0, COUNTA($C$11:$C$110),1),$A62),$C62))</f>
        <v/>
      </c>
      <c r="E62" s="6" t="str">
        <f t="shared" si="1"/>
        <v/>
      </c>
      <c r="F62" s="53" t="b">
        <v>0</v>
      </c>
      <c r="G62" s="6" t="str">
        <f t="shared" si="2"/>
        <v/>
      </c>
      <c r="H62" s="55" t="b">
        <v>0</v>
      </c>
      <c r="I62" s="6" t="str">
        <f t="shared" si="3"/>
        <v/>
      </c>
      <c r="J62" s="55" t="b">
        <v>0</v>
      </c>
      <c r="K62" s="18"/>
    </row>
    <row r="63" spans="1:11" ht="15" x14ac:dyDescent="0.4">
      <c r="A63" s="4" t="str">
        <f t="shared" si="0"/>
        <v/>
      </c>
      <c r="B63" s="13"/>
      <c r="C63" s="14"/>
      <c r="D63" s="6" t="str" cm="1">
        <f t="array" aca="1" ref="D63" ca="1">IF($C63="","",COUNTIF(_xlfn.TAKE(OFFSET($C$11, 0, 0, COUNTA($C$11:$C$110),1),$A63),$C63))</f>
        <v/>
      </c>
      <c r="E63" s="6" t="str">
        <f t="shared" si="1"/>
        <v/>
      </c>
      <c r="F63" s="53" t="b">
        <v>0</v>
      </c>
      <c r="G63" s="6" t="str">
        <f t="shared" si="2"/>
        <v/>
      </c>
      <c r="H63" s="55" t="b">
        <v>0</v>
      </c>
      <c r="I63" s="6" t="str">
        <f t="shared" si="3"/>
        <v/>
      </c>
      <c r="J63" s="55" t="b">
        <v>0</v>
      </c>
      <c r="K63" s="18"/>
    </row>
    <row r="64" spans="1:11" ht="15" x14ac:dyDescent="0.4">
      <c r="A64" s="4" t="str">
        <f t="shared" si="0"/>
        <v/>
      </c>
      <c r="B64" s="13"/>
      <c r="C64" s="14"/>
      <c r="D64" s="6" t="str" cm="1">
        <f t="array" aca="1" ref="D64" ca="1">IF($C64="","",COUNTIF(_xlfn.TAKE(OFFSET($C$11, 0, 0, COUNTA($C$11:$C$110),1),$A64),$C64))</f>
        <v/>
      </c>
      <c r="E64" s="6" t="str">
        <f t="shared" si="1"/>
        <v/>
      </c>
      <c r="F64" s="53" t="b">
        <v>0</v>
      </c>
      <c r="G64" s="6" t="str">
        <f t="shared" si="2"/>
        <v/>
      </c>
      <c r="H64" s="55" t="b">
        <v>0</v>
      </c>
      <c r="I64" s="6" t="str">
        <f t="shared" si="3"/>
        <v/>
      </c>
      <c r="J64" s="55" t="b">
        <v>0</v>
      </c>
      <c r="K64" s="18"/>
    </row>
    <row r="65" spans="1:11" ht="15" x14ac:dyDescent="0.4">
      <c r="A65" s="4" t="str">
        <f t="shared" si="0"/>
        <v/>
      </c>
      <c r="B65" s="13"/>
      <c r="C65" s="14"/>
      <c r="D65" s="6" t="str" cm="1">
        <f t="array" aca="1" ref="D65" ca="1">IF($C65="","",COUNTIF(_xlfn.TAKE(OFFSET($C$11, 0, 0, COUNTA($C$11:$C$110),1),$A65),$C65))</f>
        <v/>
      </c>
      <c r="E65" s="6" t="str">
        <f t="shared" si="1"/>
        <v/>
      </c>
      <c r="F65" s="53" t="b">
        <v>0</v>
      </c>
      <c r="G65" s="6" t="str">
        <f t="shared" si="2"/>
        <v/>
      </c>
      <c r="H65" s="55" t="b">
        <v>0</v>
      </c>
      <c r="I65" s="6" t="str">
        <f t="shared" si="3"/>
        <v/>
      </c>
      <c r="J65" s="55" t="b">
        <v>0</v>
      </c>
      <c r="K65" s="18"/>
    </row>
    <row r="66" spans="1:11" ht="15" x14ac:dyDescent="0.4">
      <c r="A66" s="4" t="str">
        <f t="shared" si="0"/>
        <v/>
      </c>
      <c r="B66" s="13"/>
      <c r="C66" s="14"/>
      <c r="D66" s="6" t="str" cm="1">
        <f t="array" aca="1" ref="D66" ca="1">IF($C66="","",COUNTIF(_xlfn.TAKE(OFFSET($C$11, 0, 0, COUNTA($C$11:$C$110),1),$A66),$C66))</f>
        <v/>
      </c>
      <c r="E66" s="6" t="str">
        <f t="shared" si="1"/>
        <v/>
      </c>
      <c r="F66" s="53" t="b">
        <v>0</v>
      </c>
      <c r="G66" s="6" t="str">
        <f t="shared" si="2"/>
        <v/>
      </c>
      <c r="H66" s="55" t="b">
        <v>0</v>
      </c>
      <c r="I66" s="6" t="str">
        <f t="shared" si="3"/>
        <v/>
      </c>
      <c r="J66" s="55" t="b">
        <v>0</v>
      </c>
      <c r="K66" s="18"/>
    </row>
    <row r="67" spans="1:11" ht="15" x14ac:dyDescent="0.4">
      <c r="A67" s="4" t="str">
        <f t="shared" si="0"/>
        <v/>
      </c>
      <c r="B67" s="13"/>
      <c r="C67" s="14"/>
      <c r="D67" s="6" t="str" cm="1">
        <f t="array" aca="1" ref="D67" ca="1">IF($C67="","",COUNTIF(_xlfn.TAKE(OFFSET($C$11, 0, 0, COUNTA($C$11:$C$110),1),$A67),$C67))</f>
        <v/>
      </c>
      <c r="E67" s="6" t="str">
        <f t="shared" si="1"/>
        <v/>
      </c>
      <c r="F67" s="53" t="b">
        <v>0</v>
      </c>
      <c r="G67" s="6" t="str">
        <f t="shared" si="2"/>
        <v/>
      </c>
      <c r="H67" s="55" t="b">
        <v>0</v>
      </c>
      <c r="I67" s="6" t="str">
        <f t="shared" si="3"/>
        <v/>
      </c>
      <c r="J67" s="55" t="b">
        <v>0</v>
      </c>
      <c r="K67" s="18"/>
    </row>
    <row r="68" spans="1:11" ht="15" x14ac:dyDescent="0.4">
      <c r="A68" s="4" t="str">
        <f t="shared" si="0"/>
        <v/>
      </c>
      <c r="B68" s="13"/>
      <c r="C68" s="14"/>
      <c r="D68" s="6" t="str" cm="1">
        <f t="array" aca="1" ref="D68" ca="1">IF($C68="","",COUNTIF(_xlfn.TAKE(OFFSET($C$11, 0, 0, COUNTA($C$11:$C$110),1),$A68),$C68))</f>
        <v/>
      </c>
      <c r="E68" s="6" t="str">
        <f t="shared" si="1"/>
        <v/>
      </c>
      <c r="F68" s="53" t="b">
        <v>0</v>
      </c>
      <c r="G68" s="6" t="str">
        <f t="shared" si="2"/>
        <v/>
      </c>
      <c r="H68" s="55" t="b">
        <v>0</v>
      </c>
      <c r="I68" s="6" t="str">
        <f t="shared" si="3"/>
        <v/>
      </c>
      <c r="J68" s="55" t="b">
        <v>0</v>
      </c>
      <c r="K68" s="18"/>
    </row>
    <row r="69" spans="1:11" ht="15" x14ac:dyDescent="0.4">
      <c r="A69" s="4" t="str">
        <f t="shared" si="0"/>
        <v/>
      </c>
      <c r="B69" s="13"/>
      <c r="C69" s="14"/>
      <c r="D69" s="6" t="str" cm="1">
        <f t="array" aca="1" ref="D69" ca="1">IF($C69="","",COUNTIF(_xlfn.TAKE(OFFSET($C$11, 0, 0, COUNTA($C$11:$C$110),1),$A69),$C69))</f>
        <v/>
      </c>
      <c r="E69" s="6" t="str">
        <f t="shared" si="1"/>
        <v/>
      </c>
      <c r="F69" s="53" t="b">
        <v>0</v>
      </c>
      <c r="G69" s="6" t="str">
        <f t="shared" si="2"/>
        <v/>
      </c>
      <c r="H69" s="55" t="b">
        <v>0</v>
      </c>
      <c r="I69" s="6" t="str">
        <f t="shared" si="3"/>
        <v/>
      </c>
      <c r="J69" s="55" t="b">
        <v>0</v>
      </c>
      <c r="K69" s="18"/>
    </row>
    <row r="70" spans="1:11" ht="15" x14ac:dyDescent="0.4">
      <c r="A70" s="4" t="str">
        <f t="shared" si="0"/>
        <v/>
      </c>
      <c r="B70" s="13"/>
      <c r="C70" s="14"/>
      <c r="D70" s="6" t="str" cm="1">
        <f t="array" aca="1" ref="D70" ca="1">IF($C70="","",COUNTIF(_xlfn.TAKE(OFFSET($C$11, 0, 0, COUNTA($C$11:$C$110),1),$A70),$C70))</f>
        <v/>
      </c>
      <c r="E70" s="6" t="str">
        <f t="shared" si="1"/>
        <v/>
      </c>
      <c r="F70" s="53" t="b">
        <v>0</v>
      </c>
      <c r="G70" s="6" t="str">
        <f t="shared" si="2"/>
        <v/>
      </c>
      <c r="H70" s="55" t="b">
        <v>0</v>
      </c>
      <c r="I70" s="6" t="str">
        <f t="shared" si="3"/>
        <v/>
      </c>
      <c r="J70" s="55" t="b">
        <v>0</v>
      </c>
      <c r="K70" s="18"/>
    </row>
    <row r="71" spans="1:11" ht="15" x14ac:dyDescent="0.4">
      <c r="A71" s="4" t="str">
        <f t="shared" si="0"/>
        <v/>
      </c>
      <c r="B71" s="13"/>
      <c r="C71" s="14"/>
      <c r="D71" s="6" t="str" cm="1">
        <f t="array" aca="1" ref="D71" ca="1">IF($C71="","",COUNTIF(_xlfn.TAKE(OFFSET($C$11, 0, 0, COUNTA($C$11:$C$110),1),$A71),$C71))</f>
        <v/>
      </c>
      <c r="E71" s="6" t="str">
        <f t="shared" si="1"/>
        <v/>
      </c>
      <c r="F71" s="53" t="b">
        <v>0</v>
      </c>
      <c r="G71" s="6" t="str">
        <f t="shared" si="2"/>
        <v/>
      </c>
      <c r="H71" s="55" t="b">
        <v>0</v>
      </c>
      <c r="I71" s="6" t="str">
        <f t="shared" si="3"/>
        <v/>
      </c>
      <c r="J71" s="55" t="b">
        <v>0</v>
      </c>
      <c r="K71" s="18"/>
    </row>
    <row r="72" spans="1:11" ht="15" x14ac:dyDescent="0.4">
      <c r="A72" s="4" t="str">
        <f t="shared" si="0"/>
        <v/>
      </c>
      <c r="B72" s="13"/>
      <c r="C72" s="14"/>
      <c r="D72" s="6" t="str" cm="1">
        <f t="array" aca="1" ref="D72" ca="1">IF($C72="","",COUNTIF(_xlfn.TAKE(OFFSET($C$11, 0, 0, COUNTA($C$11:$C$110),1),$A72),$C72))</f>
        <v/>
      </c>
      <c r="E72" s="6" t="str">
        <f t="shared" si="1"/>
        <v/>
      </c>
      <c r="F72" s="53" t="b">
        <v>0</v>
      </c>
      <c r="G72" s="6" t="str">
        <f t="shared" si="2"/>
        <v/>
      </c>
      <c r="H72" s="55" t="b">
        <v>0</v>
      </c>
      <c r="I72" s="6" t="str">
        <f t="shared" si="3"/>
        <v/>
      </c>
      <c r="J72" s="55" t="b">
        <v>0</v>
      </c>
      <c r="K72" s="18"/>
    </row>
    <row r="73" spans="1:11" ht="15" x14ac:dyDescent="0.4">
      <c r="A73" s="4" t="str">
        <f t="shared" si="0"/>
        <v/>
      </c>
      <c r="B73" s="13"/>
      <c r="C73" s="14"/>
      <c r="D73" s="6" t="str" cm="1">
        <f t="array" aca="1" ref="D73" ca="1">IF($C73="","",COUNTIF(_xlfn.TAKE(OFFSET($C$11, 0, 0, COUNTA($C$11:$C$110),1),$A73),$C73))</f>
        <v/>
      </c>
      <c r="E73" s="6" t="str">
        <f t="shared" si="1"/>
        <v/>
      </c>
      <c r="F73" s="53" t="b">
        <v>0</v>
      </c>
      <c r="G73" s="6" t="str">
        <f t="shared" si="2"/>
        <v/>
      </c>
      <c r="H73" s="55" t="b">
        <v>0</v>
      </c>
      <c r="I73" s="6" t="str">
        <f t="shared" si="3"/>
        <v/>
      </c>
      <c r="J73" s="55" t="b">
        <v>0</v>
      </c>
      <c r="K73" s="18"/>
    </row>
    <row r="74" spans="1:11" ht="15" x14ac:dyDescent="0.4">
      <c r="A74" s="4" t="str">
        <f t="shared" si="0"/>
        <v/>
      </c>
      <c r="B74" s="13"/>
      <c r="C74" s="14"/>
      <c r="D74" s="6" t="str" cm="1">
        <f t="array" aca="1" ref="D74" ca="1">IF($C74="","",COUNTIF(_xlfn.TAKE(OFFSET($C$11, 0, 0, COUNTA($C$11:$C$110),1),$A74),$C74))</f>
        <v/>
      </c>
      <c r="E74" s="6" t="str">
        <f t="shared" si="1"/>
        <v/>
      </c>
      <c r="F74" s="53" t="b">
        <v>0</v>
      </c>
      <c r="G74" s="6" t="str">
        <f t="shared" si="2"/>
        <v/>
      </c>
      <c r="H74" s="55" t="b">
        <v>0</v>
      </c>
      <c r="I74" s="6" t="str">
        <f t="shared" si="3"/>
        <v/>
      </c>
      <c r="J74" s="55" t="b">
        <v>0</v>
      </c>
      <c r="K74" s="18"/>
    </row>
    <row r="75" spans="1:11" ht="15" x14ac:dyDescent="0.4">
      <c r="A75" s="4" t="str">
        <f t="shared" si="0"/>
        <v/>
      </c>
      <c r="B75" s="13"/>
      <c r="C75" s="14"/>
      <c r="D75" s="6" t="str" cm="1">
        <f t="array" aca="1" ref="D75" ca="1">IF($C75="","",COUNTIF(_xlfn.TAKE(OFFSET($C$11, 0, 0, COUNTA($C$11:$C$110),1),$A75),$C75))</f>
        <v/>
      </c>
      <c r="E75" s="6" t="str">
        <f t="shared" si="1"/>
        <v/>
      </c>
      <c r="F75" s="53" t="b">
        <v>0</v>
      </c>
      <c r="G75" s="6" t="str">
        <f t="shared" si="2"/>
        <v/>
      </c>
      <c r="H75" s="55" t="b">
        <v>0</v>
      </c>
      <c r="I75" s="6" t="str">
        <f t="shared" si="3"/>
        <v/>
      </c>
      <c r="J75" s="55" t="b">
        <v>0</v>
      </c>
      <c r="K75" s="18"/>
    </row>
    <row r="76" spans="1:11" ht="15" x14ac:dyDescent="0.4">
      <c r="A76" s="4" t="str">
        <f t="shared" ref="A76:A110" si="4">IF($B76="","",A75+1)</f>
        <v/>
      </c>
      <c r="B76" s="13"/>
      <c r="C76" s="14"/>
      <c r="D76" s="6" t="str" cm="1">
        <f t="array" aca="1" ref="D76" ca="1">IF($C76="","",COUNTIF(_xlfn.TAKE(OFFSET($C$11, 0, 0, COUNTA($C$11:$C$110),1),$A76),$C76))</f>
        <v/>
      </c>
      <c r="E76" s="6" t="str">
        <f t="shared" ref="E76:E110" si="5">IF($B76="","",IF($F75, 1, $E75+1))</f>
        <v/>
      </c>
      <c r="F76" s="53" t="b">
        <v>0</v>
      </c>
      <c r="G76" s="6" t="str">
        <f t="shared" ref="G76:G110" si="6">IF($B76="","",IF($H75, $G75+1))</f>
        <v/>
      </c>
      <c r="H76" s="55" t="b">
        <v>0</v>
      </c>
      <c r="I76" s="6" t="str">
        <f t="shared" ref="I76:I110" si="7">IF($B76="","",IF($J75, 1, $I75+1))</f>
        <v/>
      </c>
      <c r="J76" s="55" t="b">
        <v>0</v>
      </c>
      <c r="K76" s="18"/>
    </row>
    <row r="77" spans="1:11" ht="15" x14ac:dyDescent="0.4">
      <c r="A77" s="4" t="str">
        <f t="shared" si="4"/>
        <v/>
      </c>
      <c r="B77" s="13"/>
      <c r="C77" s="14"/>
      <c r="D77" s="6" t="str" cm="1">
        <f t="array" aca="1" ref="D77" ca="1">IF($C77="","",COUNTIF(_xlfn.TAKE(OFFSET($C$11, 0, 0, COUNTA($C$11:$C$110),1),$A77),$C77))</f>
        <v/>
      </c>
      <c r="E77" s="6" t="str">
        <f t="shared" si="5"/>
        <v/>
      </c>
      <c r="F77" s="53" t="b">
        <v>0</v>
      </c>
      <c r="G77" s="6" t="str">
        <f t="shared" si="6"/>
        <v/>
      </c>
      <c r="H77" s="55" t="b">
        <v>0</v>
      </c>
      <c r="I77" s="6" t="str">
        <f t="shared" si="7"/>
        <v/>
      </c>
      <c r="J77" s="55" t="b">
        <v>0</v>
      </c>
      <c r="K77" s="18"/>
    </row>
    <row r="78" spans="1:11" ht="15" x14ac:dyDescent="0.4">
      <c r="A78" s="4" t="str">
        <f t="shared" si="4"/>
        <v/>
      </c>
      <c r="B78" s="13"/>
      <c r="C78" s="14"/>
      <c r="D78" s="6" t="str" cm="1">
        <f t="array" aca="1" ref="D78" ca="1">IF($C78="","",COUNTIF(_xlfn.TAKE(OFFSET($C$11, 0, 0, COUNTA($C$11:$C$110),1),$A78),$C78))</f>
        <v/>
      </c>
      <c r="E78" s="6" t="str">
        <f t="shared" si="5"/>
        <v/>
      </c>
      <c r="F78" s="53" t="b">
        <v>0</v>
      </c>
      <c r="G78" s="6" t="str">
        <f t="shared" si="6"/>
        <v/>
      </c>
      <c r="H78" s="55" t="b">
        <v>0</v>
      </c>
      <c r="I78" s="6" t="str">
        <f t="shared" si="7"/>
        <v/>
      </c>
      <c r="J78" s="55" t="b">
        <v>0</v>
      </c>
      <c r="K78" s="18"/>
    </row>
    <row r="79" spans="1:11" ht="15" x14ac:dyDescent="0.4">
      <c r="A79" s="4" t="str">
        <f t="shared" si="4"/>
        <v/>
      </c>
      <c r="B79" s="13"/>
      <c r="C79" s="14"/>
      <c r="D79" s="6" t="str" cm="1">
        <f t="array" aca="1" ref="D79" ca="1">IF($C79="","",COUNTIF(_xlfn.TAKE(OFFSET($C$11, 0, 0, COUNTA($C$11:$C$110),1),$A79),$C79))</f>
        <v/>
      </c>
      <c r="E79" s="6" t="str">
        <f t="shared" si="5"/>
        <v/>
      </c>
      <c r="F79" s="53" t="b">
        <v>0</v>
      </c>
      <c r="G79" s="6" t="str">
        <f t="shared" si="6"/>
        <v/>
      </c>
      <c r="H79" s="55" t="b">
        <v>0</v>
      </c>
      <c r="I79" s="6" t="str">
        <f t="shared" si="7"/>
        <v/>
      </c>
      <c r="J79" s="55" t="b">
        <v>0</v>
      </c>
      <c r="K79" s="18"/>
    </row>
    <row r="80" spans="1:11" ht="15" x14ac:dyDescent="0.4">
      <c r="A80" s="4" t="str">
        <f t="shared" si="4"/>
        <v/>
      </c>
      <c r="B80" s="13"/>
      <c r="C80" s="14"/>
      <c r="D80" s="6" t="str" cm="1">
        <f t="array" aca="1" ref="D80" ca="1">IF($C80="","",COUNTIF(_xlfn.TAKE(OFFSET($C$11, 0, 0, COUNTA($C$11:$C$110),1),$A80),$C80))</f>
        <v/>
      </c>
      <c r="E80" s="6" t="str">
        <f t="shared" si="5"/>
        <v/>
      </c>
      <c r="F80" s="53" t="b">
        <v>0</v>
      </c>
      <c r="G80" s="6" t="str">
        <f t="shared" si="6"/>
        <v/>
      </c>
      <c r="H80" s="55" t="b">
        <v>0</v>
      </c>
      <c r="I80" s="6" t="str">
        <f t="shared" si="7"/>
        <v/>
      </c>
      <c r="J80" s="55" t="b">
        <v>0</v>
      </c>
      <c r="K80" s="18"/>
    </row>
    <row r="81" spans="1:11" ht="15" x14ac:dyDescent="0.4">
      <c r="A81" s="4" t="str">
        <f t="shared" si="4"/>
        <v/>
      </c>
      <c r="B81" s="13"/>
      <c r="C81" s="14"/>
      <c r="D81" s="6" t="str" cm="1">
        <f t="array" aca="1" ref="D81" ca="1">IF($C81="","",COUNTIF(_xlfn.TAKE(OFFSET($C$11, 0, 0, COUNTA($C$11:$C$110),1),$A81),$C81))</f>
        <v/>
      </c>
      <c r="E81" s="6" t="str">
        <f t="shared" si="5"/>
        <v/>
      </c>
      <c r="F81" s="53" t="b">
        <v>0</v>
      </c>
      <c r="G81" s="6" t="str">
        <f t="shared" si="6"/>
        <v/>
      </c>
      <c r="H81" s="55" t="b">
        <v>0</v>
      </c>
      <c r="I81" s="6" t="str">
        <f t="shared" si="7"/>
        <v/>
      </c>
      <c r="J81" s="55" t="b">
        <v>0</v>
      </c>
      <c r="K81" s="18"/>
    </row>
    <row r="82" spans="1:11" ht="15" x14ac:dyDescent="0.4">
      <c r="A82" s="4" t="str">
        <f t="shared" si="4"/>
        <v/>
      </c>
      <c r="B82" s="13"/>
      <c r="C82" s="14"/>
      <c r="D82" s="6" t="str" cm="1">
        <f t="array" aca="1" ref="D82" ca="1">IF($C82="","",COUNTIF(_xlfn.TAKE(OFFSET($C$11, 0, 0, COUNTA($C$11:$C$110),1),$A82),$C82))</f>
        <v/>
      </c>
      <c r="E82" s="6" t="str">
        <f t="shared" si="5"/>
        <v/>
      </c>
      <c r="F82" s="53" t="b">
        <v>0</v>
      </c>
      <c r="G82" s="6" t="str">
        <f t="shared" si="6"/>
        <v/>
      </c>
      <c r="H82" s="55" t="b">
        <v>0</v>
      </c>
      <c r="I82" s="6" t="str">
        <f t="shared" si="7"/>
        <v/>
      </c>
      <c r="J82" s="55" t="b">
        <v>0</v>
      </c>
      <c r="K82" s="18"/>
    </row>
    <row r="83" spans="1:11" ht="15" x14ac:dyDescent="0.4">
      <c r="A83" s="4" t="str">
        <f t="shared" si="4"/>
        <v/>
      </c>
      <c r="B83" s="13"/>
      <c r="C83" s="14"/>
      <c r="D83" s="6" t="str" cm="1">
        <f t="array" aca="1" ref="D83" ca="1">IF($C83="","",COUNTIF(_xlfn.TAKE(OFFSET($C$11, 0, 0, COUNTA($C$11:$C$110),1),$A83),$C83))</f>
        <v/>
      </c>
      <c r="E83" s="6" t="str">
        <f t="shared" si="5"/>
        <v/>
      </c>
      <c r="F83" s="53" t="b">
        <v>0</v>
      </c>
      <c r="G83" s="6" t="str">
        <f t="shared" si="6"/>
        <v/>
      </c>
      <c r="H83" s="55" t="b">
        <v>0</v>
      </c>
      <c r="I83" s="6" t="str">
        <f t="shared" si="7"/>
        <v/>
      </c>
      <c r="J83" s="55" t="b">
        <v>0</v>
      </c>
      <c r="K83" s="18"/>
    </row>
    <row r="84" spans="1:11" ht="15" x14ac:dyDescent="0.4">
      <c r="A84" s="4" t="str">
        <f t="shared" si="4"/>
        <v/>
      </c>
      <c r="B84" s="13"/>
      <c r="C84" s="14"/>
      <c r="D84" s="6" t="str" cm="1">
        <f t="array" aca="1" ref="D84" ca="1">IF($C84="","",COUNTIF(_xlfn.TAKE(OFFSET($C$11, 0, 0, COUNTA($C$11:$C$110),1),$A84),$C84))</f>
        <v/>
      </c>
      <c r="E84" s="6" t="str">
        <f t="shared" si="5"/>
        <v/>
      </c>
      <c r="F84" s="53" t="b">
        <v>0</v>
      </c>
      <c r="G84" s="6" t="str">
        <f t="shared" si="6"/>
        <v/>
      </c>
      <c r="H84" s="55" t="b">
        <v>0</v>
      </c>
      <c r="I84" s="6" t="str">
        <f t="shared" si="7"/>
        <v/>
      </c>
      <c r="J84" s="55" t="b">
        <v>0</v>
      </c>
      <c r="K84" s="18"/>
    </row>
    <row r="85" spans="1:11" ht="15" x14ac:dyDescent="0.4">
      <c r="A85" s="4" t="str">
        <f t="shared" si="4"/>
        <v/>
      </c>
      <c r="B85" s="13"/>
      <c r="C85" s="14"/>
      <c r="D85" s="6" t="str" cm="1">
        <f t="array" aca="1" ref="D85" ca="1">IF($C85="","",COUNTIF(_xlfn.TAKE(OFFSET($C$11, 0, 0, COUNTA($C$11:$C$110),1),$A85),$C85))</f>
        <v/>
      </c>
      <c r="E85" s="6" t="str">
        <f t="shared" si="5"/>
        <v/>
      </c>
      <c r="F85" s="53" t="b">
        <v>0</v>
      </c>
      <c r="G85" s="6" t="str">
        <f t="shared" si="6"/>
        <v/>
      </c>
      <c r="H85" s="55" t="b">
        <v>0</v>
      </c>
      <c r="I85" s="6" t="str">
        <f t="shared" si="7"/>
        <v/>
      </c>
      <c r="J85" s="55" t="b">
        <v>0</v>
      </c>
      <c r="K85" s="18"/>
    </row>
    <row r="86" spans="1:11" ht="15" x14ac:dyDescent="0.4">
      <c r="A86" s="4" t="str">
        <f t="shared" si="4"/>
        <v/>
      </c>
      <c r="B86" s="13"/>
      <c r="C86" s="14"/>
      <c r="D86" s="6" t="str" cm="1">
        <f t="array" aca="1" ref="D86" ca="1">IF($C86="","",COUNTIF(_xlfn.TAKE(OFFSET($C$11, 0, 0, COUNTA($C$11:$C$110),1),$A86),$C86))</f>
        <v/>
      </c>
      <c r="E86" s="6" t="str">
        <f t="shared" si="5"/>
        <v/>
      </c>
      <c r="F86" s="53" t="b">
        <v>0</v>
      </c>
      <c r="G86" s="6" t="str">
        <f t="shared" si="6"/>
        <v/>
      </c>
      <c r="H86" s="55" t="b">
        <v>0</v>
      </c>
      <c r="I86" s="6" t="str">
        <f t="shared" si="7"/>
        <v/>
      </c>
      <c r="J86" s="55" t="b">
        <v>0</v>
      </c>
      <c r="K86" s="18"/>
    </row>
    <row r="87" spans="1:11" ht="15" x14ac:dyDescent="0.4">
      <c r="A87" s="4" t="str">
        <f t="shared" si="4"/>
        <v/>
      </c>
      <c r="B87" s="13"/>
      <c r="C87" s="14"/>
      <c r="D87" s="6" t="str" cm="1">
        <f t="array" aca="1" ref="D87" ca="1">IF($C87="","",COUNTIF(_xlfn.TAKE(OFFSET($C$11, 0, 0, COUNTA($C$11:$C$110),1),$A87),$C87))</f>
        <v/>
      </c>
      <c r="E87" s="6" t="str">
        <f t="shared" si="5"/>
        <v/>
      </c>
      <c r="F87" s="53" t="b">
        <v>0</v>
      </c>
      <c r="G87" s="6" t="str">
        <f t="shared" si="6"/>
        <v/>
      </c>
      <c r="H87" s="55" t="b">
        <v>0</v>
      </c>
      <c r="I87" s="6" t="str">
        <f t="shared" si="7"/>
        <v/>
      </c>
      <c r="J87" s="55" t="b">
        <v>0</v>
      </c>
      <c r="K87" s="18"/>
    </row>
    <row r="88" spans="1:11" ht="15" x14ac:dyDescent="0.4">
      <c r="A88" s="4" t="str">
        <f t="shared" si="4"/>
        <v/>
      </c>
      <c r="B88" s="13"/>
      <c r="C88" s="14"/>
      <c r="D88" s="6" t="str" cm="1">
        <f t="array" aca="1" ref="D88" ca="1">IF($C88="","",COUNTIF(_xlfn.TAKE(OFFSET($C$11, 0, 0, COUNTA($C$11:$C$110),1),$A88),$C88))</f>
        <v/>
      </c>
      <c r="E88" s="6" t="str">
        <f t="shared" si="5"/>
        <v/>
      </c>
      <c r="F88" s="53" t="b">
        <v>0</v>
      </c>
      <c r="G88" s="6" t="str">
        <f t="shared" si="6"/>
        <v/>
      </c>
      <c r="H88" s="55" t="b">
        <v>0</v>
      </c>
      <c r="I88" s="6" t="str">
        <f t="shared" si="7"/>
        <v/>
      </c>
      <c r="J88" s="55" t="b">
        <v>0</v>
      </c>
      <c r="K88" s="18"/>
    </row>
    <row r="89" spans="1:11" ht="15" x14ac:dyDescent="0.4">
      <c r="A89" s="4" t="str">
        <f t="shared" si="4"/>
        <v/>
      </c>
      <c r="B89" s="13"/>
      <c r="C89" s="14"/>
      <c r="D89" s="6" t="str" cm="1">
        <f t="array" aca="1" ref="D89" ca="1">IF($C89="","",COUNTIF(_xlfn.TAKE(OFFSET($C$11, 0, 0, COUNTA($C$11:$C$110),1),$A89),$C89))</f>
        <v/>
      </c>
      <c r="E89" s="6" t="str">
        <f t="shared" si="5"/>
        <v/>
      </c>
      <c r="F89" s="53" t="b">
        <v>0</v>
      </c>
      <c r="G89" s="6" t="str">
        <f t="shared" si="6"/>
        <v/>
      </c>
      <c r="H89" s="55" t="b">
        <v>0</v>
      </c>
      <c r="I89" s="6" t="str">
        <f t="shared" si="7"/>
        <v/>
      </c>
      <c r="J89" s="55" t="b">
        <v>0</v>
      </c>
      <c r="K89" s="18"/>
    </row>
    <row r="90" spans="1:11" ht="15" x14ac:dyDescent="0.4">
      <c r="A90" s="4" t="str">
        <f t="shared" si="4"/>
        <v/>
      </c>
      <c r="B90" s="13"/>
      <c r="C90" s="14"/>
      <c r="D90" s="6" t="str" cm="1">
        <f t="array" aca="1" ref="D90" ca="1">IF($C90="","",COUNTIF(_xlfn.TAKE(OFFSET($C$11, 0, 0, COUNTA($C$11:$C$110),1),$A90),$C90))</f>
        <v/>
      </c>
      <c r="E90" s="6" t="str">
        <f t="shared" si="5"/>
        <v/>
      </c>
      <c r="F90" s="53" t="b">
        <v>0</v>
      </c>
      <c r="G90" s="6" t="str">
        <f t="shared" si="6"/>
        <v/>
      </c>
      <c r="H90" s="55" t="b">
        <v>0</v>
      </c>
      <c r="I90" s="6" t="str">
        <f t="shared" si="7"/>
        <v/>
      </c>
      <c r="J90" s="55" t="b">
        <v>0</v>
      </c>
      <c r="K90" s="18"/>
    </row>
    <row r="91" spans="1:11" ht="15" x14ac:dyDescent="0.4">
      <c r="A91" s="4" t="str">
        <f t="shared" si="4"/>
        <v/>
      </c>
      <c r="B91" s="13"/>
      <c r="C91" s="14"/>
      <c r="D91" s="6" t="str" cm="1">
        <f t="array" aca="1" ref="D91" ca="1">IF($C91="","",COUNTIF(_xlfn.TAKE(OFFSET($C$11, 0, 0, COUNTA($C$11:$C$110),1),$A91),$C91))</f>
        <v/>
      </c>
      <c r="E91" s="6" t="str">
        <f t="shared" si="5"/>
        <v/>
      </c>
      <c r="F91" s="53" t="b">
        <v>0</v>
      </c>
      <c r="G91" s="6" t="str">
        <f t="shared" si="6"/>
        <v/>
      </c>
      <c r="H91" s="55" t="b">
        <v>0</v>
      </c>
      <c r="I91" s="6" t="str">
        <f t="shared" si="7"/>
        <v/>
      </c>
      <c r="J91" s="55" t="b">
        <v>0</v>
      </c>
      <c r="K91" s="18"/>
    </row>
    <row r="92" spans="1:11" ht="15" x14ac:dyDescent="0.4">
      <c r="A92" s="4" t="str">
        <f t="shared" si="4"/>
        <v/>
      </c>
      <c r="B92" s="13"/>
      <c r="C92" s="14"/>
      <c r="D92" s="6" t="str" cm="1">
        <f t="array" aca="1" ref="D92" ca="1">IF($C92="","",COUNTIF(_xlfn.TAKE(OFFSET($C$11, 0, 0, COUNTA($C$11:$C$110),1),$A92),$C92))</f>
        <v/>
      </c>
      <c r="E92" s="6" t="str">
        <f t="shared" si="5"/>
        <v/>
      </c>
      <c r="F92" s="53" t="b">
        <v>0</v>
      </c>
      <c r="G92" s="6" t="str">
        <f t="shared" si="6"/>
        <v/>
      </c>
      <c r="H92" s="55" t="b">
        <v>0</v>
      </c>
      <c r="I92" s="6" t="str">
        <f t="shared" si="7"/>
        <v/>
      </c>
      <c r="J92" s="55" t="b">
        <v>0</v>
      </c>
      <c r="K92" s="18"/>
    </row>
    <row r="93" spans="1:11" ht="15" x14ac:dyDescent="0.4">
      <c r="A93" s="4" t="str">
        <f t="shared" si="4"/>
        <v/>
      </c>
      <c r="B93" s="13"/>
      <c r="C93" s="14"/>
      <c r="D93" s="6" t="str" cm="1">
        <f t="array" aca="1" ref="D93" ca="1">IF($C93="","",COUNTIF(_xlfn.TAKE(OFFSET($C$11, 0, 0, COUNTA($C$11:$C$110),1),$A93),$C93))</f>
        <v/>
      </c>
      <c r="E93" s="6" t="str">
        <f t="shared" si="5"/>
        <v/>
      </c>
      <c r="F93" s="53" t="b">
        <v>0</v>
      </c>
      <c r="G93" s="6" t="str">
        <f t="shared" si="6"/>
        <v/>
      </c>
      <c r="H93" s="55" t="b">
        <v>0</v>
      </c>
      <c r="I93" s="6" t="str">
        <f t="shared" si="7"/>
        <v/>
      </c>
      <c r="J93" s="55" t="b">
        <v>0</v>
      </c>
      <c r="K93" s="18"/>
    </row>
    <row r="94" spans="1:11" ht="15" x14ac:dyDescent="0.4">
      <c r="A94" s="4" t="str">
        <f t="shared" si="4"/>
        <v/>
      </c>
      <c r="B94" s="13"/>
      <c r="C94" s="14"/>
      <c r="D94" s="6" t="str" cm="1">
        <f t="array" aca="1" ref="D94" ca="1">IF($C94="","",COUNTIF(_xlfn.TAKE(OFFSET($C$11, 0, 0, COUNTA($C$11:$C$110),1),$A94),$C94))</f>
        <v/>
      </c>
      <c r="E94" s="6" t="str">
        <f t="shared" si="5"/>
        <v/>
      </c>
      <c r="F94" s="53" t="b">
        <v>0</v>
      </c>
      <c r="G94" s="6" t="str">
        <f t="shared" si="6"/>
        <v/>
      </c>
      <c r="H94" s="55" t="b">
        <v>0</v>
      </c>
      <c r="I94" s="6" t="str">
        <f t="shared" si="7"/>
        <v/>
      </c>
      <c r="J94" s="55" t="b">
        <v>0</v>
      </c>
      <c r="K94" s="18"/>
    </row>
    <row r="95" spans="1:11" ht="15" x14ac:dyDescent="0.4">
      <c r="A95" s="4" t="str">
        <f t="shared" si="4"/>
        <v/>
      </c>
      <c r="B95" s="13"/>
      <c r="C95" s="14"/>
      <c r="D95" s="6" t="str" cm="1">
        <f t="array" aca="1" ref="D95" ca="1">IF($C95="","",COUNTIF(_xlfn.TAKE(OFFSET($C$11, 0, 0, COUNTA($C$11:$C$110),1),$A95),$C95))</f>
        <v/>
      </c>
      <c r="E95" s="6" t="str">
        <f t="shared" si="5"/>
        <v/>
      </c>
      <c r="F95" s="53" t="b">
        <v>0</v>
      </c>
      <c r="G95" s="6" t="str">
        <f t="shared" si="6"/>
        <v/>
      </c>
      <c r="H95" s="55" t="b">
        <v>0</v>
      </c>
      <c r="I95" s="6" t="str">
        <f t="shared" si="7"/>
        <v/>
      </c>
      <c r="J95" s="55" t="b">
        <v>0</v>
      </c>
      <c r="K95" s="18"/>
    </row>
    <row r="96" spans="1:11" ht="15" x14ac:dyDescent="0.4">
      <c r="A96" s="4" t="str">
        <f t="shared" si="4"/>
        <v/>
      </c>
      <c r="B96" s="13"/>
      <c r="C96" s="14"/>
      <c r="D96" s="6" t="str" cm="1">
        <f t="array" aca="1" ref="D96" ca="1">IF($C96="","",COUNTIF(_xlfn.TAKE(OFFSET($C$11, 0, 0, COUNTA($C$11:$C$110),1),$A96),$C96))</f>
        <v/>
      </c>
      <c r="E96" s="6" t="str">
        <f t="shared" si="5"/>
        <v/>
      </c>
      <c r="F96" s="53" t="b">
        <v>0</v>
      </c>
      <c r="G96" s="6" t="str">
        <f t="shared" si="6"/>
        <v/>
      </c>
      <c r="H96" s="55" t="b">
        <v>0</v>
      </c>
      <c r="I96" s="6" t="str">
        <f t="shared" si="7"/>
        <v/>
      </c>
      <c r="J96" s="55" t="b">
        <v>0</v>
      </c>
      <c r="K96" s="18"/>
    </row>
    <row r="97" spans="1:11" ht="15" x14ac:dyDescent="0.4">
      <c r="A97" s="4" t="str">
        <f t="shared" si="4"/>
        <v/>
      </c>
      <c r="B97" s="13"/>
      <c r="C97" s="14"/>
      <c r="D97" s="6" t="str" cm="1">
        <f t="array" aca="1" ref="D97" ca="1">IF($C97="","",COUNTIF(_xlfn.TAKE(OFFSET($C$11, 0, 0, COUNTA($C$11:$C$110),1),$A97),$C97))</f>
        <v/>
      </c>
      <c r="E97" s="6" t="str">
        <f t="shared" si="5"/>
        <v/>
      </c>
      <c r="F97" s="53" t="b">
        <v>0</v>
      </c>
      <c r="G97" s="6" t="str">
        <f t="shared" si="6"/>
        <v/>
      </c>
      <c r="H97" s="55" t="b">
        <v>0</v>
      </c>
      <c r="I97" s="6" t="str">
        <f t="shared" si="7"/>
        <v/>
      </c>
      <c r="J97" s="55" t="b">
        <v>0</v>
      </c>
      <c r="K97" s="18"/>
    </row>
    <row r="98" spans="1:11" ht="15" x14ac:dyDescent="0.4">
      <c r="A98" s="4" t="str">
        <f t="shared" si="4"/>
        <v/>
      </c>
      <c r="B98" s="13"/>
      <c r="C98" s="14"/>
      <c r="D98" s="6" t="str" cm="1">
        <f t="array" aca="1" ref="D98" ca="1">IF($C98="","",COUNTIF(_xlfn.TAKE(OFFSET($C$11, 0, 0, COUNTA($C$11:$C$110),1),$A98),$C98))</f>
        <v/>
      </c>
      <c r="E98" s="6" t="str">
        <f t="shared" si="5"/>
        <v/>
      </c>
      <c r="F98" s="53" t="b">
        <v>0</v>
      </c>
      <c r="G98" s="6" t="str">
        <f t="shared" si="6"/>
        <v/>
      </c>
      <c r="H98" s="55" t="b">
        <v>0</v>
      </c>
      <c r="I98" s="6" t="str">
        <f t="shared" si="7"/>
        <v/>
      </c>
      <c r="J98" s="55" t="b">
        <v>0</v>
      </c>
      <c r="K98" s="18"/>
    </row>
    <row r="99" spans="1:11" ht="15" x14ac:dyDescent="0.4">
      <c r="A99" s="4" t="str">
        <f t="shared" si="4"/>
        <v/>
      </c>
      <c r="B99" s="13"/>
      <c r="C99" s="14"/>
      <c r="D99" s="6" t="str" cm="1">
        <f t="array" aca="1" ref="D99" ca="1">IF($C99="","",COUNTIF(_xlfn.TAKE(OFFSET($C$11, 0, 0, COUNTA($C$11:$C$110),1),$A99),$C99))</f>
        <v/>
      </c>
      <c r="E99" s="6" t="str">
        <f t="shared" si="5"/>
        <v/>
      </c>
      <c r="F99" s="53" t="b">
        <v>0</v>
      </c>
      <c r="G99" s="6" t="str">
        <f t="shared" si="6"/>
        <v/>
      </c>
      <c r="H99" s="55" t="b">
        <v>0</v>
      </c>
      <c r="I99" s="6" t="str">
        <f t="shared" si="7"/>
        <v/>
      </c>
      <c r="J99" s="55" t="b">
        <v>0</v>
      </c>
      <c r="K99" s="18"/>
    </row>
    <row r="100" spans="1:11" ht="15" x14ac:dyDescent="0.4">
      <c r="A100" s="4" t="str">
        <f t="shared" si="4"/>
        <v/>
      </c>
      <c r="B100" s="13"/>
      <c r="C100" s="14"/>
      <c r="D100" s="6" t="str" cm="1">
        <f t="array" aca="1" ref="D100" ca="1">IF($C100="","",COUNTIF(_xlfn.TAKE(OFFSET($C$11, 0, 0, COUNTA($C$11:$C$110),1),$A100),$C100))</f>
        <v/>
      </c>
      <c r="E100" s="6" t="str">
        <f t="shared" si="5"/>
        <v/>
      </c>
      <c r="F100" s="53" t="b">
        <v>0</v>
      </c>
      <c r="G100" s="6" t="str">
        <f t="shared" si="6"/>
        <v/>
      </c>
      <c r="H100" s="55" t="b">
        <v>0</v>
      </c>
      <c r="I100" s="6" t="str">
        <f t="shared" si="7"/>
        <v/>
      </c>
      <c r="J100" s="55" t="b">
        <v>0</v>
      </c>
      <c r="K100" s="18"/>
    </row>
    <row r="101" spans="1:11" ht="15" x14ac:dyDescent="0.4">
      <c r="A101" s="4" t="str">
        <f t="shared" si="4"/>
        <v/>
      </c>
      <c r="B101" s="13"/>
      <c r="C101" s="14"/>
      <c r="D101" s="6" t="str" cm="1">
        <f t="array" aca="1" ref="D101" ca="1">IF($C101="","",COUNTIF(_xlfn.TAKE(OFFSET($C$11, 0, 0, COUNTA($C$11:$C$110),1),$A101),$C101))</f>
        <v/>
      </c>
      <c r="E101" s="6" t="str">
        <f t="shared" si="5"/>
        <v/>
      </c>
      <c r="F101" s="53" t="b">
        <v>0</v>
      </c>
      <c r="G101" s="6" t="str">
        <f t="shared" si="6"/>
        <v/>
      </c>
      <c r="H101" s="55" t="b">
        <v>0</v>
      </c>
      <c r="I101" s="6" t="str">
        <f t="shared" si="7"/>
        <v/>
      </c>
      <c r="J101" s="55" t="b">
        <v>0</v>
      </c>
      <c r="K101" s="18"/>
    </row>
    <row r="102" spans="1:11" ht="15" x14ac:dyDescent="0.4">
      <c r="A102" s="4" t="str">
        <f t="shared" si="4"/>
        <v/>
      </c>
      <c r="B102" s="13"/>
      <c r="C102" s="14"/>
      <c r="D102" s="6" t="str" cm="1">
        <f t="array" aca="1" ref="D102" ca="1">IF($C102="","",COUNTIF(_xlfn.TAKE(OFFSET($C$11, 0, 0, COUNTA($C$11:$C$110),1),$A102),$C102))</f>
        <v/>
      </c>
      <c r="E102" s="6" t="str">
        <f t="shared" si="5"/>
        <v/>
      </c>
      <c r="F102" s="53" t="b">
        <v>0</v>
      </c>
      <c r="G102" s="6" t="str">
        <f t="shared" si="6"/>
        <v/>
      </c>
      <c r="H102" s="55" t="b">
        <v>0</v>
      </c>
      <c r="I102" s="6" t="str">
        <f t="shared" si="7"/>
        <v/>
      </c>
      <c r="J102" s="55" t="b">
        <v>0</v>
      </c>
      <c r="K102" s="18"/>
    </row>
    <row r="103" spans="1:11" ht="15" x14ac:dyDescent="0.4">
      <c r="A103" s="4" t="str">
        <f t="shared" si="4"/>
        <v/>
      </c>
      <c r="B103" s="13"/>
      <c r="C103" s="14"/>
      <c r="D103" s="6" t="str" cm="1">
        <f t="array" aca="1" ref="D103" ca="1">IF($C103="","",COUNTIF(_xlfn.TAKE(OFFSET($C$11, 0, 0, COUNTA($C$11:$C$110),1),$A103),$C103))</f>
        <v/>
      </c>
      <c r="E103" s="6" t="str">
        <f t="shared" si="5"/>
        <v/>
      </c>
      <c r="F103" s="53" t="b">
        <v>0</v>
      </c>
      <c r="G103" s="6" t="str">
        <f t="shared" si="6"/>
        <v/>
      </c>
      <c r="H103" s="55" t="b">
        <v>0</v>
      </c>
      <c r="I103" s="6" t="str">
        <f t="shared" si="7"/>
        <v/>
      </c>
      <c r="J103" s="55" t="b">
        <v>0</v>
      </c>
      <c r="K103" s="18"/>
    </row>
    <row r="104" spans="1:11" ht="15" x14ac:dyDescent="0.4">
      <c r="A104" s="4" t="str">
        <f t="shared" si="4"/>
        <v/>
      </c>
      <c r="B104" s="13"/>
      <c r="C104" s="14"/>
      <c r="D104" s="6" t="str" cm="1">
        <f t="array" aca="1" ref="D104" ca="1">IF($C104="","",COUNTIF(_xlfn.TAKE(OFFSET($C$11, 0, 0, COUNTA($C$11:$C$110),1),$A104),$C104))</f>
        <v/>
      </c>
      <c r="E104" s="6" t="str">
        <f t="shared" si="5"/>
        <v/>
      </c>
      <c r="F104" s="53" t="b">
        <v>0</v>
      </c>
      <c r="G104" s="6" t="str">
        <f t="shared" si="6"/>
        <v/>
      </c>
      <c r="H104" s="55" t="b">
        <v>0</v>
      </c>
      <c r="I104" s="6" t="str">
        <f t="shared" si="7"/>
        <v/>
      </c>
      <c r="J104" s="55" t="b">
        <v>0</v>
      </c>
      <c r="K104" s="18"/>
    </row>
    <row r="105" spans="1:11" ht="15" x14ac:dyDescent="0.4">
      <c r="A105" s="4" t="str">
        <f t="shared" si="4"/>
        <v/>
      </c>
      <c r="B105" s="13"/>
      <c r="C105" s="14"/>
      <c r="D105" s="6" t="str" cm="1">
        <f t="array" aca="1" ref="D105" ca="1">IF($C105="","",COUNTIF(_xlfn.TAKE(OFFSET($C$11, 0, 0, COUNTA($C$11:$C$110),1),$A105),$C105))</f>
        <v/>
      </c>
      <c r="E105" s="6" t="str">
        <f t="shared" si="5"/>
        <v/>
      </c>
      <c r="F105" s="53" t="b">
        <v>0</v>
      </c>
      <c r="G105" s="6" t="str">
        <f t="shared" si="6"/>
        <v/>
      </c>
      <c r="H105" s="55" t="b">
        <v>0</v>
      </c>
      <c r="I105" s="6" t="str">
        <f t="shared" si="7"/>
        <v/>
      </c>
      <c r="J105" s="55" t="b">
        <v>0</v>
      </c>
      <c r="K105" s="18"/>
    </row>
    <row r="106" spans="1:11" ht="15" x14ac:dyDescent="0.4">
      <c r="A106" s="4" t="str">
        <f t="shared" si="4"/>
        <v/>
      </c>
      <c r="B106" s="13"/>
      <c r="C106" s="14"/>
      <c r="D106" s="6" t="str" cm="1">
        <f t="array" aca="1" ref="D106" ca="1">IF($C106="","",COUNTIF(_xlfn.TAKE(OFFSET($C$11, 0, 0, COUNTA($C$11:$C$110),1),$A106),$C106))</f>
        <v/>
      </c>
      <c r="E106" s="6" t="str">
        <f t="shared" si="5"/>
        <v/>
      </c>
      <c r="F106" s="53" t="b">
        <v>0</v>
      </c>
      <c r="G106" s="6" t="str">
        <f t="shared" si="6"/>
        <v/>
      </c>
      <c r="H106" s="55" t="b">
        <v>0</v>
      </c>
      <c r="I106" s="6" t="str">
        <f t="shared" si="7"/>
        <v/>
      </c>
      <c r="J106" s="55" t="b">
        <v>0</v>
      </c>
      <c r="K106" s="18"/>
    </row>
    <row r="107" spans="1:11" ht="15" x14ac:dyDescent="0.4">
      <c r="A107" s="4" t="str">
        <f t="shared" si="4"/>
        <v/>
      </c>
      <c r="B107" s="13"/>
      <c r="C107" s="14"/>
      <c r="D107" s="6" t="str" cm="1">
        <f t="array" aca="1" ref="D107" ca="1">IF($C107="","",COUNTIF(_xlfn.TAKE(OFFSET($C$11, 0, 0, COUNTA($C$11:$C$110),1),$A107),$C107))</f>
        <v/>
      </c>
      <c r="E107" s="6" t="str">
        <f t="shared" si="5"/>
        <v/>
      </c>
      <c r="F107" s="53" t="b">
        <v>0</v>
      </c>
      <c r="G107" s="6" t="str">
        <f t="shared" si="6"/>
        <v/>
      </c>
      <c r="H107" s="55" t="b">
        <v>0</v>
      </c>
      <c r="I107" s="6" t="str">
        <f t="shared" si="7"/>
        <v/>
      </c>
      <c r="J107" s="55" t="b">
        <v>0</v>
      </c>
      <c r="K107" s="18"/>
    </row>
    <row r="108" spans="1:11" ht="15" x14ac:dyDescent="0.4">
      <c r="A108" s="4" t="str">
        <f t="shared" si="4"/>
        <v/>
      </c>
      <c r="B108" s="13"/>
      <c r="C108" s="14"/>
      <c r="D108" s="6" t="str" cm="1">
        <f t="array" aca="1" ref="D108" ca="1">IF($C108="","",COUNTIF(_xlfn.TAKE(OFFSET($C$11, 0, 0, COUNTA($C$11:$C$110),1),$A108),$C108))</f>
        <v/>
      </c>
      <c r="E108" s="6" t="str">
        <f t="shared" si="5"/>
        <v/>
      </c>
      <c r="F108" s="53" t="b">
        <v>0</v>
      </c>
      <c r="G108" s="6" t="str">
        <f t="shared" si="6"/>
        <v/>
      </c>
      <c r="H108" s="55" t="b">
        <v>0</v>
      </c>
      <c r="I108" s="6" t="str">
        <f t="shared" si="7"/>
        <v/>
      </c>
      <c r="J108" s="55" t="b">
        <v>0</v>
      </c>
      <c r="K108" s="18"/>
    </row>
    <row r="109" spans="1:11" ht="15" x14ac:dyDescent="0.4">
      <c r="A109" s="4" t="str">
        <f t="shared" si="4"/>
        <v/>
      </c>
      <c r="B109" s="13"/>
      <c r="C109" s="14"/>
      <c r="D109" s="6" t="str" cm="1">
        <f t="array" aca="1" ref="D109" ca="1">IF($C109="","",COUNTIF(_xlfn.TAKE(OFFSET($C$11, 0, 0, COUNTA($C$11:$C$110),1),$A109),$C109))</f>
        <v/>
      </c>
      <c r="E109" s="6" t="str">
        <f t="shared" si="5"/>
        <v/>
      </c>
      <c r="F109" s="53" t="b">
        <v>0</v>
      </c>
      <c r="G109" s="6" t="str">
        <f t="shared" si="6"/>
        <v/>
      </c>
      <c r="H109" s="55" t="b">
        <v>0</v>
      </c>
      <c r="I109" s="6" t="str">
        <f t="shared" si="7"/>
        <v/>
      </c>
      <c r="J109" s="55" t="b">
        <v>0</v>
      </c>
      <c r="K109" s="18"/>
    </row>
    <row r="110" spans="1:11" ht="15.5" thickBot="1" x14ac:dyDescent="0.45">
      <c r="A110" s="28" t="str">
        <f t="shared" si="4"/>
        <v/>
      </c>
      <c r="B110" s="15"/>
      <c r="C110" s="16"/>
      <c r="D110" s="10" t="str" cm="1">
        <f t="array" aca="1" ref="D110" ca="1">IF($C110="","",COUNTIF(_xlfn.TAKE(OFFSET($C$11, 0, 0, COUNTA($C$11:$C$110),1),$A110),$C110))</f>
        <v/>
      </c>
      <c r="E110" s="10" t="str">
        <f t="shared" si="5"/>
        <v/>
      </c>
      <c r="F110" s="54" t="b">
        <v>0</v>
      </c>
      <c r="G110" s="10" t="str">
        <f t="shared" si="6"/>
        <v/>
      </c>
      <c r="H110" s="56" t="b">
        <v>0</v>
      </c>
      <c r="I110" s="10" t="str">
        <f t="shared" si="7"/>
        <v/>
      </c>
      <c r="J110" s="56" t="b">
        <v>0</v>
      </c>
      <c r="K110" s="19"/>
    </row>
  </sheetData>
  <sheetProtection sheet="1" objects="1" scenarios="1"/>
  <mergeCells count="10">
    <mergeCell ref="A1:C1"/>
    <mergeCell ref="A2:C2"/>
    <mergeCell ref="I8:J8"/>
    <mergeCell ref="B4:C4"/>
    <mergeCell ref="A8:A9"/>
    <mergeCell ref="B8:B9"/>
    <mergeCell ref="C8:C9"/>
    <mergeCell ref="D8:D9"/>
    <mergeCell ref="E8:F8"/>
    <mergeCell ref="G8:H8"/>
  </mergeCells>
  <dataValidations count="1">
    <dataValidation type="list" showErrorMessage="1" sqref="C11:C110" xr:uid="{3A0713F8-2529-46FC-AFE4-69BC0208EAAB}">
      <formula1>ResortNames</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90375A-6257-4D7D-AA5B-3A69B3427C68}">
  <sheetPr codeName="SheetSeason2023_2024"/>
  <dimension ref="A1:K110"/>
  <sheetViews>
    <sheetView workbookViewId="0">
      <selection sqref="A1:C1"/>
    </sheetView>
  </sheetViews>
  <sheetFormatPr defaultRowHeight="14.5" x14ac:dyDescent="0.35"/>
  <cols>
    <col min="1" max="1" width="9.54296875" customWidth="1"/>
    <col min="2" max="2" width="25.54296875" style="1" customWidth="1"/>
    <col min="3" max="3" width="25.54296875" customWidth="1"/>
    <col min="4" max="4" width="12" customWidth="1"/>
    <col min="11" max="11" width="50.54296875" customWidth="1"/>
  </cols>
  <sheetData>
    <row r="1" spans="1:11" ht="18.5" x14ac:dyDescent="0.45">
      <c r="A1" s="146" t="str">
        <f>c_WORKBOOK_TITLE</f>
        <v>Bob's Ski Days</v>
      </c>
      <c r="B1" s="146"/>
      <c r="C1" s="146"/>
    </row>
    <row r="2" spans="1:11" ht="18.5" x14ac:dyDescent="0.45">
      <c r="A2" s="146" t="str" cm="1">
        <f t="array" aca="1" ref="A2" ca="1">fn_GET_WS_NAME($A$1)</f>
        <v>2023-2024</v>
      </c>
      <c r="B2" s="146"/>
      <c r="C2" s="146"/>
    </row>
    <row r="3" spans="1:11" ht="16.5" thickBot="1" x14ac:dyDescent="0.45">
      <c r="A3" s="2"/>
    </row>
    <row r="4" spans="1:11" ht="16" x14ac:dyDescent="0.4">
      <c r="B4" s="148" t="s">
        <v>22</v>
      </c>
      <c r="C4" s="149"/>
      <c r="D4" s="20"/>
    </row>
    <row r="5" spans="1:11" s="8" customFormat="1" ht="16.5" thickBot="1" x14ac:dyDescent="0.45">
      <c r="B5" s="21" t="s">
        <v>23</v>
      </c>
      <c r="C5" s="22" t="s">
        <v>24</v>
      </c>
      <c r="D5" s="20"/>
    </row>
    <row r="6" spans="1:11" s="8" customFormat="1" ht="16.5" thickBot="1" x14ac:dyDescent="0.45">
      <c r="A6" s="20"/>
      <c r="B6" s="23">
        <f ca="1">COUNT(OFFSET($B$11, 0, 0, COUNTA($B$11:$B$110),1))</f>
        <v>47</v>
      </c>
      <c r="C6" s="24" cm="1">
        <f t="array" aca="1" ref="C6" ca="1">IFERROR(SUMPRODUCT(1/COUNTIF(OFFSET($C$11, 0, 0, COUNTA($C$11:$C$110),1),OFFSET($C$11, 0, 0, COUNTA($C$11:$C$110),1))),"")</f>
        <v>9.9999999999999964</v>
      </c>
    </row>
    <row r="7" spans="1:11" ht="15" thickBot="1" x14ac:dyDescent="0.4"/>
    <row r="8" spans="1:11" x14ac:dyDescent="0.35">
      <c r="A8" s="150" t="s">
        <v>0</v>
      </c>
      <c r="B8" s="152" t="s">
        <v>1</v>
      </c>
      <c r="C8" s="154" t="s">
        <v>2</v>
      </c>
      <c r="D8" s="156" t="s">
        <v>36</v>
      </c>
      <c r="E8" s="147" t="s">
        <v>34</v>
      </c>
      <c r="F8" s="147"/>
      <c r="G8" s="147" t="s">
        <v>35</v>
      </c>
      <c r="H8" s="147"/>
      <c r="I8" s="147" t="s">
        <v>27</v>
      </c>
      <c r="J8" s="147"/>
      <c r="K8" s="27"/>
    </row>
    <row r="9" spans="1:11" ht="15" thickBot="1" x14ac:dyDescent="0.4">
      <c r="A9" s="151"/>
      <c r="B9" s="153"/>
      <c r="C9" s="155"/>
      <c r="D9" s="157"/>
      <c r="E9" s="25" t="s">
        <v>21</v>
      </c>
      <c r="F9" s="25" t="s">
        <v>20</v>
      </c>
      <c r="G9" s="25" t="s">
        <v>21</v>
      </c>
      <c r="H9" s="25" t="s">
        <v>20</v>
      </c>
      <c r="I9" s="25" t="s">
        <v>21</v>
      </c>
      <c r="J9" s="25" t="s">
        <v>20</v>
      </c>
      <c r="K9" s="26" t="s">
        <v>15</v>
      </c>
    </row>
    <row r="10" spans="1:11" ht="15" x14ac:dyDescent="0.4">
      <c r="A10" s="4"/>
      <c r="B10" s="5"/>
      <c r="C10" s="6"/>
      <c r="D10" s="6"/>
      <c r="E10" s="12">
        <v>3</v>
      </c>
      <c r="F10" s="53" t="b">
        <v>0</v>
      </c>
      <c r="G10" s="12">
        <v>20</v>
      </c>
      <c r="H10" s="55" t="b">
        <v>0</v>
      </c>
      <c r="I10" s="12">
        <v>24</v>
      </c>
      <c r="J10" s="55" t="b">
        <v>0</v>
      </c>
      <c r="K10" s="7"/>
    </row>
    <row r="11" spans="1:11" ht="15" x14ac:dyDescent="0.4">
      <c r="A11" s="4">
        <f>IF($B11="","",A10+1)</f>
        <v>1</v>
      </c>
      <c r="B11" s="11">
        <v>45252</v>
      </c>
      <c r="C11" s="12" t="s">
        <v>19</v>
      </c>
      <c r="D11" s="6" cm="1">
        <f t="array" aca="1" ref="D11" ca="1">IF($C11="","",COUNTIF(_xlfn.TAKE(OFFSET($C$11, 0, 0, COUNTA($C$11:$C$110),1),$A11),$C11))</f>
        <v>1</v>
      </c>
      <c r="E11" s="6">
        <f>IF($B11="","",IF($F10, 1, $E10+1))</f>
        <v>4</v>
      </c>
      <c r="F11" s="53" t="b">
        <v>0</v>
      </c>
      <c r="G11" s="6">
        <f>IF($B11="","",IF($H10, 1, $G10+1))</f>
        <v>21</v>
      </c>
      <c r="H11" s="55" t="b">
        <v>0</v>
      </c>
      <c r="I11" s="6">
        <f>IF($B11="","",IF($J10, 1,$I10+1))</f>
        <v>25</v>
      </c>
      <c r="J11" s="55" t="b">
        <v>0</v>
      </c>
      <c r="K11" s="17"/>
    </row>
    <row r="12" spans="1:11" ht="15" x14ac:dyDescent="0.4">
      <c r="A12" s="4">
        <f t="shared" ref="A12:A75" si="0">IF($B12="","",A11+1)</f>
        <v>2</v>
      </c>
      <c r="B12" s="13">
        <v>45253</v>
      </c>
      <c r="C12" s="14" t="s">
        <v>19</v>
      </c>
      <c r="D12" s="6" cm="1">
        <f t="array" aca="1" ref="D12" ca="1">IF($C12="","",COUNTIF(_xlfn.TAKE(OFFSET($C$11, 0, 0, COUNTA($C$11:$C$110),1),$A12),$C12))</f>
        <v>2</v>
      </c>
      <c r="E12" s="6">
        <f t="shared" ref="E12:E75" si="1">IF($B12="","",IF($F11, 1, $E11+1))</f>
        <v>5</v>
      </c>
      <c r="F12" s="53" t="b">
        <v>0</v>
      </c>
      <c r="G12" s="6">
        <f t="shared" ref="G12:G75" si="2">IF($B12="","",IF($H11, 1, $G11+1))</f>
        <v>22</v>
      </c>
      <c r="H12" s="55" t="b">
        <v>0</v>
      </c>
      <c r="I12" s="6">
        <f t="shared" ref="I12:I75" si="3">IF($B12="","",IF($J11, 1,$I11+1))</f>
        <v>26</v>
      </c>
      <c r="J12" s="55" t="b">
        <v>0</v>
      </c>
      <c r="K12" s="18"/>
    </row>
    <row r="13" spans="1:11" ht="15" x14ac:dyDescent="0.4">
      <c r="A13" s="4">
        <f t="shared" si="0"/>
        <v>3</v>
      </c>
      <c r="B13" s="13">
        <v>45254</v>
      </c>
      <c r="C13" s="14" t="s">
        <v>19</v>
      </c>
      <c r="D13" s="6" cm="1">
        <f t="array" aca="1" ref="D13" ca="1">IF($C13="","",COUNTIF(_xlfn.TAKE(OFFSET($C$11, 0, 0, COUNTA($C$11:$C$110),1),$A13),$C13))</f>
        <v>3</v>
      </c>
      <c r="E13" s="6">
        <f t="shared" si="1"/>
        <v>6</v>
      </c>
      <c r="F13" s="53" t="b">
        <f>TRUE</f>
        <v>1</v>
      </c>
      <c r="G13" s="6">
        <f t="shared" si="2"/>
        <v>23</v>
      </c>
      <c r="H13" s="55" t="b">
        <f>TRUE</f>
        <v>1</v>
      </c>
      <c r="I13" s="6">
        <f t="shared" si="3"/>
        <v>27</v>
      </c>
      <c r="J13" s="55" t="b">
        <v>0</v>
      </c>
      <c r="K13" s="18"/>
    </row>
    <row r="14" spans="1:11" ht="15" x14ac:dyDescent="0.4">
      <c r="A14" s="4">
        <f t="shared" si="0"/>
        <v>4</v>
      </c>
      <c r="B14" s="13">
        <v>45261</v>
      </c>
      <c r="C14" s="14" t="s">
        <v>5</v>
      </c>
      <c r="D14" s="6" cm="1">
        <f t="array" aca="1" ref="D14" ca="1">IF($C14="","",COUNTIF(_xlfn.TAKE(OFFSET($C$11, 0, 0, COUNTA($C$11:$C$110),1),$A14),$C14))</f>
        <v>1</v>
      </c>
      <c r="E14" s="6">
        <f t="shared" si="1"/>
        <v>1</v>
      </c>
      <c r="F14" s="53" t="b">
        <v>0</v>
      </c>
      <c r="G14" s="6">
        <f t="shared" si="2"/>
        <v>1</v>
      </c>
      <c r="H14" s="55" t="b">
        <v>0</v>
      </c>
      <c r="I14" s="6">
        <f t="shared" si="3"/>
        <v>28</v>
      </c>
      <c r="J14" s="55" t="b">
        <v>0</v>
      </c>
      <c r="K14" s="18"/>
    </row>
    <row r="15" spans="1:11" ht="15" x14ac:dyDescent="0.4">
      <c r="A15" s="4">
        <f t="shared" si="0"/>
        <v>5</v>
      </c>
      <c r="B15" s="13">
        <v>45262</v>
      </c>
      <c r="C15" s="14" t="s">
        <v>5</v>
      </c>
      <c r="D15" s="6" cm="1">
        <f t="array" aca="1" ref="D15" ca="1">IF($C15="","",COUNTIF(_xlfn.TAKE(OFFSET($C$11, 0, 0, COUNTA($C$11:$C$110),1),$A15),$C15))</f>
        <v>2</v>
      </c>
      <c r="E15" s="6">
        <f t="shared" si="1"/>
        <v>2</v>
      </c>
      <c r="F15" s="53" t="b">
        <v>0</v>
      </c>
      <c r="G15" s="6">
        <f t="shared" si="2"/>
        <v>2</v>
      </c>
      <c r="H15" s="55" t="b">
        <v>0</v>
      </c>
      <c r="I15" s="6">
        <f t="shared" si="3"/>
        <v>29</v>
      </c>
      <c r="J15" s="55" t="b">
        <v>0</v>
      </c>
      <c r="K15" s="18"/>
    </row>
    <row r="16" spans="1:11" ht="15" x14ac:dyDescent="0.4">
      <c r="A16" s="4">
        <f t="shared" si="0"/>
        <v>6</v>
      </c>
      <c r="B16" s="13">
        <v>45263</v>
      </c>
      <c r="C16" s="14" t="s">
        <v>5</v>
      </c>
      <c r="D16" s="6" cm="1">
        <f t="array" aca="1" ref="D16" ca="1">IF($C16="","",COUNTIF(_xlfn.TAKE(OFFSET($C$11, 0, 0, COUNTA($C$11:$C$110),1),$A16),$C16))</f>
        <v>3</v>
      </c>
      <c r="E16" s="6">
        <f t="shared" si="1"/>
        <v>3</v>
      </c>
      <c r="F16" s="53" t="b">
        <v>0</v>
      </c>
      <c r="G16" s="6">
        <f t="shared" si="2"/>
        <v>3</v>
      </c>
      <c r="H16" s="55" t="b">
        <v>0</v>
      </c>
      <c r="I16" s="6">
        <f t="shared" si="3"/>
        <v>30</v>
      </c>
      <c r="J16" s="55" t="b">
        <v>0</v>
      </c>
      <c r="K16" s="18"/>
    </row>
    <row r="17" spans="1:11" ht="15" x14ac:dyDescent="0.4">
      <c r="A17" s="4">
        <f t="shared" si="0"/>
        <v>7</v>
      </c>
      <c r="B17" s="13">
        <v>45264</v>
      </c>
      <c r="C17" s="14" t="s">
        <v>5</v>
      </c>
      <c r="D17" s="6" cm="1">
        <f t="array" aca="1" ref="D17" ca="1">IF($C17="","",COUNTIF(_xlfn.TAKE(OFFSET($C$11, 0, 0, COUNTA($C$11:$C$110),1),$A17),$C17))</f>
        <v>4</v>
      </c>
      <c r="E17" s="6">
        <f t="shared" si="1"/>
        <v>4</v>
      </c>
      <c r="F17" s="53" t="b">
        <v>0</v>
      </c>
      <c r="G17" s="6">
        <f t="shared" si="2"/>
        <v>4</v>
      </c>
      <c r="H17" s="55" t="b">
        <v>0</v>
      </c>
      <c r="I17" s="6">
        <f t="shared" si="3"/>
        <v>31</v>
      </c>
      <c r="J17" s="55" t="b">
        <v>0</v>
      </c>
      <c r="K17" s="18"/>
    </row>
    <row r="18" spans="1:11" ht="15" x14ac:dyDescent="0.4">
      <c r="A18" s="4">
        <f t="shared" si="0"/>
        <v>8</v>
      </c>
      <c r="B18" s="13">
        <v>45265</v>
      </c>
      <c r="C18" s="14" t="s">
        <v>5</v>
      </c>
      <c r="D18" s="6" cm="1">
        <f t="array" aca="1" ref="D18" ca="1">IF($C18="","",COUNTIF(_xlfn.TAKE(OFFSET($C$11, 0, 0, COUNTA($C$11:$C$110),1),$A18),$C18))</f>
        <v>5</v>
      </c>
      <c r="E18" s="6">
        <f t="shared" si="1"/>
        <v>5</v>
      </c>
      <c r="F18" s="53" t="b">
        <f>TRUE</f>
        <v>1</v>
      </c>
      <c r="G18" s="6">
        <f t="shared" si="2"/>
        <v>5</v>
      </c>
      <c r="H18" s="55" t="b">
        <f>TRUE</f>
        <v>1</v>
      </c>
      <c r="I18" s="6">
        <f t="shared" si="3"/>
        <v>32</v>
      </c>
      <c r="J18" s="55" t="b">
        <v>0</v>
      </c>
      <c r="K18" s="18"/>
    </row>
    <row r="19" spans="1:11" ht="15" x14ac:dyDescent="0.4">
      <c r="A19" s="4">
        <f t="shared" si="0"/>
        <v>9</v>
      </c>
      <c r="B19" s="13">
        <v>45278</v>
      </c>
      <c r="C19" s="14" t="s">
        <v>28</v>
      </c>
      <c r="D19" s="6" cm="1">
        <f t="array" aca="1" ref="D19" ca="1">IF($C19="","",COUNTIF(_xlfn.TAKE(OFFSET($C$11, 0, 0, COUNTA($C$11:$C$110),1),$A19),$C19))</f>
        <v>1</v>
      </c>
      <c r="E19" s="6">
        <f t="shared" si="1"/>
        <v>1</v>
      </c>
      <c r="F19" s="53" t="b">
        <v>0</v>
      </c>
      <c r="G19" s="6">
        <f t="shared" si="2"/>
        <v>1</v>
      </c>
      <c r="H19" s="55" t="b">
        <v>0</v>
      </c>
      <c r="I19" s="6">
        <f t="shared" si="3"/>
        <v>33</v>
      </c>
      <c r="J19" s="55" t="b">
        <v>0</v>
      </c>
      <c r="K19" s="18"/>
    </row>
    <row r="20" spans="1:11" ht="15" x14ac:dyDescent="0.4">
      <c r="A20" s="4">
        <f t="shared" si="0"/>
        <v>10</v>
      </c>
      <c r="B20" s="13">
        <v>45279</v>
      </c>
      <c r="C20" s="14" t="s">
        <v>31</v>
      </c>
      <c r="D20" s="6" cm="1">
        <f t="array" aca="1" ref="D20" ca="1">IF($C20="","",COUNTIF(_xlfn.TAKE(OFFSET($C$11, 0, 0, COUNTA($C$11:$C$110),1),$A20),$C20))</f>
        <v>1</v>
      </c>
      <c r="E20" s="6">
        <f t="shared" si="1"/>
        <v>2</v>
      </c>
      <c r="F20" s="53" t="b">
        <v>0</v>
      </c>
      <c r="G20" s="6">
        <f t="shared" si="2"/>
        <v>2</v>
      </c>
      <c r="H20" s="55" t="b">
        <v>0</v>
      </c>
      <c r="I20" s="6">
        <f t="shared" si="3"/>
        <v>34</v>
      </c>
      <c r="J20" s="55" t="b">
        <v>0</v>
      </c>
      <c r="K20" s="18"/>
    </row>
    <row r="21" spans="1:11" ht="15" x14ac:dyDescent="0.4">
      <c r="A21" s="4">
        <f t="shared" si="0"/>
        <v>11</v>
      </c>
      <c r="B21" s="13">
        <v>45280</v>
      </c>
      <c r="C21" s="14" t="s">
        <v>29</v>
      </c>
      <c r="D21" s="6" cm="1">
        <f t="array" aca="1" ref="D21" ca="1">IF($C21="","",COUNTIF(_xlfn.TAKE(OFFSET($C$11, 0, 0, COUNTA($C$11:$C$110),1),$A21),$C21))</f>
        <v>1</v>
      </c>
      <c r="E21" s="6">
        <f t="shared" si="1"/>
        <v>3</v>
      </c>
      <c r="F21" s="53" t="b">
        <f>TRUE</f>
        <v>1</v>
      </c>
      <c r="G21" s="6">
        <f t="shared" si="2"/>
        <v>3</v>
      </c>
      <c r="H21" s="55" t="b">
        <v>0</v>
      </c>
      <c r="I21" s="6">
        <f t="shared" si="3"/>
        <v>35</v>
      </c>
      <c r="J21" s="55" t="b">
        <v>0</v>
      </c>
      <c r="K21" s="18"/>
    </row>
    <row r="22" spans="1:11" ht="15" x14ac:dyDescent="0.4">
      <c r="A22" s="4">
        <f t="shared" si="0"/>
        <v>12</v>
      </c>
      <c r="B22" s="13">
        <v>45296</v>
      </c>
      <c r="C22" s="14" t="s">
        <v>12</v>
      </c>
      <c r="D22" s="6" cm="1">
        <f t="array" aca="1" ref="D22" ca="1">IF($C22="","",COUNTIF(_xlfn.TAKE(OFFSET($C$11, 0, 0, COUNTA($C$11:$C$110),1),$A22),$C22))</f>
        <v>1</v>
      </c>
      <c r="E22" s="6">
        <f t="shared" si="1"/>
        <v>1</v>
      </c>
      <c r="F22" s="53" t="b">
        <v>0</v>
      </c>
      <c r="G22" s="6">
        <f t="shared" si="2"/>
        <v>4</v>
      </c>
      <c r="H22" s="55" t="b">
        <v>0</v>
      </c>
      <c r="I22" s="6">
        <f t="shared" si="3"/>
        <v>36</v>
      </c>
      <c r="J22" s="55" t="b">
        <v>0</v>
      </c>
      <c r="K22" s="18"/>
    </row>
    <row r="23" spans="1:11" ht="15" x14ac:dyDescent="0.4">
      <c r="A23" s="4">
        <f t="shared" si="0"/>
        <v>13</v>
      </c>
      <c r="B23" s="13">
        <v>45297</v>
      </c>
      <c r="C23" s="14" t="s">
        <v>12</v>
      </c>
      <c r="D23" s="6" cm="1">
        <f t="array" aca="1" ref="D23" ca="1">IF($C23="","",COUNTIF(_xlfn.TAKE(OFFSET($C$11, 0, 0, COUNTA($C$11:$C$110),1),$A23),$C23))</f>
        <v>2</v>
      </c>
      <c r="E23" s="6">
        <f t="shared" si="1"/>
        <v>2</v>
      </c>
      <c r="F23" s="53" t="b">
        <v>0</v>
      </c>
      <c r="G23" s="6">
        <f t="shared" si="2"/>
        <v>5</v>
      </c>
      <c r="H23" s="55" t="b">
        <v>0</v>
      </c>
      <c r="I23" s="6">
        <f t="shared" si="3"/>
        <v>37</v>
      </c>
      <c r="J23" s="55" t="b">
        <v>0</v>
      </c>
      <c r="K23" s="18"/>
    </row>
    <row r="24" spans="1:11" ht="15" x14ac:dyDescent="0.4">
      <c r="A24" s="4">
        <f t="shared" si="0"/>
        <v>14</v>
      </c>
      <c r="B24" s="13">
        <v>45298</v>
      </c>
      <c r="C24" s="14" t="s">
        <v>12</v>
      </c>
      <c r="D24" s="6" cm="1">
        <f t="array" aca="1" ref="D24" ca="1">IF($C24="","",COUNTIF(_xlfn.TAKE(OFFSET($C$11, 0, 0, COUNTA($C$11:$C$110),1),$A24),$C24))</f>
        <v>3</v>
      </c>
      <c r="E24" s="6">
        <f t="shared" si="1"/>
        <v>3</v>
      </c>
      <c r="F24" s="53" t="b">
        <v>0</v>
      </c>
      <c r="G24" s="6">
        <f t="shared" si="2"/>
        <v>6</v>
      </c>
      <c r="H24" s="55" t="b">
        <v>0</v>
      </c>
      <c r="I24" s="6">
        <f t="shared" si="3"/>
        <v>38</v>
      </c>
      <c r="J24" s="55" t="b">
        <v>0</v>
      </c>
      <c r="K24" s="18"/>
    </row>
    <row r="25" spans="1:11" ht="15" x14ac:dyDescent="0.4">
      <c r="A25" s="4">
        <f t="shared" si="0"/>
        <v>15</v>
      </c>
      <c r="B25" s="13">
        <v>45299</v>
      </c>
      <c r="C25" s="14" t="s">
        <v>12</v>
      </c>
      <c r="D25" s="6" cm="1">
        <f t="array" aca="1" ref="D25" ca="1">IF($C25="","",COUNTIF(_xlfn.TAKE(OFFSET($C$11, 0, 0, COUNTA($C$11:$C$110),1),$A25),$C25))</f>
        <v>4</v>
      </c>
      <c r="E25" s="6">
        <f t="shared" si="1"/>
        <v>4</v>
      </c>
      <c r="F25" s="53" t="b">
        <v>0</v>
      </c>
      <c r="G25" s="6">
        <f t="shared" si="2"/>
        <v>7</v>
      </c>
      <c r="H25" s="55" t="b">
        <v>0</v>
      </c>
      <c r="I25" s="6">
        <f t="shared" si="3"/>
        <v>39</v>
      </c>
      <c r="J25" s="55" t="b">
        <v>0</v>
      </c>
      <c r="K25" s="18"/>
    </row>
    <row r="26" spans="1:11" ht="15" x14ac:dyDescent="0.4">
      <c r="A26" s="4">
        <f t="shared" si="0"/>
        <v>16</v>
      </c>
      <c r="B26" s="13">
        <v>45300</v>
      </c>
      <c r="C26" s="14" t="s">
        <v>12</v>
      </c>
      <c r="D26" s="6" cm="1">
        <f t="array" aca="1" ref="D26" ca="1">IF($C26="","",COUNTIF(_xlfn.TAKE(OFFSET($C$11, 0, 0, COUNTA($C$11:$C$110),1),$A26),$C26))</f>
        <v>5</v>
      </c>
      <c r="E26" s="6">
        <f t="shared" si="1"/>
        <v>5</v>
      </c>
      <c r="F26" s="53" t="b">
        <f>TRUE</f>
        <v>1</v>
      </c>
      <c r="G26" s="6">
        <f t="shared" si="2"/>
        <v>8</v>
      </c>
      <c r="H26" s="55" t="b">
        <f>TRUE</f>
        <v>1</v>
      </c>
      <c r="I26" s="6">
        <f t="shared" si="3"/>
        <v>40</v>
      </c>
      <c r="J26" s="55" t="b">
        <v>0</v>
      </c>
      <c r="K26" s="18"/>
    </row>
    <row r="27" spans="1:11" ht="15" x14ac:dyDescent="0.4">
      <c r="A27" s="4">
        <f t="shared" si="0"/>
        <v>17</v>
      </c>
      <c r="B27" s="13">
        <v>45315</v>
      </c>
      <c r="C27" s="14" t="s">
        <v>14</v>
      </c>
      <c r="D27" s="6" cm="1">
        <f t="array" aca="1" ref="D27" ca="1">IF($C27="","",COUNTIF(_xlfn.TAKE(OFFSET($C$11, 0, 0, COUNTA($C$11:$C$110),1),$A27),$C27))</f>
        <v>1</v>
      </c>
      <c r="E27" s="6">
        <f t="shared" si="1"/>
        <v>1</v>
      </c>
      <c r="F27" s="53" t="b">
        <v>0</v>
      </c>
      <c r="G27" s="6">
        <f t="shared" si="2"/>
        <v>1</v>
      </c>
      <c r="H27" s="55" t="b">
        <v>0</v>
      </c>
      <c r="I27" s="6">
        <f t="shared" si="3"/>
        <v>41</v>
      </c>
      <c r="J27" s="55" t="b">
        <v>0</v>
      </c>
      <c r="K27" s="18"/>
    </row>
    <row r="28" spans="1:11" ht="15" x14ac:dyDescent="0.4">
      <c r="A28" s="4">
        <f t="shared" si="0"/>
        <v>18</v>
      </c>
      <c r="B28" s="13">
        <v>45316</v>
      </c>
      <c r="C28" s="14" t="s">
        <v>14</v>
      </c>
      <c r="D28" s="6" cm="1">
        <f t="array" aca="1" ref="D28" ca="1">IF($C28="","",COUNTIF(_xlfn.TAKE(OFFSET($C$11, 0, 0, COUNTA($C$11:$C$110),1),$A28),$C28))</f>
        <v>2</v>
      </c>
      <c r="E28" s="6">
        <f t="shared" si="1"/>
        <v>2</v>
      </c>
      <c r="F28" s="53" t="b">
        <v>0</v>
      </c>
      <c r="G28" s="6">
        <f t="shared" si="2"/>
        <v>2</v>
      </c>
      <c r="H28" s="55" t="b">
        <v>0</v>
      </c>
      <c r="I28" s="6">
        <f t="shared" si="3"/>
        <v>42</v>
      </c>
      <c r="J28" s="55" t="b">
        <v>0</v>
      </c>
      <c r="K28" s="18"/>
    </row>
    <row r="29" spans="1:11" ht="15" x14ac:dyDescent="0.4">
      <c r="A29" s="4">
        <f t="shared" si="0"/>
        <v>19</v>
      </c>
      <c r="B29" s="13">
        <v>45317</v>
      </c>
      <c r="C29" s="14" t="s">
        <v>14</v>
      </c>
      <c r="D29" s="6" cm="1">
        <f t="array" aca="1" ref="D29" ca="1">IF($C29="","",COUNTIF(_xlfn.TAKE(OFFSET($C$11, 0, 0, COUNTA($C$11:$C$110),1),$A29),$C29))</f>
        <v>3</v>
      </c>
      <c r="E29" s="6">
        <f t="shared" si="1"/>
        <v>3</v>
      </c>
      <c r="F29" s="53" t="b">
        <v>0</v>
      </c>
      <c r="G29" s="6">
        <f t="shared" si="2"/>
        <v>3</v>
      </c>
      <c r="H29" s="55" t="b">
        <v>0</v>
      </c>
      <c r="I29" s="6">
        <f t="shared" si="3"/>
        <v>43</v>
      </c>
      <c r="J29" s="55" t="b">
        <v>0</v>
      </c>
      <c r="K29" s="18"/>
    </row>
    <row r="30" spans="1:11" ht="15" x14ac:dyDescent="0.4">
      <c r="A30" s="4">
        <f t="shared" si="0"/>
        <v>20</v>
      </c>
      <c r="B30" s="13">
        <v>45318</v>
      </c>
      <c r="C30" s="14" t="s">
        <v>32</v>
      </c>
      <c r="D30" s="6" cm="1">
        <f t="array" aca="1" ref="D30" ca="1">IF($C30="","",COUNTIF(_xlfn.TAKE(OFFSET($C$11, 0, 0, COUNTA($C$11:$C$110),1),$A30),$C30))</f>
        <v>1</v>
      </c>
      <c r="E30" s="6">
        <f t="shared" si="1"/>
        <v>4</v>
      </c>
      <c r="F30" s="53" t="b">
        <v>0</v>
      </c>
      <c r="G30" s="6">
        <f t="shared" si="2"/>
        <v>4</v>
      </c>
      <c r="H30" s="55" t="b">
        <v>0</v>
      </c>
      <c r="I30" s="6">
        <f t="shared" si="3"/>
        <v>44</v>
      </c>
      <c r="J30" s="55" t="b">
        <v>0</v>
      </c>
      <c r="K30" s="18"/>
    </row>
    <row r="31" spans="1:11" ht="15" x14ac:dyDescent="0.4">
      <c r="A31" s="4">
        <f t="shared" si="0"/>
        <v>21</v>
      </c>
      <c r="B31" s="13">
        <v>45320</v>
      </c>
      <c r="C31" s="14" t="s">
        <v>32</v>
      </c>
      <c r="D31" s="6" cm="1">
        <f t="array" aca="1" ref="D31" ca="1">IF($C31="","",COUNTIF(_xlfn.TAKE(OFFSET($C$11, 0, 0, COUNTA($C$11:$C$110),1),$A31),$C31))</f>
        <v>2</v>
      </c>
      <c r="E31" s="6">
        <f t="shared" si="1"/>
        <v>5</v>
      </c>
      <c r="F31" s="53" t="b">
        <f>TRUE</f>
        <v>1</v>
      </c>
      <c r="G31" s="6">
        <f t="shared" si="2"/>
        <v>5</v>
      </c>
      <c r="H31" s="55" t="b">
        <v>0</v>
      </c>
      <c r="I31" s="6">
        <f t="shared" si="3"/>
        <v>45</v>
      </c>
      <c r="J31" s="55" t="b">
        <v>0</v>
      </c>
      <c r="K31" s="18"/>
    </row>
    <row r="32" spans="1:11" ht="15" x14ac:dyDescent="0.4">
      <c r="A32" s="4">
        <f t="shared" si="0"/>
        <v>22</v>
      </c>
      <c r="B32" s="13">
        <v>45321</v>
      </c>
      <c r="C32" s="14" t="s">
        <v>32</v>
      </c>
      <c r="D32" s="6" cm="1">
        <f t="array" aca="1" ref="D32" ca="1">IF($C32="","",COUNTIF(_xlfn.TAKE(OFFSET($C$11, 0, 0, COUNTA($C$11:$C$110),1),$A32),$C32))</f>
        <v>3</v>
      </c>
      <c r="E32" s="6">
        <f t="shared" si="1"/>
        <v>1</v>
      </c>
      <c r="F32" s="53" t="b">
        <v>0</v>
      </c>
      <c r="G32" s="6">
        <f t="shared" si="2"/>
        <v>6</v>
      </c>
      <c r="H32" s="55" t="b">
        <v>0</v>
      </c>
      <c r="I32" s="6">
        <f t="shared" si="3"/>
        <v>46</v>
      </c>
      <c r="J32" s="55" t="b">
        <v>0</v>
      </c>
      <c r="K32" s="18"/>
    </row>
    <row r="33" spans="1:11" ht="15" x14ac:dyDescent="0.4">
      <c r="A33" s="4">
        <f t="shared" si="0"/>
        <v>23</v>
      </c>
      <c r="B33" s="13">
        <v>45322</v>
      </c>
      <c r="C33" s="14" t="s">
        <v>33</v>
      </c>
      <c r="D33" s="6" cm="1">
        <f t="array" aca="1" ref="D33" ca="1">IF($C33="","",COUNTIF(_xlfn.TAKE(OFFSET($C$11, 0, 0, COUNTA($C$11:$C$110),1),$A33),$C33))</f>
        <v>1</v>
      </c>
      <c r="E33" s="6">
        <f t="shared" si="1"/>
        <v>2</v>
      </c>
      <c r="F33" s="53" t="b">
        <v>0</v>
      </c>
      <c r="G33" s="6">
        <f t="shared" si="2"/>
        <v>7</v>
      </c>
      <c r="H33" s="55" t="b">
        <v>0</v>
      </c>
      <c r="I33" s="6">
        <f t="shared" si="3"/>
        <v>47</v>
      </c>
      <c r="J33" s="55" t="b">
        <v>0</v>
      </c>
      <c r="K33" s="18"/>
    </row>
    <row r="34" spans="1:11" ht="15" x14ac:dyDescent="0.4">
      <c r="A34" s="4">
        <f t="shared" si="0"/>
        <v>24</v>
      </c>
      <c r="B34" s="13">
        <v>45324</v>
      </c>
      <c r="C34" s="14" t="s">
        <v>13</v>
      </c>
      <c r="D34" s="6" cm="1">
        <f t="array" aca="1" ref="D34" ca="1">IF($C34="","",COUNTIF(_xlfn.TAKE(OFFSET($C$11, 0, 0, COUNTA($C$11:$C$110),1),$A34),$C34))</f>
        <v>1</v>
      </c>
      <c r="E34" s="6">
        <f t="shared" si="1"/>
        <v>3</v>
      </c>
      <c r="F34" s="53" t="b">
        <v>0</v>
      </c>
      <c r="G34" s="6">
        <f t="shared" si="2"/>
        <v>8</v>
      </c>
      <c r="H34" s="55" t="b">
        <v>0</v>
      </c>
      <c r="I34" s="6">
        <f t="shared" si="3"/>
        <v>48</v>
      </c>
      <c r="J34" s="55" t="b">
        <v>0</v>
      </c>
      <c r="K34" s="18"/>
    </row>
    <row r="35" spans="1:11" ht="15" x14ac:dyDescent="0.4">
      <c r="A35" s="4">
        <f t="shared" si="0"/>
        <v>25</v>
      </c>
      <c r="B35" s="13">
        <v>45325</v>
      </c>
      <c r="C35" s="14" t="s">
        <v>13</v>
      </c>
      <c r="D35" s="6" cm="1">
        <f t="array" aca="1" ref="D35" ca="1">IF($C35="","",COUNTIF(_xlfn.TAKE(OFFSET($C$11, 0, 0, COUNTA($C$11:$C$110),1),$A35),$C35))</f>
        <v>2</v>
      </c>
      <c r="E35" s="6">
        <f t="shared" si="1"/>
        <v>4</v>
      </c>
      <c r="F35" s="53" t="b">
        <v>0</v>
      </c>
      <c r="G35" s="6">
        <f t="shared" si="2"/>
        <v>9</v>
      </c>
      <c r="H35" s="55" t="b">
        <v>0</v>
      </c>
      <c r="I35" s="6">
        <f t="shared" si="3"/>
        <v>49</v>
      </c>
      <c r="J35" s="55" t="b">
        <v>0</v>
      </c>
      <c r="K35" s="18"/>
    </row>
    <row r="36" spans="1:11" ht="15" x14ac:dyDescent="0.4">
      <c r="A36" s="4">
        <f t="shared" si="0"/>
        <v>26</v>
      </c>
      <c r="B36" s="13">
        <v>45326</v>
      </c>
      <c r="C36" s="14" t="s">
        <v>13</v>
      </c>
      <c r="D36" s="6" cm="1">
        <f t="array" aca="1" ref="D36" ca="1">IF($C36="","",COUNTIF(_xlfn.TAKE(OFFSET($C$11, 0, 0, COUNTA($C$11:$C$110),1),$A36),$C36))</f>
        <v>3</v>
      </c>
      <c r="E36" s="6">
        <f t="shared" si="1"/>
        <v>5</v>
      </c>
      <c r="F36" s="53" t="b">
        <v>0</v>
      </c>
      <c r="G36" s="6">
        <f t="shared" si="2"/>
        <v>10</v>
      </c>
      <c r="H36" s="55" t="b">
        <v>0</v>
      </c>
      <c r="I36" s="6">
        <f t="shared" si="3"/>
        <v>50</v>
      </c>
      <c r="J36" s="55" t="b">
        <v>0</v>
      </c>
      <c r="K36" s="18"/>
    </row>
    <row r="37" spans="1:11" ht="15" x14ac:dyDescent="0.4">
      <c r="A37" s="4">
        <f t="shared" si="0"/>
        <v>27</v>
      </c>
      <c r="B37" s="13">
        <v>45347</v>
      </c>
      <c r="C37" s="14" t="s">
        <v>12</v>
      </c>
      <c r="D37" s="6" cm="1">
        <f t="array" aca="1" ref="D37" ca="1">IF($C37="","",COUNTIF(_xlfn.TAKE(OFFSET($C$11, 0, 0, COUNTA($C$11:$C$110),1),$A37),$C37))</f>
        <v>6</v>
      </c>
      <c r="E37" s="6">
        <f t="shared" si="1"/>
        <v>6</v>
      </c>
      <c r="F37" s="53" t="b">
        <f>TRUE</f>
        <v>1</v>
      </c>
      <c r="G37" s="6">
        <f t="shared" si="2"/>
        <v>11</v>
      </c>
      <c r="H37" s="55" t="b">
        <f>TRUE</f>
        <v>1</v>
      </c>
      <c r="I37" s="6">
        <f t="shared" si="3"/>
        <v>51</v>
      </c>
      <c r="J37" s="55" t="b">
        <f>TRUE</f>
        <v>1</v>
      </c>
      <c r="K37" s="18"/>
    </row>
    <row r="38" spans="1:11" ht="15" x14ac:dyDescent="0.4">
      <c r="A38" s="4">
        <f t="shared" si="0"/>
        <v>28</v>
      </c>
      <c r="B38" s="13">
        <v>45350</v>
      </c>
      <c r="C38" s="14" t="s">
        <v>12</v>
      </c>
      <c r="D38" s="6" cm="1">
        <f t="array" aca="1" ref="D38" ca="1">IF($C38="","",COUNTIF(_xlfn.TAKE(OFFSET($C$11, 0, 0, COUNTA($C$11:$C$110),1),$A38),$C38))</f>
        <v>7</v>
      </c>
      <c r="E38" s="6">
        <f t="shared" si="1"/>
        <v>1</v>
      </c>
      <c r="F38" s="53" t="b">
        <v>0</v>
      </c>
      <c r="G38" s="6">
        <f t="shared" si="2"/>
        <v>1</v>
      </c>
      <c r="H38" s="55" t="b">
        <v>0</v>
      </c>
      <c r="I38" s="6">
        <f t="shared" si="3"/>
        <v>1</v>
      </c>
      <c r="J38" s="55" t="b">
        <v>0</v>
      </c>
      <c r="K38" s="18"/>
    </row>
    <row r="39" spans="1:11" ht="15" x14ac:dyDescent="0.4">
      <c r="A39" s="4">
        <f t="shared" si="0"/>
        <v>29</v>
      </c>
      <c r="B39" s="13">
        <v>45351</v>
      </c>
      <c r="C39" s="14" t="s">
        <v>12</v>
      </c>
      <c r="D39" s="6" cm="1">
        <f t="array" aca="1" ref="D39" ca="1">IF($C39="","",COUNTIF(_xlfn.TAKE(OFFSET($C$11, 0, 0, COUNTA($C$11:$C$110),1),$A39),$C39))</f>
        <v>8</v>
      </c>
      <c r="E39" s="6">
        <f t="shared" si="1"/>
        <v>2</v>
      </c>
      <c r="F39" s="53" t="b">
        <v>0</v>
      </c>
      <c r="G39" s="6">
        <f t="shared" si="2"/>
        <v>2</v>
      </c>
      <c r="H39" s="55" t="b">
        <v>0</v>
      </c>
      <c r="I39" s="6">
        <f t="shared" si="3"/>
        <v>2</v>
      </c>
      <c r="J39" s="55" t="b">
        <v>0</v>
      </c>
      <c r="K39" s="18"/>
    </row>
    <row r="40" spans="1:11" ht="15" x14ac:dyDescent="0.4">
      <c r="A40" s="4">
        <f t="shared" si="0"/>
        <v>30</v>
      </c>
      <c r="B40" s="13">
        <v>45352</v>
      </c>
      <c r="C40" s="14" t="s">
        <v>12</v>
      </c>
      <c r="D40" s="6" cm="1">
        <f t="array" aca="1" ref="D40" ca="1">IF($C40="","",COUNTIF(_xlfn.TAKE(OFFSET($C$11, 0, 0, COUNTA($C$11:$C$110),1),$A40),$C40))</f>
        <v>9</v>
      </c>
      <c r="E40" s="6">
        <f t="shared" si="1"/>
        <v>3</v>
      </c>
      <c r="F40" s="53" t="b">
        <v>0</v>
      </c>
      <c r="G40" s="6">
        <f t="shared" si="2"/>
        <v>3</v>
      </c>
      <c r="H40" s="55" t="b">
        <v>0</v>
      </c>
      <c r="I40" s="6">
        <f t="shared" si="3"/>
        <v>3</v>
      </c>
      <c r="J40" s="55" t="b">
        <v>0</v>
      </c>
      <c r="K40" s="18"/>
    </row>
    <row r="41" spans="1:11" ht="15" x14ac:dyDescent="0.4">
      <c r="A41" s="4">
        <f t="shared" si="0"/>
        <v>31</v>
      </c>
      <c r="B41" s="13">
        <v>45354</v>
      </c>
      <c r="C41" s="14" t="s">
        <v>12</v>
      </c>
      <c r="D41" s="6" cm="1">
        <f t="array" aca="1" ref="D41" ca="1">IF($C41="","",COUNTIF(_xlfn.TAKE(OFFSET($C$11, 0, 0, COUNTA($C$11:$C$110),1),$A41),$C41))</f>
        <v>10</v>
      </c>
      <c r="E41" s="6">
        <f t="shared" si="1"/>
        <v>4</v>
      </c>
      <c r="F41" s="53" t="b">
        <v>0</v>
      </c>
      <c r="G41" s="6">
        <f t="shared" si="2"/>
        <v>4</v>
      </c>
      <c r="H41" s="55" t="b">
        <v>0</v>
      </c>
      <c r="I41" s="6">
        <f t="shared" si="3"/>
        <v>4</v>
      </c>
      <c r="J41" s="55" t="b">
        <v>0</v>
      </c>
      <c r="K41" s="18"/>
    </row>
    <row r="42" spans="1:11" ht="15" x14ac:dyDescent="0.4">
      <c r="A42" s="4">
        <f t="shared" si="0"/>
        <v>32</v>
      </c>
      <c r="B42" s="13">
        <v>45355</v>
      </c>
      <c r="C42" s="14" t="s">
        <v>12</v>
      </c>
      <c r="D42" s="6" cm="1">
        <f t="array" aca="1" ref="D42" ca="1">IF($C42="","",COUNTIF(_xlfn.TAKE(OFFSET($C$11, 0, 0, COUNTA($C$11:$C$110),1),$A42),$C42))</f>
        <v>11</v>
      </c>
      <c r="E42" s="6">
        <f t="shared" si="1"/>
        <v>5</v>
      </c>
      <c r="F42" s="53" t="b">
        <v>0</v>
      </c>
      <c r="G42" s="6">
        <f t="shared" si="2"/>
        <v>5</v>
      </c>
      <c r="H42" s="55" t="b">
        <v>0</v>
      </c>
      <c r="I42" s="6">
        <f t="shared" si="3"/>
        <v>5</v>
      </c>
      <c r="J42" s="55" t="b">
        <v>0</v>
      </c>
      <c r="K42" s="18"/>
    </row>
    <row r="43" spans="1:11" ht="15" x14ac:dyDescent="0.4">
      <c r="A43" s="4">
        <f t="shared" si="0"/>
        <v>33</v>
      </c>
      <c r="B43" s="13">
        <v>45356</v>
      </c>
      <c r="C43" s="14" t="s">
        <v>12</v>
      </c>
      <c r="D43" s="6" cm="1">
        <f t="array" aca="1" ref="D43" ca="1">IF($C43="","",COUNTIF(_xlfn.TAKE(OFFSET($C$11, 0, 0, COUNTA($C$11:$C$110),1),$A43),$C43))</f>
        <v>12</v>
      </c>
      <c r="E43" s="6">
        <f t="shared" si="1"/>
        <v>6</v>
      </c>
      <c r="F43" s="53" t="b">
        <f>TRUE</f>
        <v>1</v>
      </c>
      <c r="G43" s="6">
        <f t="shared" si="2"/>
        <v>6</v>
      </c>
      <c r="H43" s="55" t="b">
        <v>0</v>
      </c>
      <c r="I43" s="6">
        <f t="shared" si="3"/>
        <v>6</v>
      </c>
      <c r="J43" s="55" t="b">
        <v>0</v>
      </c>
      <c r="K43" s="18"/>
    </row>
    <row r="44" spans="1:11" ht="15" x14ac:dyDescent="0.4">
      <c r="A44" s="4">
        <f t="shared" si="0"/>
        <v>34</v>
      </c>
      <c r="B44" s="13">
        <v>45357</v>
      </c>
      <c r="C44" s="14" t="s">
        <v>12</v>
      </c>
      <c r="D44" s="6" cm="1">
        <f t="array" aca="1" ref="D44" ca="1">IF($C44="","",COUNTIF(_xlfn.TAKE(OFFSET($C$11, 0, 0, COUNTA($C$11:$C$110),1),$A44),$C44))</f>
        <v>13</v>
      </c>
      <c r="E44" s="6">
        <f t="shared" si="1"/>
        <v>1</v>
      </c>
      <c r="F44" s="53" t="b">
        <v>0</v>
      </c>
      <c r="G44" s="6">
        <f t="shared" si="2"/>
        <v>7</v>
      </c>
      <c r="H44" s="55" t="b">
        <v>0</v>
      </c>
      <c r="I44" s="6">
        <f t="shared" si="3"/>
        <v>7</v>
      </c>
      <c r="J44" s="55" t="b">
        <v>0</v>
      </c>
      <c r="K44" s="18"/>
    </row>
    <row r="45" spans="1:11" ht="15" x14ac:dyDescent="0.4">
      <c r="A45" s="4">
        <f t="shared" si="0"/>
        <v>35</v>
      </c>
      <c r="B45" s="13">
        <v>45358</v>
      </c>
      <c r="C45" s="14" t="s">
        <v>12</v>
      </c>
      <c r="D45" s="6" cm="1">
        <f t="array" aca="1" ref="D45" ca="1">IF($C45="","",COUNTIF(_xlfn.TAKE(OFFSET($C$11, 0, 0, COUNTA($C$11:$C$110),1),$A45),$C45))</f>
        <v>14</v>
      </c>
      <c r="E45" s="6">
        <f t="shared" si="1"/>
        <v>2</v>
      </c>
      <c r="F45" s="53" t="b">
        <v>0</v>
      </c>
      <c r="G45" s="6">
        <f t="shared" si="2"/>
        <v>8</v>
      </c>
      <c r="H45" s="55" t="b">
        <v>0</v>
      </c>
      <c r="I45" s="6">
        <f t="shared" si="3"/>
        <v>8</v>
      </c>
      <c r="J45" s="55" t="b">
        <v>0</v>
      </c>
      <c r="K45" s="18"/>
    </row>
    <row r="46" spans="1:11" ht="15" x14ac:dyDescent="0.4">
      <c r="A46" s="4">
        <f t="shared" si="0"/>
        <v>36</v>
      </c>
      <c r="B46" s="13">
        <v>45359</v>
      </c>
      <c r="C46" s="14" t="s">
        <v>12</v>
      </c>
      <c r="D46" s="6" cm="1">
        <f t="array" aca="1" ref="D46" ca="1">IF($C46="","",COUNTIF(_xlfn.TAKE(OFFSET($C$11, 0, 0, COUNTA($C$11:$C$110),1),$A46),$C46))</f>
        <v>15</v>
      </c>
      <c r="E46" s="6">
        <f t="shared" si="1"/>
        <v>3</v>
      </c>
      <c r="F46" s="53" t="b">
        <v>0</v>
      </c>
      <c r="G46" s="6">
        <f t="shared" si="2"/>
        <v>9</v>
      </c>
      <c r="H46" s="55" t="b">
        <v>0</v>
      </c>
      <c r="I46" s="6">
        <f t="shared" si="3"/>
        <v>9</v>
      </c>
      <c r="J46" s="55" t="b">
        <v>0</v>
      </c>
      <c r="K46" s="18"/>
    </row>
    <row r="47" spans="1:11" ht="15" x14ac:dyDescent="0.4">
      <c r="A47" s="4">
        <f t="shared" si="0"/>
        <v>37</v>
      </c>
      <c r="B47" s="13">
        <v>45360</v>
      </c>
      <c r="C47" s="14" t="s">
        <v>12</v>
      </c>
      <c r="D47" s="6" cm="1">
        <f t="array" aca="1" ref="D47" ca="1">IF($C47="","",COUNTIF(_xlfn.TAKE(OFFSET($C$11, 0, 0, COUNTA($C$11:$C$110),1),$A47),$C47))</f>
        <v>16</v>
      </c>
      <c r="E47" s="6">
        <f t="shared" si="1"/>
        <v>4</v>
      </c>
      <c r="F47" s="53" t="b">
        <f>TRUE</f>
        <v>1</v>
      </c>
      <c r="G47" s="6">
        <f t="shared" si="2"/>
        <v>10</v>
      </c>
      <c r="H47" s="55" t="b">
        <v>0</v>
      </c>
      <c r="I47" s="6">
        <f t="shared" si="3"/>
        <v>10</v>
      </c>
      <c r="J47" s="55" t="b">
        <v>0</v>
      </c>
      <c r="K47" s="18"/>
    </row>
    <row r="48" spans="1:11" ht="15" x14ac:dyDescent="0.4">
      <c r="A48" s="4">
        <f t="shared" si="0"/>
        <v>38</v>
      </c>
      <c r="B48" s="13">
        <v>45362</v>
      </c>
      <c r="C48" s="14" t="s">
        <v>12</v>
      </c>
      <c r="D48" s="6" cm="1">
        <f t="array" aca="1" ref="D48" ca="1">IF($C48="","",COUNTIF(_xlfn.TAKE(OFFSET($C$11, 0, 0, COUNTA($C$11:$C$110),1),$A48),$C48))</f>
        <v>17</v>
      </c>
      <c r="E48" s="6">
        <f t="shared" si="1"/>
        <v>1</v>
      </c>
      <c r="F48" s="53" t="b">
        <v>0</v>
      </c>
      <c r="G48" s="6">
        <f t="shared" si="2"/>
        <v>11</v>
      </c>
      <c r="H48" s="55" t="b">
        <v>0</v>
      </c>
      <c r="I48" s="6">
        <f t="shared" si="3"/>
        <v>11</v>
      </c>
      <c r="J48" s="55" t="b">
        <v>0</v>
      </c>
      <c r="K48" s="18"/>
    </row>
    <row r="49" spans="1:11" ht="15" x14ac:dyDescent="0.4">
      <c r="A49" s="4">
        <f t="shared" si="0"/>
        <v>39</v>
      </c>
      <c r="B49" s="13">
        <v>45363</v>
      </c>
      <c r="C49" s="14" t="s">
        <v>12</v>
      </c>
      <c r="D49" s="6" cm="1">
        <f t="array" aca="1" ref="D49" ca="1">IF($C49="","",COUNTIF(_xlfn.TAKE(OFFSET($C$11, 0, 0, COUNTA($C$11:$C$110),1),$A49),$C49))</f>
        <v>18</v>
      </c>
      <c r="E49" s="6">
        <f t="shared" si="1"/>
        <v>2</v>
      </c>
      <c r="F49" s="53" t="b">
        <v>0</v>
      </c>
      <c r="G49" s="6">
        <f t="shared" si="2"/>
        <v>12</v>
      </c>
      <c r="H49" s="55" t="b">
        <v>0</v>
      </c>
      <c r="I49" s="6">
        <f t="shared" si="3"/>
        <v>12</v>
      </c>
      <c r="J49" s="55" t="b">
        <v>0</v>
      </c>
      <c r="K49" s="18" t="s">
        <v>37</v>
      </c>
    </row>
    <row r="50" spans="1:11" ht="15" x14ac:dyDescent="0.4">
      <c r="A50" s="4">
        <f t="shared" si="0"/>
        <v>40</v>
      </c>
      <c r="B50" s="13">
        <v>45364</v>
      </c>
      <c r="C50" s="14" t="s">
        <v>12</v>
      </c>
      <c r="D50" s="6" cm="1">
        <f t="array" aca="1" ref="D50" ca="1">IF($C50="","",COUNTIF(_xlfn.TAKE(OFFSET($C$11, 0, 0, COUNTA($C$11:$C$110),1),$A50),$C50))</f>
        <v>19</v>
      </c>
      <c r="E50" s="6">
        <f t="shared" si="1"/>
        <v>3</v>
      </c>
      <c r="F50" s="53" t="b">
        <v>0</v>
      </c>
      <c r="G50" s="6">
        <f t="shared" si="2"/>
        <v>13</v>
      </c>
      <c r="H50" s="55" t="b">
        <v>0</v>
      </c>
      <c r="I50" s="6">
        <f t="shared" si="3"/>
        <v>13</v>
      </c>
      <c r="J50" s="55" t="b">
        <v>0</v>
      </c>
      <c r="K50" s="18"/>
    </row>
    <row r="51" spans="1:11" ht="15" x14ac:dyDescent="0.4">
      <c r="A51" s="4">
        <f t="shared" si="0"/>
        <v>41</v>
      </c>
      <c r="B51" s="13">
        <v>45365</v>
      </c>
      <c r="C51" s="14" t="s">
        <v>12</v>
      </c>
      <c r="D51" s="6" cm="1">
        <f t="array" aca="1" ref="D51" ca="1">IF($C51="","",COUNTIF(_xlfn.TAKE(OFFSET($C$11, 0, 0, COUNTA($C$11:$C$110),1),$A51),$C51))</f>
        <v>20</v>
      </c>
      <c r="E51" s="6">
        <f t="shared" si="1"/>
        <v>4</v>
      </c>
      <c r="F51" s="53" t="b">
        <v>0</v>
      </c>
      <c r="G51" s="6">
        <f t="shared" si="2"/>
        <v>14</v>
      </c>
      <c r="H51" s="55" t="b">
        <v>0</v>
      </c>
      <c r="I51" s="6">
        <f t="shared" si="3"/>
        <v>14</v>
      </c>
      <c r="J51" s="55" t="b">
        <v>0</v>
      </c>
      <c r="K51" s="18"/>
    </row>
    <row r="52" spans="1:11" ht="15" x14ac:dyDescent="0.4">
      <c r="A52" s="4">
        <f t="shared" si="0"/>
        <v>42</v>
      </c>
      <c r="B52" s="13">
        <v>45366</v>
      </c>
      <c r="C52" s="14" t="s">
        <v>12</v>
      </c>
      <c r="D52" s="6" cm="1">
        <f t="array" aca="1" ref="D52" ca="1">IF($C52="","",COUNTIF(_xlfn.TAKE(OFFSET($C$11, 0, 0, COUNTA($C$11:$C$110),1),$A52),$C52))</f>
        <v>21</v>
      </c>
      <c r="E52" s="6">
        <f t="shared" si="1"/>
        <v>5</v>
      </c>
      <c r="F52" s="53" t="b">
        <v>0</v>
      </c>
      <c r="G52" s="6">
        <f t="shared" si="2"/>
        <v>15</v>
      </c>
      <c r="H52" s="55" t="b">
        <v>0</v>
      </c>
      <c r="I52" s="6">
        <f t="shared" si="3"/>
        <v>15</v>
      </c>
      <c r="J52" s="55" t="b">
        <v>0</v>
      </c>
      <c r="K52" s="18"/>
    </row>
    <row r="53" spans="1:11" ht="15" x14ac:dyDescent="0.4">
      <c r="A53" s="4">
        <f t="shared" si="0"/>
        <v>43</v>
      </c>
      <c r="B53" s="13">
        <v>45367</v>
      </c>
      <c r="C53" s="14" t="s">
        <v>12</v>
      </c>
      <c r="D53" s="6" cm="1">
        <f t="array" aca="1" ref="D53" ca="1">IF($C53="","",COUNTIF(_xlfn.TAKE(OFFSET($C$11, 0, 0, COUNTA($C$11:$C$110),1),$A53),$C53))</f>
        <v>22</v>
      </c>
      <c r="E53" s="6">
        <f t="shared" si="1"/>
        <v>6</v>
      </c>
      <c r="F53" s="53" t="b">
        <v>0</v>
      </c>
      <c r="G53" s="6">
        <f t="shared" si="2"/>
        <v>16</v>
      </c>
      <c r="H53" s="55" t="b">
        <v>0</v>
      </c>
      <c r="I53" s="6">
        <f t="shared" si="3"/>
        <v>16</v>
      </c>
      <c r="J53" s="55" t="b">
        <v>0</v>
      </c>
      <c r="K53" s="18"/>
    </row>
    <row r="54" spans="1:11" ht="15" x14ac:dyDescent="0.4">
      <c r="A54" s="4">
        <f t="shared" si="0"/>
        <v>44</v>
      </c>
      <c r="B54" s="13">
        <v>45368</v>
      </c>
      <c r="C54" s="14" t="s">
        <v>12</v>
      </c>
      <c r="D54" s="6" cm="1">
        <f t="array" aca="1" ref="D54" ca="1">IF($C54="","",COUNTIF(_xlfn.TAKE(OFFSET($C$11, 0, 0, COUNTA($C$11:$C$110),1),$A54),$C54))</f>
        <v>23</v>
      </c>
      <c r="E54" s="6">
        <f t="shared" si="1"/>
        <v>7</v>
      </c>
      <c r="F54" s="53" t="b">
        <v>0</v>
      </c>
      <c r="G54" s="6">
        <f t="shared" si="2"/>
        <v>17</v>
      </c>
      <c r="H54" s="55" t="b">
        <v>0</v>
      </c>
      <c r="I54" s="6">
        <f t="shared" si="3"/>
        <v>17</v>
      </c>
      <c r="J54" s="55" t="b">
        <v>0</v>
      </c>
      <c r="K54" s="18"/>
    </row>
    <row r="55" spans="1:11" ht="15" x14ac:dyDescent="0.4">
      <c r="A55" s="4">
        <f t="shared" si="0"/>
        <v>45</v>
      </c>
      <c r="B55" s="13">
        <v>45369</v>
      </c>
      <c r="C55" s="14" t="s">
        <v>12</v>
      </c>
      <c r="D55" s="6" cm="1">
        <f t="array" aca="1" ref="D55" ca="1">IF($C55="","",COUNTIF(_xlfn.TAKE(OFFSET($C$11, 0, 0, COUNTA($C$11:$C$110),1),$A55),$C55))</f>
        <v>24</v>
      </c>
      <c r="E55" s="6">
        <f t="shared" si="1"/>
        <v>8</v>
      </c>
      <c r="F55" s="53" t="b">
        <v>0</v>
      </c>
      <c r="G55" s="6">
        <f t="shared" si="2"/>
        <v>18</v>
      </c>
      <c r="H55" s="55" t="b">
        <v>0</v>
      </c>
      <c r="I55" s="6">
        <f t="shared" si="3"/>
        <v>18</v>
      </c>
      <c r="J55" s="55" t="b">
        <v>0</v>
      </c>
      <c r="K55" s="18"/>
    </row>
    <row r="56" spans="1:11" ht="15" x14ac:dyDescent="0.4">
      <c r="A56" s="4">
        <f t="shared" si="0"/>
        <v>46</v>
      </c>
      <c r="B56" s="13">
        <v>45370</v>
      </c>
      <c r="C56" s="14" t="s">
        <v>12</v>
      </c>
      <c r="D56" s="6" cm="1">
        <f t="array" aca="1" ref="D56" ca="1">IF($C56="","",COUNTIF(_xlfn.TAKE(OFFSET($C$11, 0, 0, COUNTA($C$11:$C$110),1),$A56),$C56))</f>
        <v>25</v>
      </c>
      <c r="E56" s="6">
        <f t="shared" si="1"/>
        <v>9</v>
      </c>
      <c r="F56" s="53" t="b">
        <v>0</v>
      </c>
      <c r="G56" s="6">
        <f t="shared" si="2"/>
        <v>19</v>
      </c>
      <c r="H56" s="55" t="b">
        <v>0</v>
      </c>
      <c r="I56" s="6">
        <f t="shared" si="3"/>
        <v>19</v>
      </c>
      <c r="J56" s="55" t="b">
        <v>0</v>
      </c>
      <c r="K56" s="18"/>
    </row>
    <row r="57" spans="1:11" ht="15" x14ac:dyDescent="0.4">
      <c r="A57" s="4">
        <f t="shared" si="0"/>
        <v>47</v>
      </c>
      <c r="B57" s="13">
        <v>45371</v>
      </c>
      <c r="C57" s="14" t="s">
        <v>12</v>
      </c>
      <c r="D57" s="6" cm="1">
        <f t="array" aca="1" ref="D57" ca="1">IF($C57="","",COUNTIF(_xlfn.TAKE(OFFSET($C$11, 0, 0, COUNTA($C$11:$C$110),1),$A57),$C57))</f>
        <v>26</v>
      </c>
      <c r="E57" s="6">
        <f t="shared" si="1"/>
        <v>10</v>
      </c>
      <c r="F57" s="53" t="b">
        <v>0</v>
      </c>
      <c r="G57" s="6">
        <f t="shared" si="2"/>
        <v>20</v>
      </c>
      <c r="H57" s="55" t="b">
        <v>0</v>
      </c>
      <c r="I57" s="6">
        <f t="shared" si="3"/>
        <v>20</v>
      </c>
      <c r="J57" s="55" t="b">
        <v>0</v>
      </c>
      <c r="K57" s="18"/>
    </row>
    <row r="58" spans="1:11" ht="15" x14ac:dyDescent="0.4">
      <c r="A58" s="4" t="str">
        <f t="shared" si="0"/>
        <v/>
      </c>
      <c r="B58" s="13"/>
      <c r="C58" s="14"/>
      <c r="D58" s="6" t="str" cm="1">
        <f t="array" aca="1" ref="D58" ca="1">IF($C58="","",COUNTIF(_xlfn.TAKE(OFFSET($C$11, 0, 0, COUNTA($C$11:$C$110),1),$A58),$C58))</f>
        <v/>
      </c>
      <c r="E58" s="6" t="str">
        <f t="shared" si="1"/>
        <v/>
      </c>
      <c r="F58" s="53" t="b">
        <v>0</v>
      </c>
      <c r="G58" s="6" t="str">
        <f t="shared" si="2"/>
        <v/>
      </c>
      <c r="H58" s="55" t="b">
        <v>0</v>
      </c>
      <c r="I58" s="6" t="str">
        <f t="shared" si="3"/>
        <v/>
      </c>
      <c r="J58" s="55" t="b">
        <v>0</v>
      </c>
      <c r="K58" s="18"/>
    </row>
    <row r="59" spans="1:11" ht="15" x14ac:dyDescent="0.4">
      <c r="A59" s="4" t="str">
        <f t="shared" si="0"/>
        <v/>
      </c>
      <c r="B59" s="13"/>
      <c r="C59" s="14"/>
      <c r="D59" s="6" t="str" cm="1">
        <f t="array" aca="1" ref="D59" ca="1">IF($C59="","",COUNTIF(_xlfn.TAKE(OFFSET($C$11, 0, 0, COUNTA($C$11:$C$110),1),$A59),$C59))</f>
        <v/>
      </c>
      <c r="E59" s="6" t="str">
        <f t="shared" si="1"/>
        <v/>
      </c>
      <c r="F59" s="53" t="b">
        <v>0</v>
      </c>
      <c r="G59" s="6" t="str">
        <f t="shared" si="2"/>
        <v/>
      </c>
      <c r="H59" s="55" t="b">
        <v>0</v>
      </c>
      <c r="I59" s="6" t="str">
        <f t="shared" si="3"/>
        <v/>
      </c>
      <c r="J59" s="55" t="b">
        <v>0</v>
      </c>
      <c r="K59" s="18"/>
    </row>
    <row r="60" spans="1:11" ht="15" x14ac:dyDescent="0.4">
      <c r="A60" s="4" t="str">
        <f t="shared" si="0"/>
        <v/>
      </c>
      <c r="B60" s="13"/>
      <c r="C60" s="14"/>
      <c r="D60" s="6" t="str" cm="1">
        <f t="array" aca="1" ref="D60" ca="1">IF($C60="","",COUNTIF(_xlfn.TAKE(OFFSET($C$11, 0, 0, COUNTA($C$11:$C$110),1),$A60),$C60))</f>
        <v/>
      </c>
      <c r="E60" s="6" t="str">
        <f t="shared" si="1"/>
        <v/>
      </c>
      <c r="F60" s="53" t="b">
        <v>0</v>
      </c>
      <c r="G60" s="6" t="str">
        <f t="shared" si="2"/>
        <v/>
      </c>
      <c r="H60" s="55" t="b">
        <v>0</v>
      </c>
      <c r="I60" s="6" t="str">
        <f t="shared" si="3"/>
        <v/>
      </c>
      <c r="J60" s="55" t="b">
        <v>0</v>
      </c>
      <c r="K60" s="18"/>
    </row>
    <row r="61" spans="1:11" ht="15" x14ac:dyDescent="0.4">
      <c r="A61" s="4" t="str">
        <f t="shared" si="0"/>
        <v/>
      </c>
      <c r="B61" s="13"/>
      <c r="C61" s="14"/>
      <c r="D61" s="6" t="str" cm="1">
        <f t="array" aca="1" ref="D61" ca="1">IF($C61="","",COUNTIF(_xlfn.TAKE(OFFSET($C$11, 0, 0, COUNTA($C$11:$C$110),1),$A61),$C61))</f>
        <v/>
      </c>
      <c r="E61" s="6" t="str">
        <f t="shared" si="1"/>
        <v/>
      </c>
      <c r="F61" s="53" t="b">
        <v>0</v>
      </c>
      <c r="G61" s="6" t="str">
        <f t="shared" si="2"/>
        <v/>
      </c>
      <c r="H61" s="55" t="b">
        <v>0</v>
      </c>
      <c r="I61" s="6" t="str">
        <f t="shared" si="3"/>
        <v/>
      </c>
      <c r="J61" s="55" t="b">
        <v>0</v>
      </c>
      <c r="K61" s="18"/>
    </row>
    <row r="62" spans="1:11" ht="15" x14ac:dyDescent="0.4">
      <c r="A62" s="4" t="str">
        <f t="shared" si="0"/>
        <v/>
      </c>
      <c r="B62" s="13"/>
      <c r="C62" s="14"/>
      <c r="D62" s="6" t="str" cm="1">
        <f t="array" aca="1" ref="D62" ca="1">IF($C62="","",COUNTIF(_xlfn.TAKE(OFFSET($C$11, 0, 0, COUNTA($C$11:$C$110),1),$A62),$C62))</f>
        <v/>
      </c>
      <c r="E62" s="6" t="str">
        <f t="shared" si="1"/>
        <v/>
      </c>
      <c r="F62" s="53" t="b">
        <v>0</v>
      </c>
      <c r="G62" s="6" t="str">
        <f t="shared" si="2"/>
        <v/>
      </c>
      <c r="H62" s="55" t="b">
        <v>0</v>
      </c>
      <c r="I62" s="6" t="str">
        <f t="shared" si="3"/>
        <v/>
      </c>
      <c r="J62" s="55" t="b">
        <v>0</v>
      </c>
      <c r="K62" s="18"/>
    </row>
    <row r="63" spans="1:11" ht="15" x14ac:dyDescent="0.4">
      <c r="A63" s="4" t="str">
        <f t="shared" si="0"/>
        <v/>
      </c>
      <c r="B63" s="13"/>
      <c r="C63" s="14"/>
      <c r="D63" s="6" t="str" cm="1">
        <f t="array" aca="1" ref="D63" ca="1">IF($C63="","",COUNTIF(_xlfn.TAKE(OFFSET($C$11, 0, 0, COUNTA($C$11:$C$110),1),$A63),$C63))</f>
        <v/>
      </c>
      <c r="E63" s="6" t="str">
        <f t="shared" si="1"/>
        <v/>
      </c>
      <c r="F63" s="53" t="b">
        <v>0</v>
      </c>
      <c r="G63" s="6" t="str">
        <f t="shared" si="2"/>
        <v/>
      </c>
      <c r="H63" s="55" t="b">
        <v>0</v>
      </c>
      <c r="I63" s="6" t="str">
        <f t="shared" si="3"/>
        <v/>
      </c>
      <c r="J63" s="55" t="b">
        <v>0</v>
      </c>
      <c r="K63" s="18"/>
    </row>
    <row r="64" spans="1:11" ht="15" x14ac:dyDescent="0.4">
      <c r="A64" s="4" t="str">
        <f t="shared" si="0"/>
        <v/>
      </c>
      <c r="B64" s="13"/>
      <c r="C64" s="14"/>
      <c r="D64" s="6" t="str" cm="1">
        <f t="array" aca="1" ref="D64" ca="1">IF($C64="","",COUNTIF(_xlfn.TAKE(OFFSET($C$11, 0, 0, COUNTA($C$11:$C$110),1),$A64),$C64))</f>
        <v/>
      </c>
      <c r="E64" s="6" t="str">
        <f t="shared" si="1"/>
        <v/>
      </c>
      <c r="F64" s="53" t="b">
        <v>0</v>
      </c>
      <c r="G64" s="6" t="str">
        <f t="shared" si="2"/>
        <v/>
      </c>
      <c r="H64" s="55" t="b">
        <v>0</v>
      </c>
      <c r="I64" s="6" t="str">
        <f t="shared" si="3"/>
        <v/>
      </c>
      <c r="J64" s="55" t="b">
        <v>0</v>
      </c>
      <c r="K64" s="18"/>
    </row>
    <row r="65" spans="1:11" ht="15" x14ac:dyDescent="0.4">
      <c r="A65" s="4" t="str">
        <f t="shared" si="0"/>
        <v/>
      </c>
      <c r="B65" s="13"/>
      <c r="C65" s="14"/>
      <c r="D65" s="6" t="str" cm="1">
        <f t="array" aca="1" ref="D65" ca="1">IF($C65="","",COUNTIF(_xlfn.TAKE(OFFSET($C$11, 0, 0, COUNTA($C$11:$C$110),1),$A65),$C65))</f>
        <v/>
      </c>
      <c r="E65" s="6" t="str">
        <f t="shared" si="1"/>
        <v/>
      </c>
      <c r="F65" s="53" t="b">
        <v>0</v>
      </c>
      <c r="G65" s="6" t="str">
        <f t="shared" si="2"/>
        <v/>
      </c>
      <c r="H65" s="55" t="b">
        <v>0</v>
      </c>
      <c r="I65" s="6" t="str">
        <f t="shared" si="3"/>
        <v/>
      </c>
      <c r="J65" s="55" t="b">
        <v>0</v>
      </c>
      <c r="K65" s="18"/>
    </row>
    <row r="66" spans="1:11" ht="15" x14ac:dyDescent="0.4">
      <c r="A66" s="4" t="str">
        <f t="shared" si="0"/>
        <v/>
      </c>
      <c r="B66" s="13"/>
      <c r="C66" s="14"/>
      <c r="D66" s="6" t="str" cm="1">
        <f t="array" aca="1" ref="D66" ca="1">IF($C66="","",COUNTIF(_xlfn.TAKE(OFFSET($C$11, 0, 0, COUNTA($C$11:$C$110),1),$A66),$C66))</f>
        <v/>
      </c>
      <c r="E66" s="6" t="str">
        <f t="shared" si="1"/>
        <v/>
      </c>
      <c r="F66" s="53" t="b">
        <v>0</v>
      </c>
      <c r="G66" s="6" t="str">
        <f t="shared" si="2"/>
        <v/>
      </c>
      <c r="H66" s="55" t="b">
        <v>0</v>
      </c>
      <c r="I66" s="6" t="str">
        <f t="shared" si="3"/>
        <v/>
      </c>
      <c r="J66" s="55" t="b">
        <v>0</v>
      </c>
      <c r="K66" s="18"/>
    </row>
    <row r="67" spans="1:11" ht="15" x14ac:dyDescent="0.4">
      <c r="A67" s="4" t="str">
        <f t="shared" si="0"/>
        <v/>
      </c>
      <c r="B67" s="13"/>
      <c r="C67" s="14"/>
      <c r="D67" s="6" t="str" cm="1">
        <f t="array" aca="1" ref="D67" ca="1">IF($C67="","",COUNTIF(_xlfn.TAKE(OFFSET($C$11, 0, 0, COUNTA($C$11:$C$110),1),$A67),$C67))</f>
        <v/>
      </c>
      <c r="E67" s="6" t="str">
        <f t="shared" si="1"/>
        <v/>
      </c>
      <c r="F67" s="53" t="b">
        <v>0</v>
      </c>
      <c r="G67" s="6" t="str">
        <f t="shared" si="2"/>
        <v/>
      </c>
      <c r="H67" s="55" t="b">
        <v>0</v>
      </c>
      <c r="I67" s="6" t="str">
        <f t="shared" si="3"/>
        <v/>
      </c>
      <c r="J67" s="55" t="b">
        <v>0</v>
      </c>
      <c r="K67" s="18"/>
    </row>
    <row r="68" spans="1:11" ht="15" x14ac:dyDescent="0.4">
      <c r="A68" s="4" t="str">
        <f t="shared" si="0"/>
        <v/>
      </c>
      <c r="B68" s="13"/>
      <c r="C68" s="14"/>
      <c r="D68" s="6" t="str" cm="1">
        <f t="array" aca="1" ref="D68" ca="1">IF($C68="","",COUNTIF(_xlfn.TAKE(OFFSET($C$11, 0, 0, COUNTA($C$11:$C$110),1),$A68),$C68))</f>
        <v/>
      </c>
      <c r="E68" s="6" t="str">
        <f t="shared" si="1"/>
        <v/>
      </c>
      <c r="F68" s="53" t="b">
        <v>0</v>
      </c>
      <c r="G68" s="6" t="str">
        <f t="shared" si="2"/>
        <v/>
      </c>
      <c r="H68" s="55" t="b">
        <v>0</v>
      </c>
      <c r="I68" s="6" t="str">
        <f t="shared" si="3"/>
        <v/>
      </c>
      <c r="J68" s="55" t="b">
        <v>0</v>
      </c>
      <c r="K68" s="18"/>
    </row>
    <row r="69" spans="1:11" ht="15" x14ac:dyDescent="0.4">
      <c r="A69" s="4" t="str">
        <f t="shared" si="0"/>
        <v/>
      </c>
      <c r="B69" s="13"/>
      <c r="C69" s="14"/>
      <c r="D69" s="6" t="str" cm="1">
        <f t="array" aca="1" ref="D69" ca="1">IF($C69="","",COUNTIF(_xlfn.TAKE(OFFSET($C$11, 0, 0, COUNTA($C$11:$C$110),1),$A69),$C69))</f>
        <v/>
      </c>
      <c r="E69" s="6" t="str">
        <f t="shared" si="1"/>
        <v/>
      </c>
      <c r="F69" s="53" t="b">
        <v>0</v>
      </c>
      <c r="G69" s="6" t="str">
        <f t="shared" si="2"/>
        <v/>
      </c>
      <c r="H69" s="55" t="b">
        <v>0</v>
      </c>
      <c r="I69" s="6" t="str">
        <f t="shared" si="3"/>
        <v/>
      </c>
      <c r="J69" s="55" t="b">
        <v>0</v>
      </c>
      <c r="K69" s="18"/>
    </row>
    <row r="70" spans="1:11" ht="15" x14ac:dyDescent="0.4">
      <c r="A70" s="4" t="str">
        <f t="shared" si="0"/>
        <v/>
      </c>
      <c r="B70" s="13"/>
      <c r="C70" s="14"/>
      <c r="D70" s="6" t="str" cm="1">
        <f t="array" aca="1" ref="D70" ca="1">IF($C70="","",COUNTIF(_xlfn.TAKE(OFFSET($C$11, 0, 0, COUNTA($C$11:$C$110),1),$A70),$C70))</f>
        <v/>
      </c>
      <c r="E70" s="6" t="str">
        <f t="shared" si="1"/>
        <v/>
      </c>
      <c r="F70" s="53" t="b">
        <v>0</v>
      </c>
      <c r="G70" s="6" t="str">
        <f t="shared" si="2"/>
        <v/>
      </c>
      <c r="H70" s="55" t="b">
        <v>0</v>
      </c>
      <c r="I70" s="6" t="str">
        <f t="shared" si="3"/>
        <v/>
      </c>
      <c r="J70" s="55" t="b">
        <v>0</v>
      </c>
      <c r="K70" s="18"/>
    </row>
    <row r="71" spans="1:11" ht="15" x14ac:dyDescent="0.4">
      <c r="A71" s="4" t="str">
        <f t="shared" si="0"/>
        <v/>
      </c>
      <c r="B71" s="13"/>
      <c r="C71" s="14"/>
      <c r="D71" s="6" t="str" cm="1">
        <f t="array" aca="1" ref="D71" ca="1">IF($C71="","",COUNTIF(_xlfn.TAKE(OFFSET($C$11, 0, 0, COUNTA($C$11:$C$110),1),$A71),$C71))</f>
        <v/>
      </c>
      <c r="E71" s="6" t="str">
        <f t="shared" si="1"/>
        <v/>
      </c>
      <c r="F71" s="53" t="b">
        <v>0</v>
      </c>
      <c r="G71" s="6" t="str">
        <f t="shared" si="2"/>
        <v/>
      </c>
      <c r="H71" s="55" t="b">
        <v>0</v>
      </c>
      <c r="I71" s="6" t="str">
        <f t="shared" si="3"/>
        <v/>
      </c>
      <c r="J71" s="55" t="b">
        <v>0</v>
      </c>
      <c r="K71" s="18"/>
    </row>
    <row r="72" spans="1:11" ht="15" x14ac:dyDescent="0.4">
      <c r="A72" s="4" t="str">
        <f t="shared" si="0"/>
        <v/>
      </c>
      <c r="B72" s="13"/>
      <c r="C72" s="14"/>
      <c r="D72" s="6" t="str" cm="1">
        <f t="array" aca="1" ref="D72" ca="1">IF($C72="","",COUNTIF(_xlfn.TAKE(OFFSET($C$11, 0, 0, COUNTA($C$11:$C$110),1),$A72),$C72))</f>
        <v/>
      </c>
      <c r="E72" s="6" t="str">
        <f t="shared" si="1"/>
        <v/>
      </c>
      <c r="F72" s="53" t="b">
        <v>0</v>
      </c>
      <c r="G72" s="6" t="str">
        <f t="shared" si="2"/>
        <v/>
      </c>
      <c r="H72" s="55" t="b">
        <v>0</v>
      </c>
      <c r="I72" s="6" t="str">
        <f t="shared" si="3"/>
        <v/>
      </c>
      <c r="J72" s="55" t="b">
        <v>0</v>
      </c>
      <c r="K72" s="18"/>
    </row>
    <row r="73" spans="1:11" ht="15" x14ac:dyDescent="0.4">
      <c r="A73" s="4" t="str">
        <f t="shared" si="0"/>
        <v/>
      </c>
      <c r="B73" s="13"/>
      <c r="C73" s="14"/>
      <c r="D73" s="6" t="str" cm="1">
        <f t="array" aca="1" ref="D73" ca="1">IF($C73="","",COUNTIF(_xlfn.TAKE(OFFSET($C$11, 0, 0, COUNTA($C$11:$C$110),1),$A73),$C73))</f>
        <v/>
      </c>
      <c r="E73" s="6" t="str">
        <f t="shared" si="1"/>
        <v/>
      </c>
      <c r="F73" s="53" t="b">
        <v>0</v>
      </c>
      <c r="G73" s="6" t="str">
        <f t="shared" si="2"/>
        <v/>
      </c>
      <c r="H73" s="55" t="b">
        <v>0</v>
      </c>
      <c r="I73" s="6" t="str">
        <f t="shared" si="3"/>
        <v/>
      </c>
      <c r="J73" s="55" t="b">
        <v>0</v>
      </c>
      <c r="K73" s="18"/>
    </row>
    <row r="74" spans="1:11" ht="15" x14ac:dyDescent="0.4">
      <c r="A74" s="4" t="str">
        <f t="shared" si="0"/>
        <v/>
      </c>
      <c r="B74" s="13"/>
      <c r="C74" s="14"/>
      <c r="D74" s="6" t="str" cm="1">
        <f t="array" aca="1" ref="D74" ca="1">IF($C74="","",COUNTIF(_xlfn.TAKE(OFFSET($C$11, 0, 0, COUNTA($C$11:$C$110),1),$A74),$C74))</f>
        <v/>
      </c>
      <c r="E74" s="6" t="str">
        <f t="shared" si="1"/>
        <v/>
      </c>
      <c r="F74" s="53" t="b">
        <v>0</v>
      </c>
      <c r="G74" s="6" t="str">
        <f t="shared" si="2"/>
        <v/>
      </c>
      <c r="H74" s="55" t="b">
        <v>0</v>
      </c>
      <c r="I74" s="6" t="str">
        <f t="shared" si="3"/>
        <v/>
      </c>
      <c r="J74" s="55" t="b">
        <v>0</v>
      </c>
      <c r="K74" s="18"/>
    </row>
    <row r="75" spans="1:11" ht="15" x14ac:dyDescent="0.4">
      <c r="A75" s="4" t="str">
        <f t="shared" si="0"/>
        <v/>
      </c>
      <c r="B75" s="13"/>
      <c r="C75" s="14"/>
      <c r="D75" s="6" t="str" cm="1">
        <f t="array" aca="1" ref="D75" ca="1">IF($C75="","",COUNTIF(_xlfn.TAKE(OFFSET($C$11, 0, 0, COUNTA($C$11:$C$110),1),$A75),$C75))</f>
        <v/>
      </c>
      <c r="E75" s="6" t="str">
        <f t="shared" si="1"/>
        <v/>
      </c>
      <c r="F75" s="53" t="b">
        <v>0</v>
      </c>
      <c r="G75" s="6" t="str">
        <f t="shared" si="2"/>
        <v/>
      </c>
      <c r="H75" s="55" t="b">
        <v>0</v>
      </c>
      <c r="I75" s="6" t="str">
        <f t="shared" si="3"/>
        <v/>
      </c>
      <c r="J75" s="55" t="b">
        <v>0</v>
      </c>
      <c r="K75" s="18"/>
    </row>
    <row r="76" spans="1:11" ht="15" x14ac:dyDescent="0.4">
      <c r="A76" s="4" t="str">
        <f t="shared" ref="A76:A110" si="4">IF($B76="","",A75+1)</f>
        <v/>
      </c>
      <c r="B76" s="13"/>
      <c r="C76" s="14"/>
      <c r="D76" s="6" t="str" cm="1">
        <f t="array" aca="1" ref="D76" ca="1">IF($C76="","",COUNTIF(_xlfn.TAKE(OFFSET($C$11, 0, 0, COUNTA($C$11:$C$110),1),$A76),$C76))</f>
        <v/>
      </c>
      <c r="E76" s="6" t="str">
        <f t="shared" ref="E76:E110" si="5">IF($B76="","",IF($F75, 1, $E75+1))</f>
        <v/>
      </c>
      <c r="F76" s="53" t="b">
        <v>0</v>
      </c>
      <c r="G76" s="6" t="str">
        <f t="shared" ref="G76:G110" si="6">IF($B76="","",IF($H75, 1, $G75+1))</f>
        <v/>
      </c>
      <c r="H76" s="55" t="b">
        <v>0</v>
      </c>
      <c r="I76" s="6" t="str">
        <f t="shared" ref="I76:I110" si="7">IF($B76="","",IF($J75, 1,$I75+1))</f>
        <v/>
      </c>
      <c r="J76" s="55" t="b">
        <v>0</v>
      </c>
      <c r="K76" s="18"/>
    </row>
    <row r="77" spans="1:11" ht="15" x14ac:dyDescent="0.4">
      <c r="A77" s="4" t="str">
        <f t="shared" si="4"/>
        <v/>
      </c>
      <c r="B77" s="13"/>
      <c r="C77" s="14"/>
      <c r="D77" s="6" t="str" cm="1">
        <f t="array" aca="1" ref="D77" ca="1">IF($C77="","",COUNTIF(_xlfn.TAKE(OFFSET($C$11, 0, 0, COUNTA($C$11:$C$110),1),$A77),$C77))</f>
        <v/>
      </c>
      <c r="E77" s="6" t="str">
        <f t="shared" si="5"/>
        <v/>
      </c>
      <c r="F77" s="53" t="b">
        <v>0</v>
      </c>
      <c r="G77" s="6" t="str">
        <f t="shared" si="6"/>
        <v/>
      </c>
      <c r="H77" s="55" t="b">
        <v>0</v>
      </c>
      <c r="I77" s="6" t="str">
        <f t="shared" si="7"/>
        <v/>
      </c>
      <c r="J77" s="55" t="b">
        <v>0</v>
      </c>
      <c r="K77" s="18"/>
    </row>
    <row r="78" spans="1:11" ht="15" x14ac:dyDescent="0.4">
      <c r="A78" s="4" t="str">
        <f t="shared" si="4"/>
        <v/>
      </c>
      <c r="B78" s="13"/>
      <c r="C78" s="14"/>
      <c r="D78" s="6" t="str" cm="1">
        <f t="array" aca="1" ref="D78" ca="1">IF($C78="","",COUNTIF(_xlfn.TAKE(OFFSET($C$11, 0, 0, COUNTA($C$11:$C$110),1),$A78),$C78))</f>
        <v/>
      </c>
      <c r="E78" s="6" t="str">
        <f t="shared" si="5"/>
        <v/>
      </c>
      <c r="F78" s="53" t="b">
        <v>0</v>
      </c>
      <c r="G78" s="6" t="str">
        <f t="shared" si="6"/>
        <v/>
      </c>
      <c r="H78" s="55" t="b">
        <v>0</v>
      </c>
      <c r="I78" s="6" t="str">
        <f t="shared" si="7"/>
        <v/>
      </c>
      <c r="J78" s="55" t="b">
        <v>0</v>
      </c>
      <c r="K78" s="18"/>
    </row>
    <row r="79" spans="1:11" ht="15" x14ac:dyDescent="0.4">
      <c r="A79" s="4" t="str">
        <f t="shared" si="4"/>
        <v/>
      </c>
      <c r="B79" s="13"/>
      <c r="C79" s="14"/>
      <c r="D79" s="6" t="str" cm="1">
        <f t="array" aca="1" ref="D79" ca="1">IF($C79="","",COUNTIF(_xlfn.TAKE(OFFSET($C$11, 0, 0, COUNTA($C$11:$C$110),1),$A79),$C79))</f>
        <v/>
      </c>
      <c r="E79" s="6" t="str">
        <f t="shared" si="5"/>
        <v/>
      </c>
      <c r="F79" s="53" t="b">
        <v>0</v>
      </c>
      <c r="G79" s="6" t="str">
        <f t="shared" si="6"/>
        <v/>
      </c>
      <c r="H79" s="55" t="b">
        <v>0</v>
      </c>
      <c r="I79" s="6" t="str">
        <f t="shared" si="7"/>
        <v/>
      </c>
      <c r="J79" s="55" t="b">
        <v>0</v>
      </c>
      <c r="K79" s="18"/>
    </row>
    <row r="80" spans="1:11" ht="15" x14ac:dyDescent="0.4">
      <c r="A80" s="4" t="str">
        <f t="shared" si="4"/>
        <v/>
      </c>
      <c r="B80" s="13"/>
      <c r="C80" s="14"/>
      <c r="D80" s="6" t="str" cm="1">
        <f t="array" aca="1" ref="D80" ca="1">IF($C80="","",COUNTIF(_xlfn.TAKE(OFFSET($C$11, 0, 0, COUNTA($C$11:$C$110),1),$A80),$C80))</f>
        <v/>
      </c>
      <c r="E80" s="6" t="str">
        <f t="shared" si="5"/>
        <v/>
      </c>
      <c r="F80" s="53" t="b">
        <v>0</v>
      </c>
      <c r="G80" s="6" t="str">
        <f t="shared" si="6"/>
        <v/>
      </c>
      <c r="H80" s="55" t="b">
        <v>0</v>
      </c>
      <c r="I80" s="6" t="str">
        <f t="shared" si="7"/>
        <v/>
      </c>
      <c r="J80" s="55" t="b">
        <v>0</v>
      </c>
      <c r="K80" s="18"/>
    </row>
    <row r="81" spans="1:11" ht="15" x14ac:dyDescent="0.4">
      <c r="A81" s="4" t="str">
        <f t="shared" si="4"/>
        <v/>
      </c>
      <c r="B81" s="13"/>
      <c r="C81" s="14"/>
      <c r="D81" s="6" t="str" cm="1">
        <f t="array" aca="1" ref="D81" ca="1">IF($C81="","",COUNTIF(_xlfn.TAKE(OFFSET($C$11, 0, 0, COUNTA($C$11:$C$110),1),$A81),$C81))</f>
        <v/>
      </c>
      <c r="E81" s="6" t="str">
        <f t="shared" si="5"/>
        <v/>
      </c>
      <c r="F81" s="53" t="b">
        <v>0</v>
      </c>
      <c r="G81" s="6" t="str">
        <f t="shared" si="6"/>
        <v/>
      </c>
      <c r="H81" s="55" t="b">
        <v>0</v>
      </c>
      <c r="I81" s="6" t="str">
        <f t="shared" si="7"/>
        <v/>
      </c>
      <c r="J81" s="55" t="b">
        <v>0</v>
      </c>
      <c r="K81" s="18"/>
    </row>
    <row r="82" spans="1:11" ht="15" x14ac:dyDescent="0.4">
      <c r="A82" s="4" t="str">
        <f t="shared" si="4"/>
        <v/>
      </c>
      <c r="B82" s="13"/>
      <c r="C82" s="14"/>
      <c r="D82" s="6" t="str" cm="1">
        <f t="array" aca="1" ref="D82" ca="1">IF($C82="","",COUNTIF(_xlfn.TAKE(OFFSET($C$11, 0, 0, COUNTA($C$11:$C$110),1),$A82),$C82))</f>
        <v/>
      </c>
      <c r="E82" s="6" t="str">
        <f t="shared" si="5"/>
        <v/>
      </c>
      <c r="F82" s="53" t="b">
        <v>0</v>
      </c>
      <c r="G82" s="6" t="str">
        <f t="shared" si="6"/>
        <v/>
      </c>
      <c r="H82" s="55" t="b">
        <v>0</v>
      </c>
      <c r="I82" s="6" t="str">
        <f t="shared" si="7"/>
        <v/>
      </c>
      <c r="J82" s="55" t="b">
        <v>0</v>
      </c>
      <c r="K82" s="18"/>
    </row>
    <row r="83" spans="1:11" ht="15" x14ac:dyDescent="0.4">
      <c r="A83" s="4" t="str">
        <f t="shared" si="4"/>
        <v/>
      </c>
      <c r="B83" s="13"/>
      <c r="C83" s="14"/>
      <c r="D83" s="6" t="str" cm="1">
        <f t="array" aca="1" ref="D83" ca="1">IF($C83="","",COUNTIF(_xlfn.TAKE(OFFSET($C$11, 0, 0, COUNTA($C$11:$C$110),1),$A83),$C83))</f>
        <v/>
      </c>
      <c r="E83" s="6" t="str">
        <f t="shared" si="5"/>
        <v/>
      </c>
      <c r="F83" s="53" t="b">
        <v>0</v>
      </c>
      <c r="G83" s="6" t="str">
        <f t="shared" si="6"/>
        <v/>
      </c>
      <c r="H83" s="55" t="b">
        <v>0</v>
      </c>
      <c r="I83" s="6" t="str">
        <f t="shared" si="7"/>
        <v/>
      </c>
      <c r="J83" s="55" t="b">
        <v>0</v>
      </c>
      <c r="K83" s="18"/>
    </row>
    <row r="84" spans="1:11" ht="15" x14ac:dyDescent="0.4">
      <c r="A84" s="4" t="str">
        <f t="shared" si="4"/>
        <v/>
      </c>
      <c r="B84" s="13"/>
      <c r="C84" s="14"/>
      <c r="D84" s="6" t="str" cm="1">
        <f t="array" aca="1" ref="D84" ca="1">IF($C84="","",COUNTIF(_xlfn.TAKE(OFFSET($C$11, 0, 0, COUNTA($C$11:$C$110),1),$A84),$C84))</f>
        <v/>
      </c>
      <c r="E84" s="6" t="str">
        <f t="shared" si="5"/>
        <v/>
      </c>
      <c r="F84" s="53" t="b">
        <v>0</v>
      </c>
      <c r="G84" s="6" t="str">
        <f t="shared" si="6"/>
        <v/>
      </c>
      <c r="H84" s="55" t="b">
        <v>0</v>
      </c>
      <c r="I84" s="6" t="str">
        <f t="shared" si="7"/>
        <v/>
      </c>
      <c r="J84" s="55" t="b">
        <v>0</v>
      </c>
      <c r="K84" s="18"/>
    </row>
    <row r="85" spans="1:11" ht="15" x14ac:dyDescent="0.4">
      <c r="A85" s="4" t="str">
        <f t="shared" si="4"/>
        <v/>
      </c>
      <c r="B85" s="13"/>
      <c r="C85" s="14"/>
      <c r="D85" s="6" t="str" cm="1">
        <f t="array" aca="1" ref="D85" ca="1">IF($C85="","",COUNTIF(_xlfn.TAKE(OFFSET($C$11, 0, 0, COUNTA($C$11:$C$110),1),$A85),$C85))</f>
        <v/>
      </c>
      <c r="E85" s="6" t="str">
        <f t="shared" si="5"/>
        <v/>
      </c>
      <c r="F85" s="53" t="b">
        <v>0</v>
      </c>
      <c r="G85" s="6" t="str">
        <f t="shared" si="6"/>
        <v/>
      </c>
      <c r="H85" s="55" t="b">
        <v>0</v>
      </c>
      <c r="I85" s="6" t="str">
        <f t="shared" si="7"/>
        <v/>
      </c>
      <c r="J85" s="55" t="b">
        <v>0</v>
      </c>
      <c r="K85" s="18"/>
    </row>
    <row r="86" spans="1:11" ht="15" x14ac:dyDescent="0.4">
      <c r="A86" s="4" t="str">
        <f t="shared" si="4"/>
        <v/>
      </c>
      <c r="B86" s="13"/>
      <c r="C86" s="14"/>
      <c r="D86" s="6" t="str" cm="1">
        <f t="array" aca="1" ref="D86" ca="1">IF($C86="","",COUNTIF(_xlfn.TAKE(OFFSET($C$11, 0, 0, COUNTA($C$11:$C$110),1),$A86),$C86))</f>
        <v/>
      </c>
      <c r="E86" s="6" t="str">
        <f t="shared" si="5"/>
        <v/>
      </c>
      <c r="F86" s="53" t="b">
        <v>0</v>
      </c>
      <c r="G86" s="6" t="str">
        <f t="shared" si="6"/>
        <v/>
      </c>
      <c r="H86" s="55" t="b">
        <v>0</v>
      </c>
      <c r="I86" s="6" t="str">
        <f t="shared" si="7"/>
        <v/>
      </c>
      <c r="J86" s="55" t="b">
        <v>0</v>
      </c>
      <c r="K86" s="18"/>
    </row>
    <row r="87" spans="1:11" ht="15" x14ac:dyDescent="0.4">
      <c r="A87" s="4" t="str">
        <f t="shared" si="4"/>
        <v/>
      </c>
      <c r="B87" s="13"/>
      <c r="C87" s="14"/>
      <c r="D87" s="6" t="str" cm="1">
        <f t="array" aca="1" ref="D87" ca="1">IF($C87="","",COUNTIF(_xlfn.TAKE(OFFSET($C$11, 0, 0, COUNTA($C$11:$C$110),1),$A87),$C87))</f>
        <v/>
      </c>
      <c r="E87" s="6" t="str">
        <f t="shared" si="5"/>
        <v/>
      </c>
      <c r="F87" s="53" t="b">
        <v>0</v>
      </c>
      <c r="G87" s="6" t="str">
        <f t="shared" si="6"/>
        <v/>
      </c>
      <c r="H87" s="55" t="b">
        <v>0</v>
      </c>
      <c r="I87" s="6" t="str">
        <f t="shared" si="7"/>
        <v/>
      </c>
      <c r="J87" s="55" t="b">
        <v>0</v>
      </c>
      <c r="K87" s="18"/>
    </row>
    <row r="88" spans="1:11" ht="15" x14ac:dyDescent="0.4">
      <c r="A88" s="4" t="str">
        <f t="shared" si="4"/>
        <v/>
      </c>
      <c r="B88" s="13"/>
      <c r="C88" s="14"/>
      <c r="D88" s="6" t="str" cm="1">
        <f t="array" aca="1" ref="D88" ca="1">IF($C88="","",COUNTIF(_xlfn.TAKE(OFFSET($C$11, 0, 0, COUNTA($C$11:$C$110),1),$A88),$C88))</f>
        <v/>
      </c>
      <c r="E88" s="6" t="str">
        <f t="shared" si="5"/>
        <v/>
      </c>
      <c r="F88" s="53" t="b">
        <v>0</v>
      </c>
      <c r="G88" s="6" t="str">
        <f t="shared" si="6"/>
        <v/>
      </c>
      <c r="H88" s="55" t="b">
        <v>0</v>
      </c>
      <c r="I88" s="6" t="str">
        <f t="shared" si="7"/>
        <v/>
      </c>
      <c r="J88" s="55" t="b">
        <v>0</v>
      </c>
      <c r="K88" s="18"/>
    </row>
    <row r="89" spans="1:11" ht="15" x14ac:dyDescent="0.4">
      <c r="A89" s="4" t="str">
        <f t="shared" si="4"/>
        <v/>
      </c>
      <c r="B89" s="13"/>
      <c r="C89" s="14"/>
      <c r="D89" s="6" t="str" cm="1">
        <f t="array" aca="1" ref="D89" ca="1">IF($C89="","",COUNTIF(_xlfn.TAKE(OFFSET($C$11, 0, 0, COUNTA($C$11:$C$110),1),$A89),$C89))</f>
        <v/>
      </c>
      <c r="E89" s="6" t="str">
        <f t="shared" si="5"/>
        <v/>
      </c>
      <c r="F89" s="53" t="b">
        <v>0</v>
      </c>
      <c r="G89" s="6" t="str">
        <f t="shared" si="6"/>
        <v/>
      </c>
      <c r="H89" s="55" t="b">
        <v>0</v>
      </c>
      <c r="I89" s="6" t="str">
        <f t="shared" si="7"/>
        <v/>
      </c>
      <c r="J89" s="55" t="b">
        <v>0</v>
      </c>
      <c r="K89" s="18"/>
    </row>
    <row r="90" spans="1:11" ht="15" x14ac:dyDescent="0.4">
      <c r="A90" s="4" t="str">
        <f t="shared" si="4"/>
        <v/>
      </c>
      <c r="B90" s="13"/>
      <c r="C90" s="14"/>
      <c r="D90" s="6" t="str" cm="1">
        <f t="array" aca="1" ref="D90" ca="1">IF($C90="","",COUNTIF(_xlfn.TAKE(OFFSET($C$11, 0, 0, COUNTA($C$11:$C$110),1),$A90),$C90))</f>
        <v/>
      </c>
      <c r="E90" s="6" t="str">
        <f t="shared" si="5"/>
        <v/>
      </c>
      <c r="F90" s="53" t="b">
        <v>0</v>
      </c>
      <c r="G90" s="6" t="str">
        <f t="shared" si="6"/>
        <v/>
      </c>
      <c r="H90" s="55" t="b">
        <v>0</v>
      </c>
      <c r="I90" s="6" t="str">
        <f t="shared" si="7"/>
        <v/>
      </c>
      <c r="J90" s="55" t="b">
        <v>0</v>
      </c>
      <c r="K90" s="18"/>
    </row>
    <row r="91" spans="1:11" ht="15" x14ac:dyDescent="0.4">
      <c r="A91" s="4" t="str">
        <f t="shared" si="4"/>
        <v/>
      </c>
      <c r="B91" s="13"/>
      <c r="C91" s="14"/>
      <c r="D91" s="6" t="str" cm="1">
        <f t="array" aca="1" ref="D91" ca="1">IF($C91="","",COUNTIF(_xlfn.TAKE(OFFSET($C$11, 0, 0, COUNTA($C$11:$C$110),1),$A91),$C91))</f>
        <v/>
      </c>
      <c r="E91" s="6" t="str">
        <f t="shared" si="5"/>
        <v/>
      </c>
      <c r="F91" s="53" t="b">
        <v>0</v>
      </c>
      <c r="G91" s="6" t="str">
        <f t="shared" si="6"/>
        <v/>
      </c>
      <c r="H91" s="55" t="b">
        <v>0</v>
      </c>
      <c r="I91" s="6" t="str">
        <f t="shared" si="7"/>
        <v/>
      </c>
      <c r="J91" s="55" t="b">
        <v>0</v>
      </c>
      <c r="K91" s="18"/>
    </row>
    <row r="92" spans="1:11" ht="15" x14ac:dyDescent="0.4">
      <c r="A92" s="4" t="str">
        <f t="shared" si="4"/>
        <v/>
      </c>
      <c r="B92" s="13"/>
      <c r="C92" s="14"/>
      <c r="D92" s="6" t="str" cm="1">
        <f t="array" aca="1" ref="D92" ca="1">IF($C92="","",COUNTIF(_xlfn.TAKE(OFFSET($C$11, 0, 0, COUNTA($C$11:$C$110),1),$A92),$C92))</f>
        <v/>
      </c>
      <c r="E92" s="6" t="str">
        <f t="shared" si="5"/>
        <v/>
      </c>
      <c r="F92" s="53" t="b">
        <v>0</v>
      </c>
      <c r="G92" s="6" t="str">
        <f t="shared" si="6"/>
        <v/>
      </c>
      <c r="H92" s="55" t="b">
        <v>0</v>
      </c>
      <c r="I92" s="6" t="str">
        <f t="shared" si="7"/>
        <v/>
      </c>
      <c r="J92" s="55" t="b">
        <v>0</v>
      </c>
      <c r="K92" s="18"/>
    </row>
    <row r="93" spans="1:11" ht="15" x14ac:dyDescent="0.4">
      <c r="A93" s="4" t="str">
        <f t="shared" si="4"/>
        <v/>
      </c>
      <c r="B93" s="13"/>
      <c r="C93" s="14"/>
      <c r="D93" s="6" t="str" cm="1">
        <f t="array" aca="1" ref="D93" ca="1">IF($C93="","",COUNTIF(_xlfn.TAKE(OFFSET($C$11, 0, 0, COUNTA($C$11:$C$110),1),$A93),$C93))</f>
        <v/>
      </c>
      <c r="E93" s="6" t="str">
        <f t="shared" si="5"/>
        <v/>
      </c>
      <c r="F93" s="53" t="b">
        <v>0</v>
      </c>
      <c r="G93" s="6" t="str">
        <f t="shared" si="6"/>
        <v/>
      </c>
      <c r="H93" s="55" t="b">
        <v>0</v>
      </c>
      <c r="I93" s="6" t="str">
        <f t="shared" si="7"/>
        <v/>
      </c>
      <c r="J93" s="55" t="b">
        <v>0</v>
      </c>
      <c r="K93" s="18"/>
    </row>
    <row r="94" spans="1:11" ht="15" x14ac:dyDescent="0.4">
      <c r="A94" s="4" t="str">
        <f t="shared" si="4"/>
        <v/>
      </c>
      <c r="B94" s="13"/>
      <c r="C94" s="14"/>
      <c r="D94" s="6" t="str" cm="1">
        <f t="array" aca="1" ref="D94" ca="1">IF($C94="","",COUNTIF(_xlfn.TAKE(OFFSET($C$11, 0, 0, COUNTA($C$11:$C$110),1),$A94),$C94))</f>
        <v/>
      </c>
      <c r="E94" s="6" t="str">
        <f t="shared" si="5"/>
        <v/>
      </c>
      <c r="F94" s="53" t="b">
        <v>0</v>
      </c>
      <c r="G94" s="6" t="str">
        <f t="shared" si="6"/>
        <v/>
      </c>
      <c r="H94" s="55" t="b">
        <v>0</v>
      </c>
      <c r="I94" s="6" t="str">
        <f t="shared" si="7"/>
        <v/>
      </c>
      <c r="J94" s="55" t="b">
        <v>0</v>
      </c>
      <c r="K94" s="18"/>
    </row>
    <row r="95" spans="1:11" ht="15" x14ac:dyDescent="0.4">
      <c r="A95" s="4" t="str">
        <f t="shared" si="4"/>
        <v/>
      </c>
      <c r="B95" s="13"/>
      <c r="C95" s="14"/>
      <c r="D95" s="6" t="str" cm="1">
        <f t="array" aca="1" ref="D95" ca="1">IF($C95="","",COUNTIF(_xlfn.TAKE(OFFSET($C$11, 0, 0, COUNTA($C$11:$C$110),1),$A95),$C95))</f>
        <v/>
      </c>
      <c r="E95" s="6" t="str">
        <f t="shared" si="5"/>
        <v/>
      </c>
      <c r="F95" s="53" t="b">
        <v>0</v>
      </c>
      <c r="G95" s="6" t="str">
        <f t="shared" si="6"/>
        <v/>
      </c>
      <c r="H95" s="55" t="b">
        <v>0</v>
      </c>
      <c r="I95" s="6" t="str">
        <f t="shared" si="7"/>
        <v/>
      </c>
      <c r="J95" s="55" t="b">
        <v>0</v>
      </c>
      <c r="K95" s="18"/>
    </row>
    <row r="96" spans="1:11" ht="15" x14ac:dyDescent="0.4">
      <c r="A96" s="4" t="str">
        <f t="shared" si="4"/>
        <v/>
      </c>
      <c r="B96" s="13"/>
      <c r="C96" s="14"/>
      <c r="D96" s="6" t="str" cm="1">
        <f t="array" aca="1" ref="D96" ca="1">IF($C96="","",COUNTIF(_xlfn.TAKE(OFFSET($C$11, 0, 0, COUNTA($C$11:$C$110),1),$A96),$C96))</f>
        <v/>
      </c>
      <c r="E96" s="6" t="str">
        <f t="shared" si="5"/>
        <v/>
      </c>
      <c r="F96" s="53" t="b">
        <v>0</v>
      </c>
      <c r="G96" s="6" t="str">
        <f t="shared" si="6"/>
        <v/>
      </c>
      <c r="H96" s="55" t="b">
        <v>0</v>
      </c>
      <c r="I96" s="6" t="str">
        <f t="shared" si="7"/>
        <v/>
      </c>
      <c r="J96" s="55" t="b">
        <v>0</v>
      </c>
      <c r="K96" s="18"/>
    </row>
    <row r="97" spans="1:11" ht="15" x14ac:dyDescent="0.4">
      <c r="A97" s="4" t="str">
        <f t="shared" si="4"/>
        <v/>
      </c>
      <c r="B97" s="13"/>
      <c r="C97" s="14"/>
      <c r="D97" s="6" t="str" cm="1">
        <f t="array" aca="1" ref="D97" ca="1">IF($C97="","",COUNTIF(_xlfn.TAKE(OFFSET($C$11, 0, 0, COUNTA($C$11:$C$110),1),$A97),$C97))</f>
        <v/>
      </c>
      <c r="E97" s="6" t="str">
        <f t="shared" si="5"/>
        <v/>
      </c>
      <c r="F97" s="53" t="b">
        <v>0</v>
      </c>
      <c r="G97" s="6" t="str">
        <f t="shared" si="6"/>
        <v/>
      </c>
      <c r="H97" s="55" t="b">
        <v>0</v>
      </c>
      <c r="I97" s="6" t="str">
        <f t="shared" si="7"/>
        <v/>
      </c>
      <c r="J97" s="55" t="b">
        <v>0</v>
      </c>
      <c r="K97" s="18"/>
    </row>
    <row r="98" spans="1:11" ht="15" x14ac:dyDescent="0.4">
      <c r="A98" s="4" t="str">
        <f t="shared" si="4"/>
        <v/>
      </c>
      <c r="B98" s="13"/>
      <c r="C98" s="14"/>
      <c r="D98" s="6" t="str" cm="1">
        <f t="array" aca="1" ref="D98" ca="1">IF($C98="","",COUNTIF(_xlfn.TAKE(OFFSET($C$11, 0, 0, COUNTA($C$11:$C$110),1),$A98),$C98))</f>
        <v/>
      </c>
      <c r="E98" s="6" t="str">
        <f t="shared" si="5"/>
        <v/>
      </c>
      <c r="F98" s="53" t="b">
        <v>0</v>
      </c>
      <c r="G98" s="6" t="str">
        <f t="shared" si="6"/>
        <v/>
      </c>
      <c r="H98" s="55" t="b">
        <v>0</v>
      </c>
      <c r="I98" s="6" t="str">
        <f t="shared" si="7"/>
        <v/>
      </c>
      <c r="J98" s="55" t="b">
        <v>0</v>
      </c>
      <c r="K98" s="18"/>
    </row>
    <row r="99" spans="1:11" ht="15" x14ac:dyDescent="0.4">
      <c r="A99" s="4" t="str">
        <f t="shared" si="4"/>
        <v/>
      </c>
      <c r="B99" s="13"/>
      <c r="C99" s="14"/>
      <c r="D99" s="6" t="str" cm="1">
        <f t="array" aca="1" ref="D99" ca="1">IF($C99="","",COUNTIF(_xlfn.TAKE(OFFSET($C$11, 0, 0, COUNTA($C$11:$C$110),1),$A99),$C99))</f>
        <v/>
      </c>
      <c r="E99" s="6" t="str">
        <f t="shared" si="5"/>
        <v/>
      </c>
      <c r="F99" s="53" t="b">
        <v>0</v>
      </c>
      <c r="G99" s="6" t="str">
        <f t="shared" si="6"/>
        <v/>
      </c>
      <c r="H99" s="55" t="b">
        <v>0</v>
      </c>
      <c r="I99" s="6" t="str">
        <f t="shared" si="7"/>
        <v/>
      </c>
      <c r="J99" s="55" t="b">
        <v>0</v>
      </c>
      <c r="K99" s="18"/>
    </row>
    <row r="100" spans="1:11" ht="15" x14ac:dyDescent="0.4">
      <c r="A100" s="4" t="str">
        <f t="shared" si="4"/>
        <v/>
      </c>
      <c r="B100" s="13"/>
      <c r="C100" s="14"/>
      <c r="D100" s="6" t="str" cm="1">
        <f t="array" aca="1" ref="D100" ca="1">IF($C100="","",COUNTIF(_xlfn.TAKE(OFFSET($C$11, 0, 0, COUNTA($C$11:$C$110),1),$A100),$C100))</f>
        <v/>
      </c>
      <c r="E100" s="6" t="str">
        <f t="shared" si="5"/>
        <v/>
      </c>
      <c r="F100" s="53" t="b">
        <v>0</v>
      </c>
      <c r="G100" s="6" t="str">
        <f t="shared" si="6"/>
        <v/>
      </c>
      <c r="H100" s="55" t="b">
        <v>0</v>
      </c>
      <c r="I100" s="6" t="str">
        <f t="shared" si="7"/>
        <v/>
      </c>
      <c r="J100" s="55" t="b">
        <v>0</v>
      </c>
      <c r="K100" s="18"/>
    </row>
    <row r="101" spans="1:11" ht="15" x14ac:dyDescent="0.4">
      <c r="A101" s="4" t="str">
        <f t="shared" si="4"/>
        <v/>
      </c>
      <c r="B101" s="13"/>
      <c r="C101" s="14"/>
      <c r="D101" s="6" t="str" cm="1">
        <f t="array" aca="1" ref="D101" ca="1">IF($C101="","",COUNTIF(_xlfn.TAKE(OFFSET($C$11, 0, 0, COUNTA($C$11:$C$110),1),$A101),$C101))</f>
        <v/>
      </c>
      <c r="E101" s="6" t="str">
        <f t="shared" si="5"/>
        <v/>
      </c>
      <c r="F101" s="53" t="b">
        <v>0</v>
      </c>
      <c r="G101" s="6" t="str">
        <f t="shared" si="6"/>
        <v/>
      </c>
      <c r="H101" s="55" t="b">
        <v>0</v>
      </c>
      <c r="I101" s="6" t="str">
        <f t="shared" si="7"/>
        <v/>
      </c>
      <c r="J101" s="55" t="b">
        <v>0</v>
      </c>
      <c r="K101" s="18"/>
    </row>
    <row r="102" spans="1:11" ht="15" x14ac:dyDescent="0.4">
      <c r="A102" s="4" t="str">
        <f t="shared" si="4"/>
        <v/>
      </c>
      <c r="B102" s="13"/>
      <c r="C102" s="14"/>
      <c r="D102" s="6" t="str" cm="1">
        <f t="array" aca="1" ref="D102" ca="1">IF($C102="","",COUNTIF(_xlfn.TAKE(OFFSET($C$11, 0, 0, COUNTA($C$11:$C$110),1),$A102),$C102))</f>
        <v/>
      </c>
      <c r="E102" s="6" t="str">
        <f t="shared" si="5"/>
        <v/>
      </c>
      <c r="F102" s="53" t="b">
        <v>0</v>
      </c>
      <c r="G102" s="6" t="str">
        <f t="shared" si="6"/>
        <v/>
      </c>
      <c r="H102" s="55" t="b">
        <v>0</v>
      </c>
      <c r="I102" s="6" t="str">
        <f t="shared" si="7"/>
        <v/>
      </c>
      <c r="J102" s="55" t="b">
        <v>0</v>
      </c>
      <c r="K102" s="18"/>
    </row>
    <row r="103" spans="1:11" ht="15" x14ac:dyDescent="0.4">
      <c r="A103" s="4" t="str">
        <f t="shared" si="4"/>
        <v/>
      </c>
      <c r="B103" s="13"/>
      <c r="C103" s="14"/>
      <c r="D103" s="6" t="str" cm="1">
        <f t="array" aca="1" ref="D103" ca="1">IF($C103="","",COUNTIF(_xlfn.TAKE(OFFSET($C$11, 0, 0, COUNTA($C$11:$C$110),1),$A103),$C103))</f>
        <v/>
      </c>
      <c r="E103" s="6" t="str">
        <f t="shared" si="5"/>
        <v/>
      </c>
      <c r="F103" s="53" t="b">
        <v>0</v>
      </c>
      <c r="G103" s="6" t="str">
        <f t="shared" si="6"/>
        <v/>
      </c>
      <c r="H103" s="55" t="b">
        <v>0</v>
      </c>
      <c r="I103" s="6" t="str">
        <f t="shared" si="7"/>
        <v/>
      </c>
      <c r="J103" s="55" t="b">
        <v>0</v>
      </c>
      <c r="K103" s="18"/>
    </row>
    <row r="104" spans="1:11" ht="15" x14ac:dyDescent="0.4">
      <c r="A104" s="4" t="str">
        <f t="shared" si="4"/>
        <v/>
      </c>
      <c r="B104" s="13"/>
      <c r="C104" s="14"/>
      <c r="D104" s="6" t="str" cm="1">
        <f t="array" aca="1" ref="D104" ca="1">IF($C104="","",COUNTIF(_xlfn.TAKE(OFFSET($C$11, 0, 0, COUNTA($C$11:$C$110),1),$A104),$C104))</f>
        <v/>
      </c>
      <c r="E104" s="6" t="str">
        <f t="shared" si="5"/>
        <v/>
      </c>
      <c r="F104" s="53" t="b">
        <v>0</v>
      </c>
      <c r="G104" s="6" t="str">
        <f t="shared" si="6"/>
        <v/>
      </c>
      <c r="H104" s="55" t="b">
        <v>0</v>
      </c>
      <c r="I104" s="6" t="str">
        <f t="shared" si="7"/>
        <v/>
      </c>
      <c r="J104" s="55" t="b">
        <v>0</v>
      </c>
      <c r="K104" s="18"/>
    </row>
    <row r="105" spans="1:11" ht="15" x14ac:dyDescent="0.4">
      <c r="A105" s="4" t="str">
        <f t="shared" si="4"/>
        <v/>
      </c>
      <c r="B105" s="13"/>
      <c r="C105" s="14"/>
      <c r="D105" s="6" t="str" cm="1">
        <f t="array" aca="1" ref="D105" ca="1">IF($C105="","",COUNTIF(_xlfn.TAKE(OFFSET($C$11, 0, 0, COUNTA($C$11:$C$110),1),$A105),$C105))</f>
        <v/>
      </c>
      <c r="E105" s="6" t="str">
        <f t="shared" si="5"/>
        <v/>
      </c>
      <c r="F105" s="53" t="b">
        <v>0</v>
      </c>
      <c r="G105" s="6" t="str">
        <f t="shared" si="6"/>
        <v/>
      </c>
      <c r="H105" s="55" t="b">
        <v>0</v>
      </c>
      <c r="I105" s="6" t="str">
        <f t="shared" si="7"/>
        <v/>
      </c>
      <c r="J105" s="55" t="b">
        <v>0</v>
      </c>
      <c r="K105" s="18"/>
    </row>
    <row r="106" spans="1:11" ht="15" x14ac:dyDescent="0.4">
      <c r="A106" s="4" t="str">
        <f t="shared" si="4"/>
        <v/>
      </c>
      <c r="B106" s="13"/>
      <c r="C106" s="14"/>
      <c r="D106" s="6" t="str" cm="1">
        <f t="array" aca="1" ref="D106" ca="1">IF($C106="","",COUNTIF(_xlfn.TAKE(OFFSET($C$11, 0, 0, COUNTA($C$11:$C$110),1),$A106),$C106))</f>
        <v/>
      </c>
      <c r="E106" s="6" t="str">
        <f t="shared" si="5"/>
        <v/>
      </c>
      <c r="F106" s="53" t="b">
        <v>0</v>
      </c>
      <c r="G106" s="6" t="str">
        <f t="shared" si="6"/>
        <v/>
      </c>
      <c r="H106" s="55" t="b">
        <v>0</v>
      </c>
      <c r="I106" s="6" t="str">
        <f t="shared" si="7"/>
        <v/>
      </c>
      <c r="J106" s="55" t="b">
        <v>0</v>
      </c>
      <c r="K106" s="18"/>
    </row>
    <row r="107" spans="1:11" ht="15" x14ac:dyDescent="0.4">
      <c r="A107" s="4" t="str">
        <f t="shared" si="4"/>
        <v/>
      </c>
      <c r="B107" s="13"/>
      <c r="C107" s="14"/>
      <c r="D107" s="6" t="str" cm="1">
        <f t="array" aca="1" ref="D107" ca="1">IF($C107="","",COUNTIF(_xlfn.TAKE(OFFSET($C$11, 0, 0, COUNTA($C$11:$C$110),1),$A107),$C107))</f>
        <v/>
      </c>
      <c r="E107" s="6" t="str">
        <f t="shared" si="5"/>
        <v/>
      </c>
      <c r="F107" s="53" t="b">
        <v>0</v>
      </c>
      <c r="G107" s="6" t="str">
        <f t="shared" si="6"/>
        <v/>
      </c>
      <c r="H107" s="55" t="b">
        <v>0</v>
      </c>
      <c r="I107" s="6" t="str">
        <f t="shared" si="7"/>
        <v/>
      </c>
      <c r="J107" s="55" t="b">
        <v>0</v>
      </c>
      <c r="K107" s="18"/>
    </row>
    <row r="108" spans="1:11" ht="15" x14ac:dyDescent="0.4">
      <c r="A108" s="4" t="str">
        <f t="shared" si="4"/>
        <v/>
      </c>
      <c r="B108" s="13"/>
      <c r="C108" s="14"/>
      <c r="D108" s="6" t="str" cm="1">
        <f t="array" aca="1" ref="D108" ca="1">IF($C108="","",COUNTIF(_xlfn.TAKE(OFFSET($C$11, 0, 0, COUNTA($C$11:$C$110),1),$A108),$C108))</f>
        <v/>
      </c>
      <c r="E108" s="6" t="str">
        <f t="shared" si="5"/>
        <v/>
      </c>
      <c r="F108" s="53" t="b">
        <v>0</v>
      </c>
      <c r="G108" s="6" t="str">
        <f t="shared" si="6"/>
        <v/>
      </c>
      <c r="H108" s="55" t="b">
        <v>0</v>
      </c>
      <c r="I108" s="6" t="str">
        <f t="shared" si="7"/>
        <v/>
      </c>
      <c r="J108" s="55" t="b">
        <v>0</v>
      </c>
      <c r="K108" s="18"/>
    </row>
    <row r="109" spans="1:11" ht="15" x14ac:dyDescent="0.4">
      <c r="A109" s="4" t="str">
        <f t="shared" si="4"/>
        <v/>
      </c>
      <c r="B109" s="13"/>
      <c r="C109" s="14"/>
      <c r="D109" s="6" t="str" cm="1">
        <f t="array" aca="1" ref="D109" ca="1">IF($C109="","",COUNTIF(_xlfn.TAKE(OFFSET($C$11, 0, 0, COUNTA($C$11:$C$110),1),$A109),$C109))</f>
        <v/>
      </c>
      <c r="E109" s="6" t="str">
        <f t="shared" si="5"/>
        <v/>
      </c>
      <c r="F109" s="53" t="b">
        <v>0</v>
      </c>
      <c r="G109" s="6" t="str">
        <f t="shared" si="6"/>
        <v/>
      </c>
      <c r="H109" s="55" t="b">
        <v>0</v>
      </c>
      <c r="I109" s="6" t="str">
        <f t="shared" si="7"/>
        <v/>
      </c>
      <c r="J109" s="55" t="b">
        <v>0</v>
      </c>
      <c r="K109" s="18"/>
    </row>
    <row r="110" spans="1:11" ht="15.5" thickBot="1" x14ac:dyDescent="0.45">
      <c r="A110" s="28" t="str">
        <f t="shared" si="4"/>
        <v/>
      </c>
      <c r="B110" s="15"/>
      <c r="C110" s="16"/>
      <c r="D110" s="10" t="str" cm="1">
        <f t="array" aca="1" ref="D110" ca="1">IF($C110="","",COUNTIF(_xlfn.TAKE(OFFSET($C$11, 0, 0, COUNTA($C$11:$C$110),1),$A110),$C110))</f>
        <v/>
      </c>
      <c r="E110" s="10" t="str">
        <f t="shared" si="5"/>
        <v/>
      </c>
      <c r="F110" s="54" t="b">
        <v>0</v>
      </c>
      <c r="G110" s="10" t="str">
        <f t="shared" si="6"/>
        <v/>
      </c>
      <c r="H110" s="56" t="b">
        <v>0</v>
      </c>
      <c r="I110" s="10" t="str">
        <f t="shared" si="7"/>
        <v/>
      </c>
      <c r="J110" s="56" t="b">
        <v>0</v>
      </c>
      <c r="K110" s="19"/>
    </row>
  </sheetData>
  <sheetProtection sheet="1" objects="1" scenarios="1"/>
  <mergeCells count="10">
    <mergeCell ref="A1:C1"/>
    <mergeCell ref="A2:C2"/>
    <mergeCell ref="B4:C4"/>
    <mergeCell ref="E8:F8"/>
    <mergeCell ref="I8:J8"/>
    <mergeCell ref="A8:A9"/>
    <mergeCell ref="B8:B9"/>
    <mergeCell ref="C8:C9"/>
    <mergeCell ref="D8:D9"/>
    <mergeCell ref="G8:H8"/>
  </mergeCells>
  <dataValidations count="1">
    <dataValidation type="list" showErrorMessage="1" sqref="C11:C110" xr:uid="{0A55CF52-4F41-451A-965C-BDEE6C2DE578}">
      <formula1>ResortNames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24E57-A98F-45B4-91ED-070D2113C2FF}">
  <sheetPr codeName="SheetSeason2024_2025"/>
  <dimension ref="A1:Z121"/>
  <sheetViews>
    <sheetView workbookViewId="0">
      <selection activeCell="D14" sqref="D14"/>
    </sheetView>
  </sheetViews>
  <sheetFormatPr defaultRowHeight="14.5" x14ac:dyDescent="0.35"/>
  <cols>
    <col min="1" max="1" width="5.54296875" customWidth="1"/>
    <col min="2" max="2" width="18.54296875" style="1" customWidth="1"/>
    <col min="3" max="3" width="25.54296875" customWidth="1"/>
    <col min="4" max="6" width="8.54296875" customWidth="1"/>
    <col min="7" max="7" width="23.6328125" customWidth="1"/>
    <col min="8" max="8" width="10.453125" customWidth="1"/>
    <col min="9" max="9" width="10.90625" customWidth="1"/>
    <col min="10" max="10" width="9.6328125" customWidth="1"/>
    <col min="11" max="11" width="10.08984375" customWidth="1"/>
    <col min="12" max="12" width="10.54296875" customWidth="1"/>
    <col min="13" max="13" width="11" customWidth="1"/>
    <col min="14" max="14" width="10.36328125" customWidth="1"/>
    <col min="15" max="15" width="10.81640625" customWidth="1"/>
    <col min="16" max="16" width="9.54296875" customWidth="1"/>
    <col min="17" max="17" width="10" customWidth="1"/>
    <col min="18" max="18" width="10.453125" customWidth="1"/>
    <col min="19" max="19" width="10.90625" customWidth="1"/>
    <col min="20" max="20" width="10.36328125" customWidth="1"/>
    <col min="21" max="21" width="10.81640625" customWidth="1"/>
    <col min="22" max="22" width="9.54296875" customWidth="1"/>
    <col min="23" max="23" width="10" customWidth="1"/>
    <col min="24" max="24" width="10.453125" customWidth="1"/>
    <col min="25" max="25" width="10.90625" customWidth="1"/>
    <col min="26" max="26" width="50.54296875" customWidth="1"/>
  </cols>
  <sheetData>
    <row r="1" spans="1:26" ht="18.5" x14ac:dyDescent="0.45">
      <c r="A1" s="158" t="str">
        <f>c_WORKBOOK_TITLE</f>
        <v>Bob's Ski Days</v>
      </c>
      <c r="B1" s="158"/>
      <c r="C1" s="158"/>
    </row>
    <row r="2" spans="1:26" ht="18.5" x14ac:dyDescent="0.45">
      <c r="A2" s="146" t="str" cm="1">
        <f t="array" aca="1" ref="A2" ca="1">fn_GET_WS_NAME($A$1)</f>
        <v>2024-2025</v>
      </c>
      <c r="B2" s="146"/>
      <c r="C2" s="146"/>
    </row>
    <row r="3" spans="1:26" ht="19" thickBot="1" x14ac:dyDescent="0.5">
      <c r="A3" s="9"/>
      <c r="B3" s="2"/>
      <c r="C3" s="1"/>
    </row>
    <row r="4" spans="1:26" ht="16" customHeight="1" thickBot="1" x14ac:dyDescent="0.45">
      <c r="B4" s="50" t="s">
        <v>22</v>
      </c>
      <c r="C4" s="51"/>
      <c r="D4" s="51"/>
      <c r="E4" s="51"/>
      <c r="F4" s="51"/>
      <c r="G4" s="52"/>
    </row>
    <row r="5" spans="1:26" ht="16" customHeight="1" x14ac:dyDescent="0.35">
      <c r="B5" s="177" t="s">
        <v>21</v>
      </c>
      <c r="C5" s="177" t="s">
        <v>46</v>
      </c>
      <c r="D5" s="179" t="s">
        <v>44</v>
      </c>
      <c r="E5" s="180"/>
      <c r="F5" s="179" t="s">
        <v>45</v>
      </c>
      <c r="G5" s="180"/>
      <c r="H5" s="185"/>
      <c r="I5" s="185"/>
    </row>
    <row r="6" spans="1:26" s="8" customFormat="1" ht="15" thickBot="1" x14ac:dyDescent="0.4">
      <c r="B6" s="178"/>
      <c r="C6" s="178"/>
      <c r="D6" s="21" t="s">
        <v>47</v>
      </c>
      <c r="E6" s="44" t="s">
        <v>48</v>
      </c>
      <c r="F6" s="43" t="s">
        <v>47</v>
      </c>
      <c r="G6" s="44" t="s">
        <v>48</v>
      </c>
      <c r="H6" s="185"/>
      <c r="I6" s="185"/>
    </row>
    <row r="7" spans="1:26" s="8" customFormat="1" ht="16.5" thickBot="1" x14ac:dyDescent="0.45">
      <c r="A7" s="20"/>
      <c r="B7" s="45">
        <f ca="1">COUNT(OFFSET($B$14, 0, 0, COUNTA($B$14:$B$113),1))</f>
        <v>51</v>
      </c>
      <c r="C7" s="45" cm="1">
        <f t="array" aca="1" ref="C7" ca="1">IFERROR(SUMPRODUCT(1/COUNTIF(OFFSET($C$14, 0, 0, COUNTA($C$14:$C$113),1),OFFSET($C$14, 0, 0, COUNTA($C$14:$C$113),1))),"")</f>
        <v>10.999999999999998</v>
      </c>
      <c r="D7" s="46">
        <f>SUM($E$14:$E113)</f>
        <v>385350</v>
      </c>
      <c r="E7" s="47">
        <f>IFERROR($D$7/COUNTA($E$14:$E113),"_")</f>
        <v>8028.125</v>
      </c>
      <c r="F7" s="46">
        <f>SUM($F$14:$F122)</f>
        <v>65111</v>
      </c>
      <c r="G7" s="47">
        <f>IFERROR(F7/COUNTA($F$14:$F122),"_")</f>
        <v>1356.4791666666667</v>
      </c>
      <c r="H7" s="42"/>
      <c r="I7" s="42"/>
    </row>
    <row r="8" spans="1:26" ht="15" thickBot="1" x14ac:dyDescent="0.4"/>
    <row r="9" spans="1:26" ht="15" thickBot="1" x14ac:dyDescent="0.4">
      <c r="A9" s="160" t="s">
        <v>0</v>
      </c>
      <c r="B9" s="163" t="s">
        <v>1</v>
      </c>
      <c r="C9" s="147" t="s">
        <v>2</v>
      </c>
      <c r="D9" s="168" t="s">
        <v>18</v>
      </c>
      <c r="E9" s="156" t="s">
        <v>44</v>
      </c>
      <c r="F9" s="156" t="s">
        <v>45</v>
      </c>
      <c r="G9" s="168" t="s">
        <v>49</v>
      </c>
      <c r="H9" s="154" t="s">
        <v>43</v>
      </c>
      <c r="I9" s="154"/>
      <c r="J9" s="154"/>
      <c r="K9" s="154"/>
      <c r="L9" s="154"/>
      <c r="M9" s="154"/>
      <c r="N9" s="154"/>
      <c r="O9" s="154"/>
      <c r="P9" s="154"/>
      <c r="Q9" s="154"/>
      <c r="R9" s="154"/>
      <c r="S9" s="154"/>
      <c r="T9" s="154"/>
      <c r="U9" s="154"/>
      <c r="V9" s="154"/>
      <c r="W9" s="154"/>
      <c r="X9" s="154"/>
      <c r="Y9" s="159"/>
      <c r="Z9" s="181" t="s">
        <v>15</v>
      </c>
    </row>
    <row r="10" spans="1:26" ht="14.5" customHeight="1" x14ac:dyDescent="0.35">
      <c r="A10" s="161"/>
      <c r="B10" s="164"/>
      <c r="C10" s="166"/>
      <c r="D10" s="169"/>
      <c r="E10" s="176"/>
      <c r="F10" s="176"/>
      <c r="G10" s="171"/>
      <c r="H10" s="160" t="str">
        <f>Skis!B5</f>
        <v>Stöckli Montero AS</v>
      </c>
      <c r="I10" s="147"/>
      <c r="J10" s="147"/>
      <c r="K10" s="147"/>
      <c r="L10" s="147"/>
      <c r="M10" s="184"/>
      <c r="N10" s="160" t="str">
        <f>Skis!B6</f>
        <v>Rossignal Sin 7</v>
      </c>
      <c r="O10" s="147"/>
      <c r="P10" s="147"/>
      <c r="Q10" s="147"/>
      <c r="R10" s="147"/>
      <c r="S10" s="184"/>
      <c r="T10" s="160" t="str">
        <f>Skis!B4</f>
        <v>Stöckli Stormrider 102</v>
      </c>
      <c r="U10" s="147"/>
      <c r="V10" s="147"/>
      <c r="W10" s="147"/>
      <c r="X10" s="147"/>
      <c r="Y10" s="175"/>
      <c r="Z10" s="182"/>
    </row>
    <row r="11" spans="1:26" ht="14.5" customHeight="1" x14ac:dyDescent="0.35">
      <c r="A11" s="161"/>
      <c r="B11" s="164"/>
      <c r="C11" s="166"/>
      <c r="D11" s="169"/>
      <c r="E11" s="176"/>
      <c r="F11" s="176"/>
      <c r="G11" s="171"/>
      <c r="H11" s="161" t="s">
        <v>3</v>
      </c>
      <c r="I11" s="166"/>
      <c r="J11" s="166" t="s">
        <v>26</v>
      </c>
      <c r="K11" s="166"/>
      <c r="L11" s="166" t="s">
        <v>27</v>
      </c>
      <c r="M11" s="173"/>
      <c r="N11" s="161" t="s">
        <v>3</v>
      </c>
      <c r="O11" s="166"/>
      <c r="P11" s="166" t="s">
        <v>26</v>
      </c>
      <c r="Q11" s="166"/>
      <c r="R11" s="166" t="s">
        <v>27</v>
      </c>
      <c r="S11" s="173"/>
      <c r="T11" s="161" t="s">
        <v>3</v>
      </c>
      <c r="U11" s="166"/>
      <c r="V11" s="166" t="s">
        <v>26</v>
      </c>
      <c r="W11" s="166"/>
      <c r="X11" s="166" t="s">
        <v>27</v>
      </c>
      <c r="Y11" s="174"/>
      <c r="Z11" s="182"/>
    </row>
    <row r="12" spans="1:26" ht="15" thickBot="1" x14ac:dyDescent="0.4">
      <c r="A12" s="162"/>
      <c r="B12" s="165"/>
      <c r="C12" s="167"/>
      <c r="D12" s="170"/>
      <c r="E12" s="157"/>
      <c r="F12" s="157"/>
      <c r="G12" s="172"/>
      <c r="H12" s="30" t="s">
        <v>21</v>
      </c>
      <c r="I12" s="25" t="s">
        <v>20</v>
      </c>
      <c r="J12" s="25" t="s">
        <v>21</v>
      </c>
      <c r="K12" s="25" t="s">
        <v>20</v>
      </c>
      <c r="L12" s="25" t="s">
        <v>21</v>
      </c>
      <c r="M12" s="26" t="s">
        <v>20</v>
      </c>
      <c r="N12" s="30" t="s">
        <v>21</v>
      </c>
      <c r="O12" s="25" t="s">
        <v>20</v>
      </c>
      <c r="P12" s="25" t="s">
        <v>21</v>
      </c>
      <c r="Q12" s="25" t="s">
        <v>20</v>
      </c>
      <c r="R12" s="25" t="s">
        <v>21</v>
      </c>
      <c r="S12" s="26" t="s">
        <v>20</v>
      </c>
      <c r="T12" s="30" t="s">
        <v>21</v>
      </c>
      <c r="U12" s="25" t="s">
        <v>20</v>
      </c>
      <c r="V12" s="25" t="s">
        <v>21</v>
      </c>
      <c r="W12" s="25" t="s">
        <v>20</v>
      </c>
      <c r="X12" s="25" t="s">
        <v>21</v>
      </c>
      <c r="Y12" s="38" t="s">
        <v>20</v>
      </c>
      <c r="Z12" s="183"/>
    </row>
    <row r="13" spans="1:26" ht="15" x14ac:dyDescent="0.4">
      <c r="A13" s="6"/>
      <c r="B13" s="5"/>
      <c r="C13" s="6"/>
      <c r="D13" s="6"/>
      <c r="E13" s="39"/>
      <c r="F13" s="39"/>
      <c r="G13" s="39"/>
      <c r="H13" s="34">
        <v>0</v>
      </c>
      <c r="I13" s="60" t="b">
        <v>0</v>
      </c>
      <c r="J13" s="31">
        <v>0</v>
      </c>
      <c r="K13" s="60" t="b">
        <v>0</v>
      </c>
      <c r="L13" s="31">
        <v>0</v>
      </c>
      <c r="M13" s="57" t="b">
        <v>0</v>
      </c>
      <c r="N13" s="34">
        <v>0</v>
      </c>
      <c r="O13" s="60" t="b">
        <v>0</v>
      </c>
      <c r="P13" s="31">
        <v>0</v>
      </c>
      <c r="Q13" s="60" t="b">
        <v>0</v>
      </c>
      <c r="R13" s="31">
        <v>0</v>
      </c>
      <c r="S13" s="57" t="b">
        <v>0</v>
      </c>
      <c r="T13" s="34">
        <v>1</v>
      </c>
      <c r="U13" s="60" t="b">
        <f>TRUE</f>
        <v>1</v>
      </c>
      <c r="V13" s="31">
        <v>1</v>
      </c>
      <c r="W13" s="31" t="b">
        <f>TRUE</f>
        <v>1</v>
      </c>
      <c r="X13" s="31">
        <v>19</v>
      </c>
      <c r="Y13" s="63" t="b">
        <v>0</v>
      </c>
      <c r="Z13" s="49"/>
    </row>
    <row r="14" spans="1:26" ht="15" x14ac:dyDescent="0.4">
      <c r="A14" s="3">
        <f>IF($B14="","",A13+1)</f>
        <v>1</v>
      </c>
      <c r="B14" s="32">
        <v>45594</v>
      </c>
      <c r="C14" s="33" t="s">
        <v>5</v>
      </c>
      <c r="D14" s="3" cm="1">
        <f t="array" aca="1" ref="D14" ca="1">IF($C14="","",COUNTIF(_xlfn.TAKE(OFFSET($C$14, 0, 0, COUNTA($C$14:$C$113),1),$A14),$C14))</f>
        <v>1</v>
      </c>
      <c r="E14" s="48"/>
      <c r="F14" s="48"/>
      <c r="G14" s="35" t="s">
        <v>40</v>
      </c>
      <c r="H14" s="40">
        <f>IF($B14="","",IF($I13,IF($G14=$H$10,1,0), IF($G14=$H$10,$H13+1,$H13)))</f>
        <v>0</v>
      </c>
      <c r="I14" s="61" t="b">
        <v>0</v>
      </c>
      <c r="J14" s="3">
        <f>IF($B14="","",IF($K13,IF($G14=$H$10,1,0),IF($G14=$H$10,$J13+1,$J13)))</f>
        <v>0</v>
      </c>
      <c r="K14" s="61" t="b">
        <v>0</v>
      </c>
      <c r="L14" s="3">
        <f>IF($B14="","",IF($M13,IF($G14=$H$10,1,0),IF($G14=$H$10,$L13+1,$L13)))</f>
        <v>0</v>
      </c>
      <c r="M14" s="58" t="b">
        <v>0</v>
      </c>
      <c r="N14" s="40">
        <f>IF($B14="","",IF($O13,IF($G14=$N$10,1,0),IF($G14=$N$10,$N13+1,$N13)))</f>
        <v>1</v>
      </c>
      <c r="O14" s="61" t="b">
        <v>0</v>
      </c>
      <c r="P14" s="3">
        <f>IF($B14="","",IF($Q13,IF($G14=$N$10,1,0),IF($G14=$N$10,$P13+1,$P13)))</f>
        <v>1</v>
      </c>
      <c r="Q14" s="61" t="b">
        <v>0</v>
      </c>
      <c r="R14" s="3">
        <f>IF($B14="","",IF($S13,IF($G14=$N$10,1,0),IF($G14=$N$10,$R13+1,$R13)))</f>
        <v>1</v>
      </c>
      <c r="S14" s="58" t="b">
        <v>0</v>
      </c>
      <c r="T14" s="40">
        <f>IF($B14="","",IF($U13,IF($G14=$T$10,1,0),IF($G14=$T$10,$T13+1,$T13)))</f>
        <v>0</v>
      </c>
      <c r="U14" s="61" t="b">
        <v>0</v>
      </c>
      <c r="V14" s="3">
        <f>IF($B14="","",IF($W13,IF($G14=$T$10,1,0),IF($G14=$T$10,$V13+1,$V13)))</f>
        <v>0</v>
      </c>
      <c r="W14" s="61" t="b">
        <v>0</v>
      </c>
      <c r="X14" s="3">
        <f>IF($B14="","",IF($Y13,IF($G14=$T$10,1,0),IF($G14=$T$10,$X13+1,$X13)))</f>
        <v>19</v>
      </c>
      <c r="Y14" s="64" t="b">
        <v>0</v>
      </c>
      <c r="Z14" s="36"/>
    </row>
    <row r="15" spans="1:26" ht="15" x14ac:dyDescent="0.4">
      <c r="A15" s="3">
        <f t="shared" ref="A15:A78" si="0">IF($B15="","",A14+1)</f>
        <v>2</v>
      </c>
      <c r="B15" s="32">
        <v>45595</v>
      </c>
      <c r="C15" s="33" t="s">
        <v>5</v>
      </c>
      <c r="D15" s="3" cm="1">
        <f t="array" aca="1" ref="D15" ca="1">IF($C15="","",COUNTIF(_xlfn.TAKE(OFFSET($C$14, 0, 0, COUNTA($C$14:$C$113),1),$A15),$C15))</f>
        <v>2</v>
      </c>
      <c r="E15" s="48"/>
      <c r="F15" s="48"/>
      <c r="G15" s="35" t="s">
        <v>40</v>
      </c>
      <c r="H15" s="40">
        <f t="shared" ref="H15:H78" si="1">IF($B15="","",IF($I14,IF($G15=$H$10,1,0), IF($G15=$H$10,$H14+1,$H14)))</f>
        <v>0</v>
      </c>
      <c r="I15" s="61" t="b">
        <v>0</v>
      </c>
      <c r="J15" s="3">
        <f t="shared" ref="J15:J78" si="2">IF($B15="","",IF($K14,IF($G15=$H$10,1,0),IF($G15=$H$10,$J14+1,$J14)))</f>
        <v>0</v>
      </c>
      <c r="K15" s="61" t="b">
        <v>0</v>
      </c>
      <c r="L15" s="3">
        <f t="shared" ref="L15:L78" si="3">IF($B15="","",IF($M14,IF($G15=$H$10,1,0),IF($G15=$H$10,$L14+1,$L14)))</f>
        <v>0</v>
      </c>
      <c r="M15" s="58" t="b">
        <v>0</v>
      </c>
      <c r="N15" s="40">
        <f t="shared" ref="N15:N78" si="4">IF($B15="","",IF($O14,IF($G15=$N$10,1,0),IF($G15=$N$10,$N14+1,$N14)))</f>
        <v>2</v>
      </c>
      <c r="O15" s="61" t="b">
        <v>0</v>
      </c>
      <c r="P15" s="3">
        <f t="shared" ref="P15:P78" si="5">IF($B15="","",IF($Q14,IF($G15=$N$10,1,0),IF($G15=$N$10,$P14+1,$P14)))</f>
        <v>2</v>
      </c>
      <c r="Q15" s="61" t="b">
        <v>0</v>
      </c>
      <c r="R15" s="3">
        <f t="shared" ref="R15:R78" si="6">IF($B15="","",IF($S14,IF($G15=$N$10,1,0),IF($G15=$N$10,$R14+1,$R14)))</f>
        <v>2</v>
      </c>
      <c r="S15" s="58" t="b">
        <v>0</v>
      </c>
      <c r="T15" s="40">
        <f t="shared" ref="T15:T78" si="7">IF($B15="","",IF($U14,IF($G15=$T$10,$T14+1,$T14),IF($G15=$T$10,1,0)))</f>
        <v>0</v>
      </c>
      <c r="U15" s="61" t="b">
        <v>0</v>
      </c>
      <c r="V15" s="3">
        <f t="shared" ref="V15:V78" si="8">IF($B15="","",IF($W14,IF($G15=$T$10,1,0),IF($G15=$T$10,$V14+1,$V14)))</f>
        <v>0</v>
      </c>
      <c r="W15" s="61" t="b">
        <v>0</v>
      </c>
      <c r="X15" s="3">
        <f t="shared" ref="X15:X78" si="9">IF($B15="","",IF($Y14,IF($G15=$T$10,1,0),IF($G15=$T$10,$X14+1,$X14)))</f>
        <v>19</v>
      </c>
      <c r="Y15" s="64" t="b">
        <v>0</v>
      </c>
      <c r="Z15" s="36"/>
    </row>
    <row r="16" spans="1:26" ht="15" x14ac:dyDescent="0.4">
      <c r="A16" s="3">
        <f t="shared" si="0"/>
        <v>3</v>
      </c>
      <c r="B16" s="32">
        <v>45596</v>
      </c>
      <c r="C16" s="33" t="s">
        <v>5</v>
      </c>
      <c r="D16" s="3" cm="1">
        <f t="array" aca="1" ref="D16" ca="1">IF($C16="","",COUNTIF(_xlfn.TAKE(OFFSET($C$14, 0, 0, COUNTA($C$14:$C$113),1),$A16),$C16))</f>
        <v>3</v>
      </c>
      <c r="E16" s="48"/>
      <c r="F16" s="48"/>
      <c r="G16" s="35" t="s">
        <v>40</v>
      </c>
      <c r="H16" s="40">
        <f t="shared" si="1"/>
        <v>0</v>
      </c>
      <c r="I16" s="61" t="b">
        <v>0</v>
      </c>
      <c r="J16" s="3">
        <f t="shared" si="2"/>
        <v>0</v>
      </c>
      <c r="K16" s="61" t="b">
        <v>0</v>
      </c>
      <c r="L16" s="3">
        <f t="shared" si="3"/>
        <v>0</v>
      </c>
      <c r="M16" s="58" t="b">
        <v>0</v>
      </c>
      <c r="N16" s="40">
        <f t="shared" si="4"/>
        <v>3</v>
      </c>
      <c r="O16" s="61" t="b">
        <v>0</v>
      </c>
      <c r="P16" s="3">
        <f t="shared" si="5"/>
        <v>3</v>
      </c>
      <c r="Q16" s="61" t="b">
        <v>0</v>
      </c>
      <c r="R16" s="3">
        <f t="shared" si="6"/>
        <v>3</v>
      </c>
      <c r="S16" s="58" t="b">
        <v>0</v>
      </c>
      <c r="T16" s="40">
        <f t="shared" si="7"/>
        <v>0</v>
      </c>
      <c r="U16" s="61" t="b">
        <v>0</v>
      </c>
      <c r="V16" s="3">
        <f t="shared" si="8"/>
        <v>0</v>
      </c>
      <c r="W16" s="61" t="b">
        <v>0</v>
      </c>
      <c r="X16" s="3">
        <f t="shared" si="9"/>
        <v>19</v>
      </c>
      <c r="Y16" s="64" t="b">
        <v>0</v>
      </c>
      <c r="Z16" s="36"/>
    </row>
    <row r="17" spans="1:26" ht="15" x14ac:dyDescent="0.4">
      <c r="A17" s="3">
        <f t="shared" si="0"/>
        <v>4</v>
      </c>
      <c r="B17" s="32">
        <v>45603</v>
      </c>
      <c r="C17" s="33" t="s">
        <v>5</v>
      </c>
      <c r="D17" s="3" cm="1">
        <f t="array" aca="1" ref="D17" ca="1">IF($C17="","",COUNTIF(_xlfn.TAKE(OFFSET($C$14, 0, 0, COUNTA($C$14:$C$113),1),$A17),$C17))</f>
        <v>4</v>
      </c>
      <c r="E17" s="48">
        <v>7305</v>
      </c>
      <c r="F17" s="48">
        <v>2316</v>
      </c>
      <c r="G17" s="35" t="s">
        <v>40</v>
      </c>
      <c r="H17" s="40">
        <f t="shared" si="1"/>
        <v>0</v>
      </c>
      <c r="I17" s="61" t="b">
        <v>0</v>
      </c>
      <c r="J17" s="3">
        <f t="shared" si="2"/>
        <v>0</v>
      </c>
      <c r="K17" s="61" t="b">
        <v>0</v>
      </c>
      <c r="L17" s="3">
        <f t="shared" si="3"/>
        <v>0</v>
      </c>
      <c r="M17" s="58" t="b">
        <v>0</v>
      </c>
      <c r="N17" s="40">
        <f t="shared" si="4"/>
        <v>4</v>
      </c>
      <c r="O17" s="61" t="b">
        <v>0</v>
      </c>
      <c r="P17" s="3">
        <f t="shared" si="5"/>
        <v>4</v>
      </c>
      <c r="Q17" s="61" t="b">
        <v>0</v>
      </c>
      <c r="R17" s="3">
        <f t="shared" si="6"/>
        <v>4</v>
      </c>
      <c r="S17" s="58" t="b">
        <v>0</v>
      </c>
      <c r="T17" s="40">
        <f t="shared" si="7"/>
        <v>0</v>
      </c>
      <c r="U17" s="61" t="b">
        <v>0</v>
      </c>
      <c r="V17" s="3">
        <f t="shared" si="8"/>
        <v>0</v>
      </c>
      <c r="W17" s="61" t="b">
        <v>0</v>
      </c>
      <c r="X17" s="3">
        <f t="shared" si="9"/>
        <v>19</v>
      </c>
      <c r="Y17" s="64" t="b">
        <v>0</v>
      </c>
      <c r="Z17" s="36"/>
    </row>
    <row r="18" spans="1:26" ht="15" x14ac:dyDescent="0.4">
      <c r="A18" s="3">
        <f t="shared" si="0"/>
        <v>5</v>
      </c>
      <c r="B18" s="32">
        <v>45604</v>
      </c>
      <c r="C18" s="33" t="s">
        <v>5</v>
      </c>
      <c r="D18" s="3" cm="1">
        <f t="array" aca="1" ref="D18" ca="1">IF($C18="","",COUNTIF(_xlfn.TAKE(OFFSET($C$14, 0, 0, COUNTA($C$14:$C$113),1),$A18),$C18))</f>
        <v>5</v>
      </c>
      <c r="E18" s="48">
        <v>4500</v>
      </c>
      <c r="F18" s="48">
        <v>1099</v>
      </c>
      <c r="G18" s="35" t="s">
        <v>40</v>
      </c>
      <c r="H18" s="40">
        <f t="shared" si="1"/>
        <v>0</v>
      </c>
      <c r="I18" s="61" t="b">
        <v>0</v>
      </c>
      <c r="J18" s="3">
        <f t="shared" si="2"/>
        <v>0</v>
      </c>
      <c r="K18" s="61" t="b">
        <v>0</v>
      </c>
      <c r="L18" s="3">
        <f t="shared" si="3"/>
        <v>0</v>
      </c>
      <c r="M18" s="58" t="b">
        <v>0</v>
      </c>
      <c r="N18" s="40">
        <f t="shared" si="4"/>
        <v>5</v>
      </c>
      <c r="O18" s="61" t="b">
        <v>0</v>
      </c>
      <c r="P18" s="3">
        <f t="shared" si="5"/>
        <v>5</v>
      </c>
      <c r="Q18" s="61" t="b">
        <v>0</v>
      </c>
      <c r="R18" s="3">
        <f t="shared" si="6"/>
        <v>5</v>
      </c>
      <c r="S18" s="58" t="b">
        <v>0</v>
      </c>
      <c r="T18" s="40">
        <f t="shared" si="7"/>
        <v>0</v>
      </c>
      <c r="U18" s="61" t="b">
        <v>0</v>
      </c>
      <c r="V18" s="3">
        <f t="shared" si="8"/>
        <v>0</v>
      </c>
      <c r="W18" s="61" t="b">
        <v>0</v>
      </c>
      <c r="X18" s="3">
        <f t="shared" si="9"/>
        <v>19</v>
      </c>
      <c r="Y18" s="64" t="b">
        <v>0</v>
      </c>
      <c r="Z18" s="36"/>
    </row>
    <row r="19" spans="1:26" ht="15" x14ac:dyDescent="0.4">
      <c r="A19" s="3">
        <f t="shared" si="0"/>
        <v>6</v>
      </c>
      <c r="B19" s="32">
        <v>45605</v>
      </c>
      <c r="C19" s="33" t="s">
        <v>5</v>
      </c>
      <c r="D19" s="3" cm="1">
        <f t="array" aca="1" ref="D19" ca="1">IF($C19="","",COUNTIF(_xlfn.TAKE(OFFSET($C$14, 0, 0, COUNTA($C$14:$C$113),1),$A19),$C19))</f>
        <v>6</v>
      </c>
      <c r="E19" s="48">
        <v>5765</v>
      </c>
      <c r="F19" s="48">
        <v>1337</v>
      </c>
      <c r="G19" s="35" t="s">
        <v>40</v>
      </c>
      <c r="H19" s="40">
        <f t="shared" si="1"/>
        <v>0</v>
      </c>
      <c r="I19" s="61" t="b">
        <v>0</v>
      </c>
      <c r="J19" s="3">
        <f t="shared" si="2"/>
        <v>0</v>
      </c>
      <c r="K19" s="61" t="b">
        <v>0</v>
      </c>
      <c r="L19" s="3">
        <f t="shared" si="3"/>
        <v>0</v>
      </c>
      <c r="M19" s="58" t="b">
        <v>0</v>
      </c>
      <c r="N19" s="40">
        <f t="shared" si="4"/>
        <v>6</v>
      </c>
      <c r="O19" s="61" t="b">
        <v>0</v>
      </c>
      <c r="P19" s="3">
        <f t="shared" si="5"/>
        <v>6</v>
      </c>
      <c r="Q19" s="61" t="b">
        <v>0</v>
      </c>
      <c r="R19" s="3">
        <f t="shared" si="6"/>
        <v>6</v>
      </c>
      <c r="S19" s="58" t="b">
        <v>0</v>
      </c>
      <c r="T19" s="40">
        <f t="shared" si="7"/>
        <v>0</v>
      </c>
      <c r="U19" s="61" t="b">
        <f>TRUE</f>
        <v>1</v>
      </c>
      <c r="V19" s="3">
        <f t="shared" si="8"/>
        <v>0</v>
      </c>
      <c r="W19" s="61" t="b">
        <f>TRUE</f>
        <v>1</v>
      </c>
      <c r="X19" s="3">
        <f t="shared" si="9"/>
        <v>19</v>
      </c>
      <c r="Y19" s="64" t="b">
        <v>0</v>
      </c>
      <c r="Z19" s="36"/>
    </row>
    <row r="20" spans="1:26" ht="15" x14ac:dyDescent="0.4">
      <c r="A20" s="3">
        <f t="shared" si="0"/>
        <v>7</v>
      </c>
      <c r="B20" s="32">
        <v>45624</v>
      </c>
      <c r="C20" s="33" t="s">
        <v>5</v>
      </c>
      <c r="D20" s="3" cm="1">
        <f t="array" aca="1" ref="D20" ca="1">IF($C20="","",COUNTIF(_xlfn.TAKE(OFFSET($C$14, 0, 0, COUNTA($C$14:$C$113),1),$A20),$C20))</f>
        <v>7</v>
      </c>
      <c r="E20" s="48">
        <v>3675</v>
      </c>
      <c r="F20" s="48">
        <v>1178</v>
      </c>
      <c r="G20" s="35" t="s">
        <v>40</v>
      </c>
      <c r="H20" s="40">
        <f t="shared" si="1"/>
        <v>0</v>
      </c>
      <c r="I20" s="61" t="b">
        <v>0</v>
      </c>
      <c r="J20" s="3">
        <f t="shared" si="2"/>
        <v>0</v>
      </c>
      <c r="K20" s="61" t="b">
        <v>0</v>
      </c>
      <c r="L20" s="3">
        <f t="shared" si="3"/>
        <v>0</v>
      </c>
      <c r="M20" s="58" t="b">
        <v>0</v>
      </c>
      <c r="N20" s="40">
        <f t="shared" si="4"/>
        <v>7</v>
      </c>
      <c r="O20" s="61" t="b">
        <v>0</v>
      </c>
      <c r="P20" s="3">
        <f t="shared" si="5"/>
        <v>7</v>
      </c>
      <c r="Q20" s="61" t="b">
        <v>0</v>
      </c>
      <c r="R20" s="3">
        <f t="shared" si="6"/>
        <v>7</v>
      </c>
      <c r="S20" s="58" t="b">
        <v>0</v>
      </c>
      <c r="T20" s="40">
        <f t="shared" si="7"/>
        <v>0</v>
      </c>
      <c r="U20" s="61" t="b">
        <v>0</v>
      </c>
      <c r="V20" s="3">
        <f t="shared" si="8"/>
        <v>0</v>
      </c>
      <c r="W20" s="61" t="b">
        <v>0</v>
      </c>
      <c r="X20" s="3">
        <f t="shared" si="9"/>
        <v>19</v>
      </c>
      <c r="Y20" s="64" t="b">
        <v>0</v>
      </c>
      <c r="Z20" s="36"/>
    </row>
    <row r="21" spans="1:26" ht="15" x14ac:dyDescent="0.4">
      <c r="A21" s="3">
        <f t="shared" si="0"/>
        <v>8</v>
      </c>
      <c r="B21" s="32">
        <v>45625</v>
      </c>
      <c r="C21" s="33" t="s">
        <v>5</v>
      </c>
      <c r="D21" s="3" cm="1">
        <f t="array" aca="1" ref="D21" ca="1">IF($C21="","",COUNTIF(_xlfn.TAKE(OFFSET($C$14, 0, 0, COUNTA($C$14:$C$113),1),$A21),$C21))</f>
        <v>8</v>
      </c>
      <c r="E21" s="48">
        <v>3905</v>
      </c>
      <c r="F21" s="48">
        <v>755</v>
      </c>
      <c r="G21" s="35" t="s">
        <v>40</v>
      </c>
      <c r="H21" s="40">
        <f t="shared" si="1"/>
        <v>0</v>
      </c>
      <c r="I21" s="61" t="b">
        <v>0</v>
      </c>
      <c r="J21" s="3">
        <f t="shared" si="2"/>
        <v>0</v>
      </c>
      <c r="K21" s="61" t="b">
        <v>0</v>
      </c>
      <c r="L21" s="3">
        <f t="shared" si="3"/>
        <v>0</v>
      </c>
      <c r="M21" s="58" t="b">
        <v>0</v>
      </c>
      <c r="N21" s="40">
        <f t="shared" si="4"/>
        <v>8</v>
      </c>
      <c r="O21" s="61" t="b">
        <v>0</v>
      </c>
      <c r="P21" s="3">
        <f t="shared" si="5"/>
        <v>8</v>
      </c>
      <c r="Q21" s="61" t="b">
        <v>0</v>
      </c>
      <c r="R21" s="3">
        <f t="shared" si="6"/>
        <v>8</v>
      </c>
      <c r="S21" s="58" t="b">
        <v>0</v>
      </c>
      <c r="T21" s="40">
        <f t="shared" si="7"/>
        <v>0</v>
      </c>
      <c r="U21" s="61" t="b">
        <v>0</v>
      </c>
      <c r="V21" s="3">
        <f t="shared" si="8"/>
        <v>0</v>
      </c>
      <c r="W21" s="61" t="b">
        <v>0</v>
      </c>
      <c r="X21" s="3">
        <f t="shared" si="9"/>
        <v>19</v>
      </c>
      <c r="Y21" s="64" t="b">
        <v>0</v>
      </c>
      <c r="Z21" s="36"/>
    </row>
    <row r="22" spans="1:26" ht="15" x14ac:dyDescent="0.4">
      <c r="A22" s="3">
        <f t="shared" si="0"/>
        <v>9</v>
      </c>
      <c r="B22" s="32">
        <v>45626</v>
      </c>
      <c r="C22" s="33" t="s">
        <v>5</v>
      </c>
      <c r="D22" s="3" cm="1">
        <f t="array" aca="1" ref="D22" ca="1">IF($C22="","",COUNTIF(_xlfn.TAKE(OFFSET($C$14, 0, 0, COUNTA($C$14:$C$113),1),$A22),$C22))</f>
        <v>9</v>
      </c>
      <c r="E22" s="48">
        <v>6730</v>
      </c>
      <c r="F22" s="48">
        <v>925</v>
      </c>
      <c r="G22" s="35" t="s">
        <v>40</v>
      </c>
      <c r="H22" s="40">
        <f t="shared" si="1"/>
        <v>0</v>
      </c>
      <c r="I22" s="61" t="b">
        <v>0</v>
      </c>
      <c r="J22" s="3">
        <f t="shared" si="2"/>
        <v>0</v>
      </c>
      <c r="K22" s="61" t="b">
        <v>0</v>
      </c>
      <c r="L22" s="3">
        <f t="shared" si="3"/>
        <v>0</v>
      </c>
      <c r="M22" s="58" t="b">
        <v>0</v>
      </c>
      <c r="N22" s="40">
        <f t="shared" si="4"/>
        <v>9</v>
      </c>
      <c r="O22" s="61" t="b">
        <v>0</v>
      </c>
      <c r="P22" s="3">
        <f t="shared" si="5"/>
        <v>9</v>
      </c>
      <c r="Q22" s="61" t="b">
        <v>0</v>
      </c>
      <c r="R22" s="3">
        <f t="shared" si="6"/>
        <v>9</v>
      </c>
      <c r="S22" s="58" t="b">
        <v>0</v>
      </c>
      <c r="T22" s="40">
        <f t="shared" si="7"/>
        <v>0</v>
      </c>
      <c r="U22" s="61" t="b">
        <f>TRUE</f>
        <v>1</v>
      </c>
      <c r="V22" s="3">
        <f t="shared" si="8"/>
        <v>0</v>
      </c>
      <c r="W22" s="61" t="b">
        <f>TRUE</f>
        <v>1</v>
      </c>
      <c r="X22" s="3">
        <f t="shared" si="9"/>
        <v>19</v>
      </c>
      <c r="Y22" s="64" t="b">
        <f>TRUE</f>
        <v>1</v>
      </c>
      <c r="Z22" s="36"/>
    </row>
    <row r="23" spans="1:26" ht="15" x14ac:dyDescent="0.4">
      <c r="A23" s="3">
        <f t="shared" si="0"/>
        <v>10</v>
      </c>
      <c r="B23" s="32">
        <v>45636</v>
      </c>
      <c r="C23" s="33" t="s">
        <v>13</v>
      </c>
      <c r="D23" s="3" cm="1">
        <f t="array" aca="1" ref="D23" ca="1">IF($C23="","",COUNTIF(_xlfn.TAKE(OFFSET($C$14, 0, 0, COUNTA($C$14:$C$113),1),$A23),$C23))</f>
        <v>1</v>
      </c>
      <c r="E23" s="48">
        <v>7230</v>
      </c>
      <c r="F23" s="48">
        <v>1293</v>
      </c>
      <c r="G23" s="35" t="s">
        <v>40</v>
      </c>
      <c r="H23" s="40">
        <f t="shared" si="1"/>
        <v>0</v>
      </c>
      <c r="I23" s="61" t="b">
        <v>0</v>
      </c>
      <c r="J23" s="3">
        <f t="shared" si="2"/>
        <v>0</v>
      </c>
      <c r="K23" s="61" t="b">
        <v>0</v>
      </c>
      <c r="L23" s="3">
        <f t="shared" si="3"/>
        <v>0</v>
      </c>
      <c r="M23" s="58" t="b">
        <v>0</v>
      </c>
      <c r="N23" s="40">
        <f t="shared" si="4"/>
        <v>10</v>
      </c>
      <c r="O23" s="61" t="b">
        <v>0</v>
      </c>
      <c r="P23" s="3">
        <f t="shared" si="5"/>
        <v>10</v>
      </c>
      <c r="Q23" s="61" t="b">
        <v>0</v>
      </c>
      <c r="R23" s="3">
        <f t="shared" si="6"/>
        <v>10</v>
      </c>
      <c r="S23" s="58" t="b">
        <v>0</v>
      </c>
      <c r="T23" s="40">
        <f t="shared" si="7"/>
        <v>0</v>
      </c>
      <c r="U23" s="61" t="b">
        <v>0</v>
      </c>
      <c r="V23" s="3">
        <f t="shared" si="8"/>
        <v>0</v>
      </c>
      <c r="W23" s="61" t="b">
        <v>0</v>
      </c>
      <c r="X23" s="3">
        <f t="shared" si="9"/>
        <v>0</v>
      </c>
      <c r="Y23" s="64" t="b">
        <v>0</v>
      </c>
      <c r="Z23" s="36"/>
    </row>
    <row r="24" spans="1:26" ht="15" x14ac:dyDescent="0.4">
      <c r="A24" s="3">
        <f t="shared" si="0"/>
        <v>11</v>
      </c>
      <c r="B24" s="32">
        <v>45637</v>
      </c>
      <c r="C24" s="33" t="s">
        <v>13</v>
      </c>
      <c r="D24" s="3" cm="1">
        <f t="array" aca="1" ref="D24" ca="1">IF($C24="","",COUNTIF(_xlfn.TAKE(OFFSET($C$14, 0, 0, COUNTA($C$14:$C$113),1),$A24),$C24))</f>
        <v>2</v>
      </c>
      <c r="E24" s="48">
        <v>7950</v>
      </c>
      <c r="F24" s="48">
        <v>1143</v>
      </c>
      <c r="G24" s="35" t="s">
        <v>40</v>
      </c>
      <c r="H24" s="40">
        <f t="shared" si="1"/>
        <v>0</v>
      </c>
      <c r="I24" s="61" t="b">
        <v>0</v>
      </c>
      <c r="J24" s="3">
        <f t="shared" si="2"/>
        <v>0</v>
      </c>
      <c r="K24" s="61" t="b">
        <v>0</v>
      </c>
      <c r="L24" s="3">
        <f t="shared" si="3"/>
        <v>0</v>
      </c>
      <c r="M24" s="58" t="b">
        <v>0</v>
      </c>
      <c r="N24" s="40">
        <f t="shared" si="4"/>
        <v>11</v>
      </c>
      <c r="O24" s="61" t="b">
        <v>0</v>
      </c>
      <c r="P24" s="3">
        <f t="shared" si="5"/>
        <v>11</v>
      </c>
      <c r="Q24" s="61" t="b">
        <v>0</v>
      </c>
      <c r="R24" s="3">
        <f t="shared" si="6"/>
        <v>11</v>
      </c>
      <c r="S24" s="58" t="b">
        <v>0</v>
      </c>
      <c r="T24" s="40">
        <f t="shared" si="7"/>
        <v>0</v>
      </c>
      <c r="U24" s="61" t="b">
        <v>0</v>
      </c>
      <c r="V24" s="3">
        <f t="shared" si="8"/>
        <v>0</v>
      </c>
      <c r="W24" s="61" t="b">
        <v>0</v>
      </c>
      <c r="X24" s="3">
        <f t="shared" si="9"/>
        <v>0</v>
      </c>
      <c r="Y24" s="64" t="b">
        <v>0</v>
      </c>
      <c r="Z24" s="36"/>
    </row>
    <row r="25" spans="1:26" ht="15" x14ac:dyDescent="0.4">
      <c r="A25" s="3">
        <f t="shared" si="0"/>
        <v>12</v>
      </c>
      <c r="B25" s="32">
        <v>45638</v>
      </c>
      <c r="C25" s="33" t="s">
        <v>13</v>
      </c>
      <c r="D25" s="3" cm="1">
        <f t="array" aca="1" ref="D25" ca="1">IF($C25="","",COUNTIF(_xlfn.TAKE(OFFSET($C$14, 0, 0, COUNTA($C$14:$C$113),1),$A25),$C25))</f>
        <v>3</v>
      </c>
      <c r="E25" s="48">
        <v>6825</v>
      </c>
      <c r="F25" s="48">
        <v>1378</v>
      </c>
      <c r="G25" s="35" t="s">
        <v>40</v>
      </c>
      <c r="H25" s="40">
        <f t="shared" si="1"/>
        <v>0</v>
      </c>
      <c r="I25" s="61" t="b">
        <v>0</v>
      </c>
      <c r="J25" s="3">
        <f t="shared" si="2"/>
        <v>0</v>
      </c>
      <c r="K25" s="61" t="b">
        <v>0</v>
      </c>
      <c r="L25" s="3">
        <f t="shared" si="3"/>
        <v>0</v>
      </c>
      <c r="M25" s="58" t="b">
        <v>0</v>
      </c>
      <c r="N25" s="40">
        <f t="shared" si="4"/>
        <v>12</v>
      </c>
      <c r="O25" s="61" t="b">
        <v>0</v>
      </c>
      <c r="P25" s="3">
        <f t="shared" si="5"/>
        <v>12</v>
      </c>
      <c r="Q25" s="61" t="b">
        <v>0</v>
      </c>
      <c r="R25" s="3">
        <f t="shared" si="6"/>
        <v>12</v>
      </c>
      <c r="S25" s="58" t="b">
        <v>0</v>
      </c>
      <c r="T25" s="40">
        <f t="shared" si="7"/>
        <v>0</v>
      </c>
      <c r="U25" s="61" t="b">
        <v>0</v>
      </c>
      <c r="V25" s="3">
        <f t="shared" si="8"/>
        <v>0</v>
      </c>
      <c r="W25" s="61" t="b">
        <v>0</v>
      </c>
      <c r="X25" s="3">
        <f t="shared" si="9"/>
        <v>0</v>
      </c>
      <c r="Y25" s="64" t="b">
        <v>0</v>
      </c>
      <c r="Z25" s="36"/>
    </row>
    <row r="26" spans="1:26" ht="15" x14ac:dyDescent="0.4">
      <c r="A26" s="3">
        <f t="shared" si="0"/>
        <v>13</v>
      </c>
      <c r="B26" s="32">
        <v>45639</v>
      </c>
      <c r="C26" s="33" t="s">
        <v>13</v>
      </c>
      <c r="D26" s="3" cm="1">
        <f t="array" aca="1" ref="D26" ca="1">IF($C26="","",COUNTIF(_xlfn.TAKE(OFFSET($C$14, 0, 0, COUNTA($C$14:$C$113),1),$A26),$C26))</f>
        <v>4</v>
      </c>
      <c r="E26" s="48">
        <v>7365</v>
      </c>
      <c r="F26" s="48">
        <v>1200</v>
      </c>
      <c r="G26" s="35" t="s">
        <v>40</v>
      </c>
      <c r="H26" s="40">
        <f t="shared" si="1"/>
        <v>0</v>
      </c>
      <c r="I26" s="61" t="b">
        <v>0</v>
      </c>
      <c r="J26" s="3">
        <f t="shared" si="2"/>
        <v>0</v>
      </c>
      <c r="K26" s="61" t="b">
        <v>0</v>
      </c>
      <c r="L26" s="3">
        <f t="shared" si="3"/>
        <v>0</v>
      </c>
      <c r="M26" s="58" t="b">
        <v>0</v>
      </c>
      <c r="N26" s="40">
        <f t="shared" si="4"/>
        <v>13</v>
      </c>
      <c r="O26" s="61" t="b">
        <v>0</v>
      </c>
      <c r="P26" s="3">
        <f t="shared" si="5"/>
        <v>13</v>
      </c>
      <c r="Q26" s="61" t="b">
        <v>0</v>
      </c>
      <c r="R26" s="3">
        <f t="shared" si="6"/>
        <v>13</v>
      </c>
      <c r="S26" s="58" t="b">
        <v>0</v>
      </c>
      <c r="T26" s="40">
        <f t="shared" si="7"/>
        <v>0</v>
      </c>
      <c r="U26" s="61" t="b">
        <v>0</v>
      </c>
      <c r="V26" s="3">
        <f t="shared" si="8"/>
        <v>0</v>
      </c>
      <c r="W26" s="61" t="b">
        <v>0</v>
      </c>
      <c r="X26" s="3">
        <f t="shared" si="9"/>
        <v>0</v>
      </c>
      <c r="Y26" s="64" t="b">
        <v>0</v>
      </c>
      <c r="Z26" s="36"/>
    </row>
    <row r="27" spans="1:26" ht="15" x14ac:dyDescent="0.4">
      <c r="A27" s="3">
        <f t="shared" si="0"/>
        <v>14</v>
      </c>
      <c r="B27" s="32">
        <v>45640</v>
      </c>
      <c r="C27" s="33" t="s">
        <v>13</v>
      </c>
      <c r="D27" s="3" cm="1">
        <f t="array" aca="1" ref="D27" ca="1">IF($C27="","",COUNTIF(_xlfn.TAKE(OFFSET($C$14, 0, 0, COUNTA($C$14:$C$113),1),$A27),$C27))</f>
        <v>5</v>
      </c>
      <c r="E27" s="48">
        <v>5985</v>
      </c>
      <c r="F27" s="48">
        <v>1640</v>
      </c>
      <c r="G27" s="35" t="s">
        <v>40</v>
      </c>
      <c r="H27" s="40">
        <f t="shared" si="1"/>
        <v>0</v>
      </c>
      <c r="I27" s="61" t="b">
        <v>0</v>
      </c>
      <c r="J27" s="3">
        <f t="shared" si="2"/>
        <v>0</v>
      </c>
      <c r="K27" s="61" t="b">
        <v>0</v>
      </c>
      <c r="L27" s="3">
        <f t="shared" si="3"/>
        <v>0</v>
      </c>
      <c r="M27" s="58" t="b">
        <v>0</v>
      </c>
      <c r="N27" s="40">
        <f t="shared" si="4"/>
        <v>14</v>
      </c>
      <c r="O27" s="61" t="b">
        <v>0</v>
      </c>
      <c r="P27" s="3">
        <f t="shared" si="5"/>
        <v>14</v>
      </c>
      <c r="Q27" s="61" t="b">
        <v>0</v>
      </c>
      <c r="R27" s="3">
        <f t="shared" si="6"/>
        <v>14</v>
      </c>
      <c r="S27" s="58" t="b">
        <v>0</v>
      </c>
      <c r="T27" s="40">
        <f t="shared" si="7"/>
        <v>0</v>
      </c>
      <c r="U27" s="61" t="b">
        <f>TRUE</f>
        <v>1</v>
      </c>
      <c r="V27" s="3">
        <f t="shared" si="8"/>
        <v>0</v>
      </c>
      <c r="W27" s="61" t="b">
        <f>TRUE</f>
        <v>1</v>
      </c>
      <c r="X27" s="3">
        <f t="shared" si="9"/>
        <v>0</v>
      </c>
      <c r="Y27" s="64" t="b">
        <v>0</v>
      </c>
      <c r="Z27" s="36"/>
    </row>
    <row r="28" spans="1:26" ht="15" x14ac:dyDescent="0.4">
      <c r="A28" s="3">
        <f t="shared" si="0"/>
        <v>15</v>
      </c>
      <c r="B28" s="32">
        <v>45641</v>
      </c>
      <c r="C28" s="33" t="s">
        <v>13</v>
      </c>
      <c r="D28" s="3" cm="1">
        <f t="array" aca="1" ref="D28" ca="1">IF($C28="","",COUNTIF(_xlfn.TAKE(OFFSET($C$14, 0, 0, COUNTA($C$14:$C$113),1),$A28),$C28))</f>
        <v>6</v>
      </c>
      <c r="E28" s="48">
        <v>6230</v>
      </c>
      <c r="F28" s="48">
        <v>1190</v>
      </c>
      <c r="G28" s="35" t="s">
        <v>40</v>
      </c>
      <c r="H28" s="40">
        <f t="shared" si="1"/>
        <v>0</v>
      </c>
      <c r="I28" s="61" t="b">
        <v>0</v>
      </c>
      <c r="J28" s="3">
        <f t="shared" si="2"/>
        <v>0</v>
      </c>
      <c r="K28" s="61" t="b">
        <v>0</v>
      </c>
      <c r="L28" s="3">
        <f t="shared" si="3"/>
        <v>0</v>
      </c>
      <c r="M28" s="58" t="b">
        <v>0</v>
      </c>
      <c r="N28" s="40">
        <f t="shared" si="4"/>
        <v>15</v>
      </c>
      <c r="O28" s="61" t="b">
        <v>0</v>
      </c>
      <c r="P28" s="3">
        <f t="shared" si="5"/>
        <v>15</v>
      </c>
      <c r="Q28" s="61" t="b">
        <v>0</v>
      </c>
      <c r="R28" s="3">
        <f t="shared" si="6"/>
        <v>15</v>
      </c>
      <c r="S28" s="58" t="b">
        <v>0</v>
      </c>
      <c r="T28" s="40">
        <f t="shared" si="7"/>
        <v>0</v>
      </c>
      <c r="U28" s="61" t="b">
        <v>0</v>
      </c>
      <c r="V28" s="3">
        <f t="shared" si="8"/>
        <v>0</v>
      </c>
      <c r="W28" s="61" t="b">
        <v>0</v>
      </c>
      <c r="X28" s="3">
        <f t="shared" si="9"/>
        <v>0</v>
      </c>
      <c r="Y28" s="64" t="b">
        <v>0</v>
      </c>
      <c r="Z28" s="36"/>
    </row>
    <row r="29" spans="1:26" ht="15" x14ac:dyDescent="0.4">
      <c r="A29" s="3">
        <f t="shared" si="0"/>
        <v>16</v>
      </c>
      <c r="B29" s="32">
        <v>45642</v>
      </c>
      <c r="C29" s="33" t="s">
        <v>13</v>
      </c>
      <c r="D29" s="3" cm="1">
        <f t="array" aca="1" ref="D29" ca="1">IF($C29="","",COUNTIF(_xlfn.TAKE(OFFSET($C$14, 0, 0, COUNTA($C$14:$C$113),1),$A29),$C29))</f>
        <v>7</v>
      </c>
      <c r="E29" s="48">
        <v>8480</v>
      </c>
      <c r="F29" s="48">
        <v>1096</v>
      </c>
      <c r="G29" s="35" t="s">
        <v>40</v>
      </c>
      <c r="H29" s="40">
        <f t="shared" si="1"/>
        <v>0</v>
      </c>
      <c r="I29" s="61" t="b">
        <v>0</v>
      </c>
      <c r="J29" s="3">
        <f t="shared" si="2"/>
        <v>0</v>
      </c>
      <c r="K29" s="61" t="b">
        <v>0</v>
      </c>
      <c r="L29" s="3">
        <f t="shared" si="3"/>
        <v>0</v>
      </c>
      <c r="M29" s="58" t="b">
        <v>0</v>
      </c>
      <c r="N29" s="40">
        <f t="shared" si="4"/>
        <v>16</v>
      </c>
      <c r="O29" s="61" t="b">
        <v>0</v>
      </c>
      <c r="P29" s="3">
        <f t="shared" si="5"/>
        <v>16</v>
      </c>
      <c r="Q29" s="61" t="b">
        <v>0</v>
      </c>
      <c r="R29" s="3">
        <f t="shared" si="6"/>
        <v>16</v>
      </c>
      <c r="S29" s="58" t="b">
        <v>0</v>
      </c>
      <c r="T29" s="40">
        <f t="shared" si="7"/>
        <v>0</v>
      </c>
      <c r="U29" s="61" t="b">
        <v>0</v>
      </c>
      <c r="V29" s="3">
        <f t="shared" si="8"/>
        <v>0</v>
      </c>
      <c r="W29" s="61" t="b">
        <v>0</v>
      </c>
      <c r="X29" s="3">
        <f t="shared" si="9"/>
        <v>0</v>
      </c>
      <c r="Y29" s="64" t="b">
        <v>0</v>
      </c>
      <c r="Z29" s="36"/>
    </row>
    <row r="30" spans="1:26" ht="15" x14ac:dyDescent="0.4">
      <c r="A30" s="3">
        <f t="shared" si="0"/>
        <v>17</v>
      </c>
      <c r="B30" s="32">
        <v>45663</v>
      </c>
      <c r="C30" s="33" t="s">
        <v>6</v>
      </c>
      <c r="D30" s="3" cm="1">
        <f t="array" aca="1" ref="D30" ca="1">IF($C30="","",COUNTIF(_xlfn.TAKE(OFFSET($C$14, 0, 0, COUNTA($C$14:$C$113),1),$A30),$C30))</f>
        <v>1</v>
      </c>
      <c r="E30" s="48">
        <v>6065</v>
      </c>
      <c r="F30" s="48">
        <v>1589</v>
      </c>
      <c r="G30" s="35" t="s">
        <v>40</v>
      </c>
      <c r="H30" s="40">
        <f t="shared" si="1"/>
        <v>0</v>
      </c>
      <c r="I30" s="61" t="b">
        <v>0</v>
      </c>
      <c r="J30" s="3">
        <f t="shared" si="2"/>
        <v>0</v>
      </c>
      <c r="K30" s="61" t="b">
        <v>0</v>
      </c>
      <c r="L30" s="3">
        <f t="shared" si="3"/>
        <v>0</v>
      </c>
      <c r="M30" s="58" t="b">
        <v>0</v>
      </c>
      <c r="N30" s="40">
        <f t="shared" si="4"/>
        <v>17</v>
      </c>
      <c r="O30" s="61" t="b">
        <v>0</v>
      </c>
      <c r="P30" s="3">
        <f t="shared" si="5"/>
        <v>17</v>
      </c>
      <c r="Q30" s="61" t="b">
        <v>0</v>
      </c>
      <c r="R30" s="3">
        <f t="shared" si="6"/>
        <v>17</v>
      </c>
      <c r="S30" s="58" t="b">
        <v>0</v>
      </c>
      <c r="T30" s="40">
        <f t="shared" si="7"/>
        <v>0</v>
      </c>
      <c r="U30" s="61" t="b">
        <v>0</v>
      </c>
      <c r="V30" s="3">
        <f t="shared" si="8"/>
        <v>0</v>
      </c>
      <c r="W30" s="61" t="b">
        <v>0</v>
      </c>
      <c r="X30" s="3">
        <f t="shared" si="9"/>
        <v>0</v>
      </c>
      <c r="Y30" s="64" t="b">
        <v>0</v>
      </c>
      <c r="Z30" s="36"/>
    </row>
    <row r="31" spans="1:26" ht="15" x14ac:dyDescent="0.4">
      <c r="A31" s="3">
        <f t="shared" si="0"/>
        <v>18</v>
      </c>
      <c r="B31" s="32">
        <v>45664</v>
      </c>
      <c r="C31" s="33" t="s">
        <v>6</v>
      </c>
      <c r="D31" s="3" cm="1">
        <f t="array" aca="1" ref="D31" ca="1">IF($C31="","",COUNTIF(_xlfn.TAKE(OFFSET($C$14, 0, 0, COUNTA($C$14:$C$113),1),$A31),$C31))</f>
        <v>2</v>
      </c>
      <c r="E31" s="48">
        <v>10735</v>
      </c>
      <c r="F31" s="48">
        <v>1062</v>
      </c>
      <c r="G31" s="35" t="s">
        <v>40</v>
      </c>
      <c r="H31" s="40">
        <f t="shared" si="1"/>
        <v>0</v>
      </c>
      <c r="I31" s="61" t="b">
        <v>0</v>
      </c>
      <c r="J31" s="3">
        <f t="shared" si="2"/>
        <v>0</v>
      </c>
      <c r="K31" s="61" t="b">
        <v>0</v>
      </c>
      <c r="L31" s="3">
        <f t="shared" si="3"/>
        <v>0</v>
      </c>
      <c r="M31" s="58" t="b">
        <v>0</v>
      </c>
      <c r="N31" s="40">
        <f t="shared" si="4"/>
        <v>18</v>
      </c>
      <c r="O31" s="61" t="b">
        <v>0</v>
      </c>
      <c r="P31" s="3">
        <f t="shared" si="5"/>
        <v>18</v>
      </c>
      <c r="Q31" s="61" t="b">
        <v>0</v>
      </c>
      <c r="R31" s="3">
        <f t="shared" si="6"/>
        <v>18</v>
      </c>
      <c r="S31" s="58" t="b">
        <v>0</v>
      </c>
      <c r="T31" s="40">
        <f t="shared" si="7"/>
        <v>0</v>
      </c>
      <c r="U31" s="61" t="b">
        <v>0</v>
      </c>
      <c r="V31" s="3">
        <f t="shared" si="8"/>
        <v>0</v>
      </c>
      <c r="W31" s="61" t="b">
        <v>0</v>
      </c>
      <c r="X31" s="3">
        <f t="shared" si="9"/>
        <v>0</v>
      </c>
      <c r="Y31" s="64" t="b">
        <v>0</v>
      </c>
      <c r="Z31" s="36"/>
    </row>
    <row r="32" spans="1:26" ht="15" x14ac:dyDescent="0.4">
      <c r="A32" s="3">
        <f t="shared" si="0"/>
        <v>19</v>
      </c>
      <c r="B32" s="32">
        <v>45666</v>
      </c>
      <c r="C32" s="33" t="s">
        <v>6</v>
      </c>
      <c r="D32" s="3" cm="1">
        <f t="array" aca="1" ref="D32" ca="1">IF($C32="","",COUNTIF(_xlfn.TAKE(OFFSET($C$14, 0, 0, COUNTA($C$14:$C$113),1),$A32),$C32))</f>
        <v>3</v>
      </c>
      <c r="E32" s="48">
        <v>12445</v>
      </c>
      <c r="F32" s="48">
        <v>1229</v>
      </c>
      <c r="G32" s="35" t="s">
        <v>40</v>
      </c>
      <c r="H32" s="40">
        <f t="shared" si="1"/>
        <v>0</v>
      </c>
      <c r="I32" s="61" t="b">
        <v>0</v>
      </c>
      <c r="J32" s="3">
        <f t="shared" si="2"/>
        <v>0</v>
      </c>
      <c r="K32" s="61" t="b">
        <v>0</v>
      </c>
      <c r="L32" s="3">
        <f t="shared" si="3"/>
        <v>0</v>
      </c>
      <c r="M32" s="58" t="b">
        <v>0</v>
      </c>
      <c r="N32" s="40">
        <f t="shared" si="4"/>
        <v>19</v>
      </c>
      <c r="O32" s="61" t="b">
        <v>0</v>
      </c>
      <c r="P32" s="3">
        <f t="shared" si="5"/>
        <v>19</v>
      </c>
      <c r="Q32" s="61" t="b">
        <v>0</v>
      </c>
      <c r="R32" s="3">
        <f t="shared" si="6"/>
        <v>19</v>
      </c>
      <c r="S32" s="58" t="b">
        <v>0</v>
      </c>
      <c r="T32" s="40">
        <f t="shared" si="7"/>
        <v>0</v>
      </c>
      <c r="U32" s="61" t="b">
        <f>TRUE</f>
        <v>1</v>
      </c>
      <c r="V32" s="3">
        <f t="shared" si="8"/>
        <v>0</v>
      </c>
      <c r="W32" s="61" t="b">
        <f>TRUE</f>
        <v>1</v>
      </c>
      <c r="X32" s="3">
        <f t="shared" si="9"/>
        <v>0</v>
      </c>
      <c r="Y32" s="64" t="b">
        <v>0</v>
      </c>
      <c r="Z32" s="36"/>
    </row>
    <row r="33" spans="1:26" ht="15" x14ac:dyDescent="0.4">
      <c r="A33" s="3">
        <f t="shared" si="0"/>
        <v>20</v>
      </c>
      <c r="B33" s="32">
        <v>45667</v>
      </c>
      <c r="C33" s="33" t="s">
        <v>6</v>
      </c>
      <c r="D33" s="3" cm="1">
        <f t="array" aca="1" ref="D33" ca="1">IF($C33="","",COUNTIF(_xlfn.TAKE(OFFSET($C$14, 0, 0, COUNTA($C$14:$C$113),1),$A33),$C33))</f>
        <v>4</v>
      </c>
      <c r="E33" s="48">
        <v>4275</v>
      </c>
      <c r="F33" s="48">
        <v>687</v>
      </c>
      <c r="G33" s="35" t="s">
        <v>40</v>
      </c>
      <c r="H33" s="40">
        <f t="shared" si="1"/>
        <v>0</v>
      </c>
      <c r="I33" s="61" t="b">
        <v>0</v>
      </c>
      <c r="J33" s="3">
        <f t="shared" si="2"/>
        <v>0</v>
      </c>
      <c r="K33" s="61" t="b">
        <v>0</v>
      </c>
      <c r="L33" s="3">
        <f t="shared" si="3"/>
        <v>0</v>
      </c>
      <c r="M33" s="58" t="b">
        <v>0</v>
      </c>
      <c r="N33" s="40">
        <f t="shared" si="4"/>
        <v>20</v>
      </c>
      <c r="O33" s="61" t="b">
        <v>0</v>
      </c>
      <c r="P33" s="3">
        <f t="shared" si="5"/>
        <v>20</v>
      </c>
      <c r="Q33" s="61" t="b">
        <v>0</v>
      </c>
      <c r="R33" s="3">
        <f t="shared" si="6"/>
        <v>20</v>
      </c>
      <c r="S33" s="58" t="b">
        <v>0</v>
      </c>
      <c r="T33" s="40">
        <f t="shared" si="7"/>
        <v>0</v>
      </c>
      <c r="U33" s="61" t="b">
        <v>0</v>
      </c>
      <c r="V33" s="3">
        <f t="shared" si="8"/>
        <v>0</v>
      </c>
      <c r="W33" s="61" t="b">
        <v>0</v>
      </c>
      <c r="X33" s="3">
        <f t="shared" si="9"/>
        <v>0</v>
      </c>
      <c r="Y33" s="64" t="b">
        <v>0</v>
      </c>
      <c r="Z33" s="36"/>
    </row>
    <row r="34" spans="1:26" ht="15" x14ac:dyDescent="0.4">
      <c r="A34" s="3">
        <f t="shared" si="0"/>
        <v>21</v>
      </c>
      <c r="B34" s="32">
        <v>45668</v>
      </c>
      <c r="C34" s="33" t="s">
        <v>6</v>
      </c>
      <c r="D34" s="3" cm="1">
        <f t="array" aca="1" ref="D34" ca="1">IF($C34="","",COUNTIF(_xlfn.TAKE(OFFSET($C$14, 0, 0, COUNTA($C$14:$C$113),1),$A34),$C34))</f>
        <v>5</v>
      </c>
      <c r="E34" s="48">
        <v>7855</v>
      </c>
      <c r="F34" s="48">
        <v>2268</v>
      </c>
      <c r="G34" s="35" t="s">
        <v>40</v>
      </c>
      <c r="H34" s="40">
        <f t="shared" si="1"/>
        <v>0</v>
      </c>
      <c r="I34" s="61" t="b">
        <v>0</v>
      </c>
      <c r="J34" s="3">
        <f t="shared" si="2"/>
        <v>0</v>
      </c>
      <c r="K34" s="61" t="b">
        <v>0</v>
      </c>
      <c r="L34" s="3">
        <f t="shared" si="3"/>
        <v>0</v>
      </c>
      <c r="M34" s="58" t="b">
        <v>0</v>
      </c>
      <c r="N34" s="40">
        <f t="shared" si="4"/>
        <v>21</v>
      </c>
      <c r="O34" s="61" t="b">
        <v>0</v>
      </c>
      <c r="P34" s="3">
        <f t="shared" si="5"/>
        <v>21</v>
      </c>
      <c r="Q34" s="61" t="b">
        <v>0</v>
      </c>
      <c r="R34" s="3">
        <f t="shared" si="6"/>
        <v>21</v>
      </c>
      <c r="S34" s="58" t="b">
        <v>0</v>
      </c>
      <c r="T34" s="40">
        <f t="shared" si="7"/>
        <v>0</v>
      </c>
      <c r="U34" s="61" t="b">
        <v>0</v>
      </c>
      <c r="V34" s="3">
        <f t="shared" si="8"/>
        <v>0</v>
      </c>
      <c r="W34" s="61" t="b">
        <v>0</v>
      </c>
      <c r="X34" s="3">
        <f t="shared" si="9"/>
        <v>0</v>
      </c>
      <c r="Y34" s="64" t="b">
        <v>0</v>
      </c>
      <c r="Z34" s="36"/>
    </row>
    <row r="35" spans="1:26" ht="15" x14ac:dyDescent="0.4">
      <c r="A35" s="3">
        <f t="shared" si="0"/>
        <v>22</v>
      </c>
      <c r="B35" s="32">
        <v>45669</v>
      </c>
      <c r="C35" s="33" t="s">
        <v>6</v>
      </c>
      <c r="D35" s="3" cm="1">
        <f t="array" aca="1" ref="D35" ca="1">IF($C35="","",COUNTIF(_xlfn.TAKE(OFFSET($C$14, 0, 0, COUNTA($C$14:$C$113),1),$A35),$C35))</f>
        <v>6</v>
      </c>
      <c r="E35" s="48">
        <v>7845</v>
      </c>
      <c r="F35" s="48">
        <v>1867</v>
      </c>
      <c r="G35" s="35" t="s">
        <v>40</v>
      </c>
      <c r="H35" s="40">
        <f t="shared" si="1"/>
        <v>0</v>
      </c>
      <c r="I35" s="61" t="b">
        <v>0</v>
      </c>
      <c r="J35" s="3">
        <f t="shared" si="2"/>
        <v>0</v>
      </c>
      <c r="K35" s="61" t="b">
        <v>0</v>
      </c>
      <c r="L35" s="3">
        <f t="shared" si="3"/>
        <v>0</v>
      </c>
      <c r="M35" s="58" t="b">
        <v>0</v>
      </c>
      <c r="N35" s="40">
        <f t="shared" si="4"/>
        <v>22</v>
      </c>
      <c r="O35" s="61" t="b">
        <v>0</v>
      </c>
      <c r="P35" s="3">
        <f t="shared" si="5"/>
        <v>22</v>
      </c>
      <c r="Q35" s="61" t="b">
        <v>0</v>
      </c>
      <c r="R35" s="3">
        <f t="shared" si="6"/>
        <v>22</v>
      </c>
      <c r="S35" s="58" t="b">
        <v>0</v>
      </c>
      <c r="T35" s="40">
        <f t="shared" si="7"/>
        <v>0</v>
      </c>
      <c r="U35" s="61" t="b">
        <v>0</v>
      </c>
      <c r="V35" s="3">
        <f t="shared" si="8"/>
        <v>0</v>
      </c>
      <c r="W35" s="61" t="b">
        <v>0</v>
      </c>
      <c r="X35" s="3">
        <f t="shared" si="9"/>
        <v>0</v>
      </c>
      <c r="Y35" s="64" t="b">
        <v>0</v>
      </c>
      <c r="Z35" s="36"/>
    </row>
    <row r="36" spans="1:26" ht="15" x14ac:dyDescent="0.4">
      <c r="A36" s="3">
        <f t="shared" si="0"/>
        <v>23</v>
      </c>
      <c r="B36" s="32">
        <v>45670</v>
      </c>
      <c r="C36" s="33" t="s">
        <v>9</v>
      </c>
      <c r="D36" s="3" cm="1">
        <f t="array" aca="1" ref="D36" ca="1">IF($C36="","",COUNTIF(_xlfn.TAKE(OFFSET($C$14, 0, 0, COUNTA($C$14:$C$113),1),$A36),$C36))</f>
        <v>1</v>
      </c>
      <c r="E36" s="48">
        <v>13205</v>
      </c>
      <c r="F36" s="48">
        <v>2145</v>
      </c>
      <c r="G36" s="35" t="s">
        <v>40</v>
      </c>
      <c r="H36" s="40">
        <f t="shared" si="1"/>
        <v>0</v>
      </c>
      <c r="I36" s="61" t="b">
        <v>0</v>
      </c>
      <c r="J36" s="3">
        <f t="shared" si="2"/>
        <v>0</v>
      </c>
      <c r="K36" s="61" t="b">
        <v>0</v>
      </c>
      <c r="L36" s="3">
        <f t="shared" si="3"/>
        <v>0</v>
      </c>
      <c r="M36" s="58" t="b">
        <v>0</v>
      </c>
      <c r="N36" s="40">
        <f t="shared" si="4"/>
        <v>23</v>
      </c>
      <c r="O36" s="61" t="b">
        <v>0</v>
      </c>
      <c r="P36" s="3">
        <f t="shared" si="5"/>
        <v>23</v>
      </c>
      <c r="Q36" s="61" t="b">
        <v>0</v>
      </c>
      <c r="R36" s="3">
        <f t="shared" si="6"/>
        <v>23</v>
      </c>
      <c r="S36" s="58" t="b">
        <v>0</v>
      </c>
      <c r="T36" s="40">
        <f t="shared" si="7"/>
        <v>0</v>
      </c>
      <c r="U36" s="61" t="b">
        <f>TRUE</f>
        <v>1</v>
      </c>
      <c r="V36" s="3">
        <f t="shared" si="8"/>
        <v>0</v>
      </c>
      <c r="W36" s="61" t="b">
        <v>0</v>
      </c>
      <c r="X36" s="3">
        <f t="shared" si="9"/>
        <v>0</v>
      </c>
      <c r="Y36" s="64" t="b">
        <v>0</v>
      </c>
      <c r="Z36" s="36"/>
    </row>
    <row r="37" spans="1:26" ht="15" x14ac:dyDescent="0.4">
      <c r="A37" s="3">
        <f t="shared" si="0"/>
        <v>24</v>
      </c>
      <c r="B37" s="32">
        <v>45672</v>
      </c>
      <c r="C37" s="33" t="s">
        <v>9</v>
      </c>
      <c r="D37" s="3" cm="1">
        <f t="array" aca="1" ref="D37" ca="1">IF($C37="","",COUNTIF(_xlfn.TAKE(OFFSET($C$14, 0, 0, COUNTA($C$14:$C$113),1),$A37),$C37))</f>
        <v>2</v>
      </c>
      <c r="E37" s="48">
        <v>12065</v>
      </c>
      <c r="F37" s="48">
        <v>1365</v>
      </c>
      <c r="G37" s="35" t="s">
        <v>40</v>
      </c>
      <c r="H37" s="40">
        <f t="shared" si="1"/>
        <v>0</v>
      </c>
      <c r="I37" s="61" t="b">
        <v>0</v>
      </c>
      <c r="J37" s="3">
        <f t="shared" si="2"/>
        <v>0</v>
      </c>
      <c r="K37" s="61" t="b">
        <v>0</v>
      </c>
      <c r="L37" s="3">
        <f t="shared" si="3"/>
        <v>0</v>
      </c>
      <c r="M37" s="58" t="b">
        <v>0</v>
      </c>
      <c r="N37" s="40">
        <f t="shared" si="4"/>
        <v>24</v>
      </c>
      <c r="O37" s="61" t="b">
        <v>0</v>
      </c>
      <c r="P37" s="3">
        <f t="shared" si="5"/>
        <v>24</v>
      </c>
      <c r="Q37" s="61" t="b">
        <v>0</v>
      </c>
      <c r="R37" s="3">
        <f t="shared" si="6"/>
        <v>24</v>
      </c>
      <c r="S37" s="58" t="b">
        <v>0</v>
      </c>
      <c r="T37" s="40">
        <f t="shared" si="7"/>
        <v>0</v>
      </c>
      <c r="U37" s="61" t="b">
        <v>0</v>
      </c>
      <c r="V37" s="3">
        <f t="shared" si="8"/>
        <v>0</v>
      </c>
      <c r="W37" s="61" t="b">
        <v>0</v>
      </c>
      <c r="X37" s="3">
        <f t="shared" si="9"/>
        <v>0</v>
      </c>
      <c r="Y37" s="64" t="b">
        <v>0</v>
      </c>
      <c r="Z37" s="36"/>
    </row>
    <row r="38" spans="1:26" ht="15" x14ac:dyDescent="0.4">
      <c r="A38" s="3">
        <f t="shared" si="0"/>
        <v>25</v>
      </c>
      <c r="B38" s="32">
        <v>45673</v>
      </c>
      <c r="C38" s="33" t="s">
        <v>9</v>
      </c>
      <c r="D38" s="3" cm="1">
        <f t="array" aca="1" ref="D38" ca="1">IF($C38="","",COUNTIF(_xlfn.TAKE(OFFSET($C$14, 0, 0, COUNTA($C$14:$C$113),1),$A38),$C38))</f>
        <v>3</v>
      </c>
      <c r="E38" s="48">
        <v>7085</v>
      </c>
      <c r="F38" s="48">
        <v>1197</v>
      </c>
      <c r="G38" s="35" t="s">
        <v>40</v>
      </c>
      <c r="H38" s="40">
        <f t="shared" si="1"/>
        <v>0</v>
      </c>
      <c r="I38" s="61" t="b">
        <v>0</v>
      </c>
      <c r="J38" s="3">
        <f t="shared" si="2"/>
        <v>0</v>
      </c>
      <c r="K38" s="61" t="b">
        <v>0</v>
      </c>
      <c r="L38" s="3">
        <f t="shared" si="3"/>
        <v>0</v>
      </c>
      <c r="M38" s="58" t="b">
        <v>0</v>
      </c>
      <c r="N38" s="40">
        <f t="shared" si="4"/>
        <v>25</v>
      </c>
      <c r="O38" s="61" t="b">
        <v>0</v>
      </c>
      <c r="P38" s="3">
        <f t="shared" si="5"/>
        <v>25</v>
      </c>
      <c r="Q38" s="61" t="b">
        <v>0</v>
      </c>
      <c r="R38" s="3">
        <f t="shared" si="6"/>
        <v>25</v>
      </c>
      <c r="S38" s="58" t="b">
        <v>0</v>
      </c>
      <c r="T38" s="40">
        <f t="shared" si="7"/>
        <v>0</v>
      </c>
      <c r="U38" s="61" t="b">
        <v>0</v>
      </c>
      <c r="V38" s="3">
        <f t="shared" si="8"/>
        <v>0</v>
      </c>
      <c r="W38" s="61" t="b">
        <v>0</v>
      </c>
      <c r="X38" s="3">
        <f t="shared" si="9"/>
        <v>0</v>
      </c>
      <c r="Y38" s="64" t="b">
        <v>0</v>
      </c>
      <c r="Z38" s="36"/>
    </row>
    <row r="39" spans="1:26" ht="15" x14ac:dyDescent="0.4">
      <c r="A39" s="3">
        <f t="shared" si="0"/>
        <v>26</v>
      </c>
      <c r="B39" s="32">
        <v>45674</v>
      </c>
      <c r="C39" s="33" t="s">
        <v>19</v>
      </c>
      <c r="D39" s="3" cm="1">
        <f t="array" aca="1" ref="D39" ca="1">IF($C39="","",COUNTIF(_xlfn.TAKE(OFFSET($C$14, 0, 0, COUNTA($C$14:$C$113),1),$A39),$C39))</f>
        <v>1</v>
      </c>
      <c r="E39" s="48">
        <v>8050</v>
      </c>
      <c r="F39" s="48">
        <v>967</v>
      </c>
      <c r="G39" s="35" t="s">
        <v>40</v>
      </c>
      <c r="H39" s="40">
        <f t="shared" si="1"/>
        <v>0</v>
      </c>
      <c r="I39" s="61" t="b">
        <v>0</v>
      </c>
      <c r="J39" s="3">
        <f t="shared" si="2"/>
        <v>0</v>
      </c>
      <c r="K39" s="61" t="b">
        <v>0</v>
      </c>
      <c r="L39" s="3">
        <f t="shared" si="3"/>
        <v>0</v>
      </c>
      <c r="M39" s="58" t="b">
        <v>0</v>
      </c>
      <c r="N39" s="40">
        <f t="shared" si="4"/>
        <v>26</v>
      </c>
      <c r="O39" s="61" t="b">
        <v>0</v>
      </c>
      <c r="P39" s="3">
        <f t="shared" si="5"/>
        <v>26</v>
      </c>
      <c r="Q39" s="61" t="b">
        <v>0</v>
      </c>
      <c r="R39" s="3">
        <f t="shared" si="6"/>
        <v>26</v>
      </c>
      <c r="S39" s="58" t="b">
        <v>0</v>
      </c>
      <c r="T39" s="40">
        <f t="shared" si="7"/>
        <v>0</v>
      </c>
      <c r="U39" s="61" t="b">
        <v>0</v>
      </c>
      <c r="V39" s="3">
        <f t="shared" si="8"/>
        <v>0</v>
      </c>
      <c r="W39" s="61" t="b">
        <v>0</v>
      </c>
      <c r="X39" s="3">
        <f t="shared" si="9"/>
        <v>0</v>
      </c>
      <c r="Y39" s="64" t="b">
        <v>0</v>
      </c>
      <c r="Z39" s="36"/>
    </row>
    <row r="40" spans="1:26" ht="15" x14ac:dyDescent="0.4">
      <c r="A40" s="3">
        <f t="shared" si="0"/>
        <v>27</v>
      </c>
      <c r="B40" s="32">
        <v>45675</v>
      </c>
      <c r="C40" s="33" t="s">
        <v>19</v>
      </c>
      <c r="D40" s="3" cm="1">
        <f t="array" aca="1" ref="D40" ca="1">IF($C40="","",COUNTIF(_xlfn.TAKE(OFFSET($C$14, 0, 0, COUNTA($C$14:$C$113),1),$A40),$C40))</f>
        <v>2</v>
      </c>
      <c r="E40" s="48">
        <v>7230</v>
      </c>
      <c r="F40" s="48">
        <v>1079</v>
      </c>
      <c r="G40" s="35" t="s">
        <v>40</v>
      </c>
      <c r="H40" s="40">
        <f t="shared" si="1"/>
        <v>0</v>
      </c>
      <c r="I40" s="61" t="b">
        <v>0</v>
      </c>
      <c r="J40" s="3">
        <f t="shared" si="2"/>
        <v>0</v>
      </c>
      <c r="K40" s="61" t="b">
        <v>0</v>
      </c>
      <c r="L40" s="3">
        <f t="shared" si="3"/>
        <v>0</v>
      </c>
      <c r="M40" s="58" t="b">
        <v>0</v>
      </c>
      <c r="N40" s="40">
        <f t="shared" si="4"/>
        <v>27</v>
      </c>
      <c r="O40" s="61" t="b">
        <v>0</v>
      </c>
      <c r="P40" s="3">
        <f t="shared" si="5"/>
        <v>27</v>
      </c>
      <c r="Q40" s="61" t="b">
        <v>0</v>
      </c>
      <c r="R40" s="3">
        <f t="shared" si="6"/>
        <v>27</v>
      </c>
      <c r="S40" s="58" t="b">
        <v>0</v>
      </c>
      <c r="T40" s="40">
        <f t="shared" si="7"/>
        <v>0</v>
      </c>
      <c r="U40" s="61" t="b">
        <v>0</v>
      </c>
      <c r="V40" s="3">
        <f t="shared" si="8"/>
        <v>0</v>
      </c>
      <c r="W40" s="61" t="b">
        <v>0</v>
      </c>
      <c r="X40" s="3">
        <f t="shared" si="9"/>
        <v>0</v>
      </c>
      <c r="Y40" s="64" t="b">
        <v>0</v>
      </c>
      <c r="Z40" s="36"/>
    </row>
    <row r="41" spans="1:26" ht="15" x14ac:dyDescent="0.4">
      <c r="A41" s="3">
        <f t="shared" si="0"/>
        <v>28</v>
      </c>
      <c r="B41" s="32">
        <v>45677</v>
      </c>
      <c r="C41" s="33" t="s">
        <v>19</v>
      </c>
      <c r="D41" s="3" cm="1">
        <f t="array" aca="1" ref="D41" ca="1">IF($C41="","",COUNTIF(_xlfn.TAKE(OFFSET($C$14, 0, 0, COUNTA($C$14:$C$113),1),$A41),$C41))</f>
        <v>3</v>
      </c>
      <c r="E41" s="48">
        <v>7100</v>
      </c>
      <c r="F41" s="48">
        <v>1464</v>
      </c>
      <c r="G41" s="35" t="s">
        <v>40</v>
      </c>
      <c r="H41" s="40">
        <f t="shared" si="1"/>
        <v>0</v>
      </c>
      <c r="I41" s="61" t="b">
        <v>0</v>
      </c>
      <c r="J41" s="3">
        <f t="shared" si="2"/>
        <v>0</v>
      </c>
      <c r="K41" s="61" t="b">
        <v>0</v>
      </c>
      <c r="L41" s="3">
        <f t="shared" si="3"/>
        <v>0</v>
      </c>
      <c r="M41" s="58" t="b">
        <v>0</v>
      </c>
      <c r="N41" s="40">
        <f t="shared" si="4"/>
        <v>28</v>
      </c>
      <c r="O41" s="61" t="b">
        <v>0</v>
      </c>
      <c r="P41" s="3">
        <f t="shared" si="5"/>
        <v>28</v>
      </c>
      <c r="Q41" s="61" t="b">
        <v>0</v>
      </c>
      <c r="R41" s="3">
        <f t="shared" si="6"/>
        <v>28</v>
      </c>
      <c r="S41" s="58" t="b">
        <v>0</v>
      </c>
      <c r="T41" s="40">
        <f t="shared" si="7"/>
        <v>0</v>
      </c>
      <c r="U41" s="61" t="b">
        <f>TRUE</f>
        <v>1</v>
      </c>
      <c r="V41" s="3">
        <f t="shared" si="8"/>
        <v>0</v>
      </c>
      <c r="W41" s="61" t="b">
        <v>0</v>
      </c>
      <c r="X41" s="3">
        <f t="shared" si="9"/>
        <v>0</v>
      </c>
      <c r="Y41" s="64" t="b">
        <v>0</v>
      </c>
      <c r="Z41" s="36"/>
    </row>
    <row r="42" spans="1:26" ht="15" x14ac:dyDescent="0.4">
      <c r="A42" s="3">
        <f t="shared" si="0"/>
        <v>29</v>
      </c>
      <c r="B42" s="32">
        <v>45678</v>
      </c>
      <c r="C42" s="33" t="s">
        <v>19</v>
      </c>
      <c r="D42" s="3" cm="1">
        <f t="array" aca="1" ref="D42" ca="1">IF($C42="","",COUNTIF(_xlfn.TAKE(OFFSET($C$14, 0, 0, COUNTA($C$14:$C$113),1),$A42),$C42))</f>
        <v>4</v>
      </c>
      <c r="E42" s="48">
        <v>11700</v>
      </c>
      <c r="F42" s="48">
        <v>1319</v>
      </c>
      <c r="G42" s="35" t="s">
        <v>40</v>
      </c>
      <c r="H42" s="40">
        <f t="shared" si="1"/>
        <v>0</v>
      </c>
      <c r="I42" s="61" t="b">
        <v>0</v>
      </c>
      <c r="J42" s="3">
        <f t="shared" si="2"/>
        <v>0</v>
      </c>
      <c r="K42" s="61" t="b">
        <v>0</v>
      </c>
      <c r="L42" s="3">
        <f t="shared" si="3"/>
        <v>0</v>
      </c>
      <c r="M42" s="58" t="b">
        <v>0</v>
      </c>
      <c r="N42" s="40">
        <f t="shared" si="4"/>
        <v>29</v>
      </c>
      <c r="O42" s="61" t="b">
        <v>0</v>
      </c>
      <c r="P42" s="3">
        <f t="shared" si="5"/>
        <v>29</v>
      </c>
      <c r="Q42" s="61" t="b">
        <v>0</v>
      </c>
      <c r="R42" s="3">
        <f t="shared" si="6"/>
        <v>29</v>
      </c>
      <c r="S42" s="58" t="b">
        <v>0</v>
      </c>
      <c r="T42" s="40">
        <f t="shared" si="7"/>
        <v>0</v>
      </c>
      <c r="U42" s="61" t="b">
        <f>TRUE</f>
        <v>1</v>
      </c>
      <c r="V42" s="3">
        <f t="shared" si="8"/>
        <v>0</v>
      </c>
      <c r="W42" s="61" t="b">
        <v>0</v>
      </c>
      <c r="X42" s="3">
        <f t="shared" si="9"/>
        <v>0</v>
      </c>
      <c r="Y42" s="64" t="b">
        <v>0</v>
      </c>
      <c r="Z42" s="36"/>
    </row>
    <row r="43" spans="1:26" ht="15" x14ac:dyDescent="0.4">
      <c r="A43" s="3">
        <f t="shared" si="0"/>
        <v>30</v>
      </c>
      <c r="B43" s="32">
        <v>45701</v>
      </c>
      <c r="C43" s="33" t="s">
        <v>12</v>
      </c>
      <c r="D43" s="3" cm="1">
        <f t="array" aca="1" ref="D43" ca="1">IF($C43="","",COUNTIF(_xlfn.TAKE(OFFSET($C$14, 0, 0, COUNTA($C$14:$C$113),1),$A43),$C43))</f>
        <v>1</v>
      </c>
      <c r="E43" s="48">
        <v>13720</v>
      </c>
      <c r="F43" s="48">
        <v>1527</v>
      </c>
      <c r="G43" s="35" t="s">
        <v>40</v>
      </c>
      <c r="H43" s="40">
        <f t="shared" si="1"/>
        <v>0</v>
      </c>
      <c r="I43" s="61" t="b">
        <v>0</v>
      </c>
      <c r="J43" s="3">
        <f t="shared" si="2"/>
        <v>0</v>
      </c>
      <c r="K43" s="61" t="b">
        <v>0</v>
      </c>
      <c r="L43" s="3">
        <f t="shared" si="3"/>
        <v>0</v>
      </c>
      <c r="M43" s="58" t="b">
        <v>0</v>
      </c>
      <c r="N43" s="40">
        <f t="shared" si="4"/>
        <v>30</v>
      </c>
      <c r="O43" s="61" t="b">
        <v>0</v>
      </c>
      <c r="P43" s="3">
        <f t="shared" si="5"/>
        <v>30</v>
      </c>
      <c r="Q43" s="61" t="b">
        <v>0</v>
      </c>
      <c r="R43" s="3">
        <f t="shared" si="6"/>
        <v>30</v>
      </c>
      <c r="S43" s="58" t="b">
        <v>0</v>
      </c>
      <c r="T43" s="40">
        <f t="shared" si="7"/>
        <v>0</v>
      </c>
      <c r="U43" s="61" t="b">
        <v>0</v>
      </c>
      <c r="V43" s="3">
        <f t="shared" si="8"/>
        <v>0</v>
      </c>
      <c r="W43" s="61" t="b">
        <v>0</v>
      </c>
      <c r="X43" s="3">
        <f t="shared" si="9"/>
        <v>0</v>
      </c>
      <c r="Y43" s="64" t="b">
        <v>0</v>
      </c>
      <c r="Z43" s="36"/>
    </row>
    <row r="44" spans="1:26" ht="15" x14ac:dyDescent="0.4">
      <c r="A44" s="3">
        <f t="shared" si="0"/>
        <v>31</v>
      </c>
      <c r="B44" s="32">
        <v>45702</v>
      </c>
      <c r="C44" s="33" t="s">
        <v>12</v>
      </c>
      <c r="D44" s="3" cm="1">
        <f t="array" aca="1" ref="D44" ca="1">IF($C44="","",COUNTIF(_xlfn.TAKE(OFFSET($C$14, 0, 0, COUNTA($C$14:$C$113),1),$A44),$C44))</f>
        <v>2</v>
      </c>
      <c r="E44" s="48">
        <v>4560</v>
      </c>
      <c r="F44" s="48">
        <v>612</v>
      </c>
      <c r="G44" s="35" t="s">
        <v>40</v>
      </c>
      <c r="H44" s="40">
        <f t="shared" si="1"/>
        <v>0</v>
      </c>
      <c r="I44" s="61" t="b">
        <v>0</v>
      </c>
      <c r="J44" s="3">
        <f t="shared" si="2"/>
        <v>0</v>
      </c>
      <c r="K44" s="61" t="b">
        <v>0</v>
      </c>
      <c r="L44" s="3">
        <f t="shared" si="3"/>
        <v>0</v>
      </c>
      <c r="M44" s="58" t="b">
        <v>0</v>
      </c>
      <c r="N44" s="40">
        <f t="shared" si="4"/>
        <v>31</v>
      </c>
      <c r="O44" s="61" t="b">
        <v>0</v>
      </c>
      <c r="P44" s="3">
        <f t="shared" si="5"/>
        <v>31</v>
      </c>
      <c r="Q44" s="61" t="b">
        <v>0</v>
      </c>
      <c r="R44" s="3">
        <f t="shared" si="6"/>
        <v>31</v>
      </c>
      <c r="S44" s="58" t="b">
        <v>0</v>
      </c>
      <c r="T44" s="40">
        <f t="shared" si="7"/>
        <v>0</v>
      </c>
      <c r="U44" s="61" t="b">
        <v>0</v>
      </c>
      <c r="V44" s="3">
        <f t="shared" si="8"/>
        <v>0</v>
      </c>
      <c r="W44" s="61" t="b">
        <v>0</v>
      </c>
      <c r="X44" s="3">
        <f t="shared" si="9"/>
        <v>0</v>
      </c>
      <c r="Y44" s="64" t="b">
        <v>0</v>
      </c>
      <c r="Z44" s="36"/>
    </row>
    <row r="45" spans="1:26" ht="15" x14ac:dyDescent="0.4">
      <c r="A45" s="3">
        <f t="shared" si="0"/>
        <v>32</v>
      </c>
      <c r="B45" s="32">
        <v>45703</v>
      </c>
      <c r="C45" s="33" t="s">
        <v>12</v>
      </c>
      <c r="D45" s="3" cm="1">
        <f t="array" aca="1" ref="D45" ca="1">IF($C45="","",COUNTIF(_xlfn.TAKE(OFFSET($C$14, 0, 0, COUNTA($C$14:$C$113),1),$A45),$C45))</f>
        <v>3</v>
      </c>
      <c r="E45" s="48">
        <v>8580</v>
      </c>
      <c r="F45" s="48">
        <v>1233</v>
      </c>
      <c r="G45" s="35" t="s">
        <v>40</v>
      </c>
      <c r="H45" s="40">
        <f t="shared" si="1"/>
        <v>0</v>
      </c>
      <c r="I45" s="61" t="b">
        <v>0</v>
      </c>
      <c r="J45" s="3">
        <f t="shared" si="2"/>
        <v>0</v>
      </c>
      <c r="K45" s="61" t="b">
        <v>0</v>
      </c>
      <c r="L45" s="3">
        <f t="shared" si="3"/>
        <v>0</v>
      </c>
      <c r="M45" s="58" t="b">
        <v>0</v>
      </c>
      <c r="N45" s="40">
        <f t="shared" si="4"/>
        <v>32</v>
      </c>
      <c r="O45" s="61" t="b">
        <v>0</v>
      </c>
      <c r="P45" s="3">
        <f t="shared" si="5"/>
        <v>32</v>
      </c>
      <c r="Q45" s="61" t="b">
        <v>0</v>
      </c>
      <c r="R45" s="3">
        <f t="shared" si="6"/>
        <v>32</v>
      </c>
      <c r="S45" s="58" t="b">
        <v>0</v>
      </c>
      <c r="T45" s="40">
        <f t="shared" si="7"/>
        <v>0</v>
      </c>
      <c r="U45" s="61" t="b">
        <v>0</v>
      </c>
      <c r="V45" s="3">
        <f t="shared" si="8"/>
        <v>0</v>
      </c>
      <c r="W45" s="61" t="b">
        <v>0</v>
      </c>
      <c r="X45" s="3">
        <f t="shared" si="9"/>
        <v>0</v>
      </c>
      <c r="Y45" s="64" t="b">
        <v>0</v>
      </c>
      <c r="Z45" s="36"/>
    </row>
    <row r="46" spans="1:26" ht="15" x14ac:dyDescent="0.4">
      <c r="A46" s="3">
        <f t="shared" si="0"/>
        <v>33</v>
      </c>
      <c r="B46" s="32">
        <v>45704</v>
      </c>
      <c r="C46" s="33" t="s">
        <v>12</v>
      </c>
      <c r="D46" s="3" cm="1">
        <f t="array" aca="1" ref="D46" ca="1">IF($C46="","",COUNTIF(_xlfn.TAKE(OFFSET($C$14, 0, 0, COUNTA($C$14:$C$113),1),$A46),$C46))</f>
        <v>4</v>
      </c>
      <c r="E46" s="48">
        <v>7900</v>
      </c>
      <c r="F46" s="48">
        <v>1068</v>
      </c>
      <c r="G46" s="35" t="s">
        <v>40</v>
      </c>
      <c r="H46" s="40">
        <f t="shared" si="1"/>
        <v>0</v>
      </c>
      <c r="I46" s="61" t="b">
        <v>0</v>
      </c>
      <c r="J46" s="3">
        <f t="shared" si="2"/>
        <v>0</v>
      </c>
      <c r="K46" s="61" t="b">
        <v>0</v>
      </c>
      <c r="L46" s="3">
        <f t="shared" si="3"/>
        <v>0</v>
      </c>
      <c r="M46" s="58" t="b">
        <v>0</v>
      </c>
      <c r="N46" s="40">
        <f t="shared" si="4"/>
        <v>33</v>
      </c>
      <c r="O46" s="61" t="b">
        <v>0</v>
      </c>
      <c r="P46" s="3">
        <f t="shared" si="5"/>
        <v>33</v>
      </c>
      <c r="Q46" s="61" t="b">
        <v>0</v>
      </c>
      <c r="R46" s="3">
        <f t="shared" si="6"/>
        <v>33</v>
      </c>
      <c r="S46" s="58" t="b">
        <v>0</v>
      </c>
      <c r="T46" s="40">
        <f t="shared" si="7"/>
        <v>0</v>
      </c>
      <c r="U46" s="61" t="b">
        <v>0</v>
      </c>
      <c r="V46" s="3">
        <f t="shared" si="8"/>
        <v>0</v>
      </c>
      <c r="W46" s="61" t="b">
        <v>0</v>
      </c>
      <c r="X46" s="3">
        <f t="shared" si="9"/>
        <v>0</v>
      </c>
      <c r="Y46" s="64" t="b">
        <v>0</v>
      </c>
      <c r="Z46" s="36"/>
    </row>
    <row r="47" spans="1:26" ht="15" x14ac:dyDescent="0.4">
      <c r="A47" s="3">
        <f t="shared" si="0"/>
        <v>34</v>
      </c>
      <c r="B47" s="32">
        <v>45706</v>
      </c>
      <c r="C47" s="33" t="s">
        <v>12</v>
      </c>
      <c r="D47" s="3" cm="1">
        <f t="array" aca="1" ref="D47" ca="1">IF($C47="","",COUNTIF(_xlfn.TAKE(OFFSET($C$14, 0, 0, COUNTA($C$14:$C$113),1),$A47),$C47))</f>
        <v>5</v>
      </c>
      <c r="E47" s="48">
        <v>8540</v>
      </c>
      <c r="F47" s="48">
        <v>1470</v>
      </c>
      <c r="G47" s="35" t="s">
        <v>40</v>
      </c>
      <c r="H47" s="40">
        <f t="shared" si="1"/>
        <v>0</v>
      </c>
      <c r="I47" s="61" t="b">
        <v>0</v>
      </c>
      <c r="J47" s="3">
        <f t="shared" si="2"/>
        <v>0</v>
      </c>
      <c r="K47" s="61" t="b">
        <v>0</v>
      </c>
      <c r="L47" s="3">
        <f t="shared" si="3"/>
        <v>0</v>
      </c>
      <c r="M47" s="58" t="b">
        <v>0</v>
      </c>
      <c r="N47" s="40">
        <f t="shared" si="4"/>
        <v>34</v>
      </c>
      <c r="O47" s="61" t="b">
        <v>0</v>
      </c>
      <c r="P47" s="3">
        <f t="shared" si="5"/>
        <v>34</v>
      </c>
      <c r="Q47" s="61" t="b">
        <v>0</v>
      </c>
      <c r="R47" s="3">
        <f t="shared" si="6"/>
        <v>34</v>
      </c>
      <c r="S47" s="58" t="b">
        <v>0</v>
      </c>
      <c r="T47" s="40">
        <f t="shared" si="7"/>
        <v>0</v>
      </c>
      <c r="U47" s="61" t="b">
        <v>0</v>
      </c>
      <c r="V47" s="3">
        <f t="shared" si="8"/>
        <v>0</v>
      </c>
      <c r="W47" s="61" t="b">
        <v>0</v>
      </c>
      <c r="X47" s="3">
        <f t="shared" si="9"/>
        <v>0</v>
      </c>
      <c r="Y47" s="64" t="b">
        <v>0</v>
      </c>
      <c r="Z47" s="36"/>
    </row>
    <row r="48" spans="1:26" ht="15" x14ac:dyDescent="0.4">
      <c r="A48" s="3">
        <f t="shared" si="0"/>
        <v>35</v>
      </c>
      <c r="B48" s="32">
        <v>45707</v>
      </c>
      <c r="C48" s="33" t="s">
        <v>12</v>
      </c>
      <c r="D48" s="3" cm="1">
        <f t="array" aca="1" ref="D48" ca="1">IF($C48="","",COUNTIF(_xlfn.TAKE(OFFSET($C$14, 0, 0, COUNTA($C$14:$C$113),1),$A48),$C48))</f>
        <v>6</v>
      </c>
      <c r="E48" s="48">
        <v>17485</v>
      </c>
      <c r="F48" s="48">
        <v>2867</v>
      </c>
      <c r="G48" s="35" t="s">
        <v>40</v>
      </c>
      <c r="H48" s="40">
        <f t="shared" si="1"/>
        <v>0</v>
      </c>
      <c r="I48" s="61" t="b">
        <v>0</v>
      </c>
      <c r="J48" s="3">
        <f t="shared" si="2"/>
        <v>0</v>
      </c>
      <c r="K48" s="61" t="b">
        <v>0</v>
      </c>
      <c r="L48" s="3">
        <f t="shared" si="3"/>
        <v>0</v>
      </c>
      <c r="M48" s="58" t="b">
        <v>0</v>
      </c>
      <c r="N48" s="40">
        <f t="shared" si="4"/>
        <v>35</v>
      </c>
      <c r="O48" s="61" t="b">
        <v>0</v>
      </c>
      <c r="P48" s="3">
        <f t="shared" si="5"/>
        <v>35</v>
      </c>
      <c r="Q48" s="61" t="b">
        <v>0</v>
      </c>
      <c r="R48" s="3">
        <f t="shared" si="6"/>
        <v>35</v>
      </c>
      <c r="S48" s="58" t="b">
        <v>0</v>
      </c>
      <c r="T48" s="40">
        <f t="shared" si="7"/>
        <v>0</v>
      </c>
      <c r="U48" s="61" t="b">
        <v>0</v>
      </c>
      <c r="V48" s="3">
        <f t="shared" si="8"/>
        <v>0</v>
      </c>
      <c r="W48" s="61" t="b">
        <v>0</v>
      </c>
      <c r="X48" s="3">
        <f t="shared" si="9"/>
        <v>0</v>
      </c>
      <c r="Y48" s="64" t="b">
        <v>0</v>
      </c>
      <c r="Z48" s="36"/>
    </row>
    <row r="49" spans="1:26" ht="15" x14ac:dyDescent="0.4">
      <c r="A49" s="3">
        <f t="shared" si="0"/>
        <v>36</v>
      </c>
      <c r="B49" s="32">
        <v>45708</v>
      </c>
      <c r="C49" s="33" t="s">
        <v>12</v>
      </c>
      <c r="D49" s="3" cm="1">
        <f t="array" aca="1" ref="D49" ca="1">IF($C49="","",COUNTIF(_xlfn.TAKE(OFFSET($C$14, 0, 0, COUNTA($C$14:$C$113),1),$A49),$C49))</f>
        <v>7</v>
      </c>
      <c r="E49" s="48">
        <v>8420</v>
      </c>
      <c r="F49" s="48">
        <v>1215</v>
      </c>
      <c r="G49" s="35" t="s">
        <v>40</v>
      </c>
      <c r="H49" s="40">
        <f t="shared" si="1"/>
        <v>0</v>
      </c>
      <c r="I49" s="61" t="b">
        <v>0</v>
      </c>
      <c r="J49" s="3">
        <f t="shared" si="2"/>
        <v>0</v>
      </c>
      <c r="K49" s="61" t="b">
        <v>0</v>
      </c>
      <c r="L49" s="3">
        <f t="shared" si="3"/>
        <v>0</v>
      </c>
      <c r="M49" s="58" t="b">
        <v>0</v>
      </c>
      <c r="N49" s="40">
        <f t="shared" si="4"/>
        <v>36</v>
      </c>
      <c r="O49" s="61" t="b">
        <v>0</v>
      </c>
      <c r="P49" s="3">
        <f t="shared" si="5"/>
        <v>36</v>
      </c>
      <c r="Q49" s="61" t="b">
        <v>0</v>
      </c>
      <c r="R49" s="3">
        <f t="shared" si="6"/>
        <v>36</v>
      </c>
      <c r="S49" s="58" t="b">
        <v>0</v>
      </c>
      <c r="T49" s="40">
        <f t="shared" si="7"/>
        <v>0</v>
      </c>
      <c r="U49" s="61" t="b">
        <v>0</v>
      </c>
      <c r="V49" s="3">
        <f t="shared" si="8"/>
        <v>0</v>
      </c>
      <c r="W49" s="61" t="b">
        <v>0</v>
      </c>
      <c r="X49" s="3">
        <f t="shared" si="9"/>
        <v>0</v>
      </c>
      <c r="Y49" s="64" t="b">
        <v>0</v>
      </c>
      <c r="Z49" s="36"/>
    </row>
    <row r="50" spans="1:26" ht="15" x14ac:dyDescent="0.4">
      <c r="A50" s="3">
        <f t="shared" si="0"/>
        <v>37</v>
      </c>
      <c r="B50" s="32">
        <v>45709</v>
      </c>
      <c r="C50" s="33" t="s">
        <v>12</v>
      </c>
      <c r="D50" s="3" cm="1">
        <f t="array" aca="1" ref="D50" ca="1">IF($C50="","",COUNTIF(_xlfn.TAKE(OFFSET($C$14, 0, 0, COUNTA($C$14:$C$113),1),$A50),$C50))</f>
        <v>8</v>
      </c>
      <c r="E50" s="48">
        <v>6800</v>
      </c>
      <c r="F50" s="48">
        <v>1077</v>
      </c>
      <c r="G50" s="35" t="s">
        <v>40</v>
      </c>
      <c r="H50" s="40">
        <f t="shared" si="1"/>
        <v>0</v>
      </c>
      <c r="I50" s="61" t="b">
        <v>0</v>
      </c>
      <c r="J50" s="3">
        <f t="shared" si="2"/>
        <v>0</v>
      </c>
      <c r="K50" s="61" t="b">
        <v>0</v>
      </c>
      <c r="L50" s="3">
        <f t="shared" si="3"/>
        <v>0</v>
      </c>
      <c r="M50" s="58" t="b">
        <v>0</v>
      </c>
      <c r="N50" s="40">
        <f t="shared" si="4"/>
        <v>37</v>
      </c>
      <c r="O50" s="61" t="b">
        <v>0</v>
      </c>
      <c r="P50" s="3">
        <f t="shared" si="5"/>
        <v>37</v>
      </c>
      <c r="Q50" s="61" t="b">
        <v>0</v>
      </c>
      <c r="R50" s="3">
        <f t="shared" si="6"/>
        <v>37</v>
      </c>
      <c r="S50" s="58" t="b">
        <v>0</v>
      </c>
      <c r="T50" s="40">
        <f t="shared" si="7"/>
        <v>0</v>
      </c>
      <c r="U50" s="61" t="b">
        <v>0</v>
      </c>
      <c r="V50" s="3">
        <f t="shared" si="8"/>
        <v>0</v>
      </c>
      <c r="W50" s="61" t="b">
        <v>0</v>
      </c>
      <c r="X50" s="3">
        <f t="shared" si="9"/>
        <v>0</v>
      </c>
      <c r="Y50" s="64" t="b">
        <v>0</v>
      </c>
      <c r="Z50" s="36"/>
    </row>
    <row r="51" spans="1:26" ht="15" x14ac:dyDescent="0.4">
      <c r="A51" s="3">
        <f t="shared" si="0"/>
        <v>38</v>
      </c>
      <c r="B51" s="32">
        <v>45710</v>
      </c>
      <c r="C51" s="33" t="s">
        <v>12</v>
      </c>
      <c r="D51" s="3" cm="1">
        <f t="array" aca="1" ref="D51" ca="1">IF($C51="","",COUNTIF(_xlfn.TAKE(OFFSET($C$14, 0, 0, COUNTA($C$14:$C$113),1),$A51),$C51))</f>
        <v>9</v>
      </c>
      <c r="E51" s="48">
        <v>9445</v>
      </c>
      <c r="F51" s="48">
        <v>839</v>
      </c>
      <c r="G51" s="35" t="s">
        <v>40</v>
      </c>
      <c r="H51" s="40">
        <f t="shared" si="1"/>
        <v>0</v>
      </c>
      <c r="I51" s="61" t="b">
        <v>0</v>
      </c>
      <c r="J51" s="3">
        <f t="shared" si="2"/>
        <v>0</v>
      </c>
      <c r="K51" s="61" t="b">
        <v>0</v>
      </c>
      <c r="L51" s="3">
        <f t="shared" si="3"/>
        <v>0</v>
      </c>
      <c r="M51" s="58" t="b">
        <v>0</v>
      </c>
      <c r="N51" s="40">
        <f t="shared" si="4"/>
        <v>38</v>
      </c>
      <c r="O51" s="61" t="b">
        <v>0</v>
      </c>
      <c r="P51" s="3">
        <f t="shared" si="5"/>
        <v>38</v>
      </c>
      <c r="Q51" s="61" t="b">
        <v>0</v>
      </c>
      <c r="R51" s="3">
        <f t="shared" si="6"/>
        <v>38</v>
      </c>
      <c r="S51" s="58" t="b">
        <v>0</v>
      </c>
      <c r="T51" s="40">
        <f t="shared" si="7"/>
        <v>0</v>
      </c>
      <c r="U51" s="61" t="b">
        <v>0</v>
      </c>
      <c r="V51" s="3">
        <f t="shared" si="8"/>
        <v>0</v>
      </c>
      <c r="W51" s="61" t="b">
        <v>0</v>
      </c>
      <c r="X51" s="3">
        <f t="shared" si="9"/>
        <v>0</v>
      </c>
      <c r="Y51" s="64" t="b">
        <v>0</v>
      </c>
      <c r="Z51" s="36"/>
    </row>
    <row r="52" spans="1:26" ht="15" x14ac:dyDescent="0.4">
      <c r="A52" s="3">
        <f t="shared" si="0"/>
        <v>39</v>
      </c>
      <c r="B52" s="32">
        <v>45712</v>
      </c>
      <c r="C52" s="33" t="s">
        <v>12</v>
      </c>
      <c r="D52" s="3" cm="1">
        <f t="array" aca="1" ref="D52" ca="1">IF($C52="","",COUNTIF(_xlfn.TAKE(OFFSET($C$14, 0, 0, COUNTA($C$14:$C$113),1),$A52),$C52))</f>
        <v>10</v>
      </c>
      <c r="E52" s="48">
        <v>10350</v>
      </c>
      <c r="F52" s="48">
        <v>1280</v>
      </c>
      <c r="G52" s="35" t="s">
        <v>40</v>
      </c>
      <c r="H52" s="40">
        <f t="shared" si="1"/>
        <v>0</v>
      </c>
      <c r="I52" s="61" t="b">
        <v>0</v>
      </c>
      <c r="J52" s="3">
        <f t="shared" si="2"/>
        <v>0</v>
      </c>
      <c r="K52" s="61" t="b">
        <v>0</v>
      </c>
      <c r="L52" s="3">
        <f t="shared" si="3"/>
        <v>0</v>
      </c>
      <c r="M52" s="58" t="b">
        <v>0</v>
      </c>
      <c r="N52" s="40">
        <f t="shared" si="4"/>
        <v>39</v>
      </c>
      <c r="O52" s="61" t="b">
        <v>0</v>
      </c>
      <c r="P52" s="3">
        <f t="shared" si="5"/>
        <v>39</v>
      </c>
      <c r="Q52" s="61" t="b">
        <v>0</v>
      </c>
      <c r="R52" s="3">
        <f t="shared" si="6"/>
        <v>39</v>
      </c>
      <c r="S52" s="58" t="b">
        <v>0</v>
      </c>
      <c r="T52" s="40">
        <f t="shared" si="7"/>
        <v>0</v>
      </c>
      <c r="U52" s="61" t="b">
        <f>TRUE</f>
        <v>1</v>
      </c>
      <c r="V52" s="3">
        <f t="shared" si="8"/>
        <v>0</v>
      </c>
      <c r="W52" s="61" t="b">
        <v>0</v>
      </c>
      <c r="X52" s="3">
        <f t="shared" si="9"/>
        <v>0</v>
      </c>
      <c r="Y52" s="64" t="b">
        <v>0</v>
      </c>
      <c r="Z52" s="36"/>
    </row>
    <row r="53" spans="1:26" ht="15" x14ac:dyDescent="0.4">
      <c r="A53" s="3">
        <f t="shared" si="0"/>
        <v>40</v>
      </c>
      <c r="B53" s="32">
        <v>45729</v>
      </c>
      <c r="C53" s="33" t="s">
        <v>17</v>
      </c>
      <c r="D53" s="3" cm="1">
        <f t="array" aca="1" ref="D53" ca="1">IF($C53="","",COUNTIF(_xlfn.TAKE(OFFSET($C$14, 0, 0, COUNTA($C$14:$C$113),1),$A53),$C53))</f>
        <v>1</v>
      </c>
      <c r="E53" s="48">
        <v>7090</v>
      </c>
      <c r="F53" s="48">
        <v>1658</v>
      </c>
      <c r="G53" s="35" t="s">
        <v>40</v>
      </c>
      <c r="H53" s="40">
        <f t="shared" si="1"/>
        <v>0</v>
      </c>
      <c r="I53" s="61" t="b">
        <v>0</v>
      </c>
      <c r="J53" s="3">
        <f t="shared" si="2"/>
        <v>0</v>
      </c>
      <c r="K53" s="61" t="b">
        <v>0</v>
      </c>
      <c r="L53" s="3">
        <f t="shared" si="3"/>
        <v>0</v>
      </c>
      <c r="M53" s="58" t="b">
        <v>0</v>
      </c>
      <c r="N53" s="40">
        <f t="shared" si="4"/>
        <v>40</v>
      </c>
      <c r="O53" s="61" t="b">
        <v>0</v>
      </c>
      <c r="P53" s="3">
        <f t="shared" si="5"/>
        <v>40</v>
      </c>
      <c r="Q53" s="61" t="b">
        <v>0</v>
      </c>
      <c r="R53" s="3">
        <f t="shared" si="6"/>
        <v>40</v>
      </c>
      <c r="S53" s="58" t="b">
        <v>0</v>
      </c>
      <c r="T53" s="40">
        <f t="shared" si="7"/>
        <v>0</v>
      </c>
      <c r="U53" s="61" t="b">
        <v>0</v>
      </c>
      <c r="V53" s="3">
        <f t="shared" si="8"/>
        <v>0</v>
      </c>
      <c r="W53" s="61" t="b">
        <v>0</v>
      </c>
      <c r="X53" s="3">
        <f t="shared" si="9"/>
        <v>0</v>
      </c>
      <c r="Y53" s="64" t="b">
        <v>0</v>
      </c>
      <c r="Z53" s="36"/>
    </row>
    <row r="54" spans="1:26" ht="15" x14ac:dyDescent="0.4">
      <c r="A54" s="3">
        <f t="shared" si="0"/>
        <v>41</v>
      </c>
      <c r="B54" s="32">
        <v>45730</v>
      </c>
      <c r="C54" s="33" t="s">
        <v>11</v>
      </c>
      <c r="D54" s="3" cm="1">
        <f t="array" aca="1" ref="D54" ca="1">IF($C54="","",COUNTIF(_xlfn.TAKE(OFFSET($C$14, 0, 0, COUNTA($C$14:$C$113),1),$A54),$C54))</f>
        <v>1</v>
      </c>
      <c r="E54" s="48">
        <v>5590</v>
      </c>
      <c r="F54" s="48">
        <v>705</v>
      </c>
      <c r="G54" s="35" t="s">
        <v>40</v>
      </c>
      <c r="H54" s="40">
        <f t="shared" si="1"/>
        <v>0</v>
      </c>
      <c r="I54" s="61" t="b">
        <f>TRUE</f>
        <v>1</v>
      </c>
      <c r="J54" s="3">
        <f t="shared" si="2"/>
        <v>0</v>
      </c>
      <c r="K54" s="61" t="b">
        <f>TRUE</f>
        <v>1</v>
      </c>
      <c r="L54" s="3">
        <f t="shared" si="3"/>
        <v>0</v>
      </c>
      <c r="M54" s="58" t="b">
        <f>TRUE</f>
        <v>1</v>
      </c>
      <c r="N54" s="40">
        <f t="shared" si="4"/>
        <v>41</v>
      </c>
      <c r="O54" s="61" t="b">
        <v>0</v>
      </c>
      <c r="P54" s="3">
        <f t="shared" si="5"/>
        <v>41</v>
      </c>
      <c r="Q54" s="61" t="b">
        <v>0</v>
      </c>
      <c r="R54" s="3">
        <f t="shared" si="6"/>
        <v>41</v>
      </c>
      <c r="S54" s="58" t="b">
        <v>0</v>
      </c>
      <c r="T54" s="40">
        <f t="shared" si="7"/>
        <v>0</v>
      </c>
      <c r="U54" s="61" t="b">
        <v>0</v>
      </c>
      <c r="V54" s="3">
        <f t="shared" si="8"/>
        <v>0</v>
      </c>
      <c r="W54" s="61" t="b">
        <v>0</v>
      </c>
      <c r="X54" s="3">
        <f t="shared" si="9"/>
        <v>0</v>
      </c>
      <c r="Y54" s="64" t="b">
        <v>0</v>
      </c>
      <c r="Z54" s="36" t="s">
        <v>65</v>
      </c>
    </row>
    <row r="55" spans="1:26" ht="15" x14ac:dyDescent="0.4">
      <c r="A55" s="3">
        <f t="shared" si="0"/>
        <v>42</v>
      </c>
      <c r="B55" s="32">
        <v>45731</v>
      </c>
      <c r="C55" s="33" t="s">
        <v>38</v>
      </c>
      <c r="D55" s="3" cm="1">
        <f t="array" aca="1" ref="D55" ca="1">IF($C55="","",COUNTIF(_xlfn.TAKE(OFFSET($C$14, 0, 0, COUNTA($C$14:$C$113),1),$A55),$C55))</f>
        <v>1</v>
      </c>
      <c r="E55" s="48">
        <v>8180</v>
      </c>
      <c r="F55" s="48">
        <v>1051</v>
      </c>
      <c r="G55" s="35" t="s">
        <v>41</v>
      </c>
      <c r="H55" s="40">
        <f t="shared" si="1"/>
        <v>0</v>
      </c>
      <c r="I55" s="61" t="b">
        <v>0</v>
      </c>
      <c r="J55" s="3">
        <f t="shared" si="2"/>
        <v>0</v>
      </c>
      <c r="K55" s="61" t="b">
        <v>0</v>
      </c>
      <c r="L55" s="3">
        <f t="shared" si="3"/>
        <v>0</v>
      </c>
      <c r="M55" s="58" t="b">
        <v>0</v>
      </c>
      <c r="N55" s="40">
        <f t="shared" si="4"/>
        <v>41</v>
      </c>
      <c r="O55" s="61" t="b">
        <f>TRUE</f>
        <v>1</v>
      </c>
      <c r="P55" s="3">
        <f t="shared" si="5"/>
        <v>41</v>
      </c>
      <c r="Q55" s="61" t="b">
        <f>TRUE</f>
        <v>1</v>
      </c>
      <c r="R55" s="3">
        <f t="shared" si="6"/>
        <v>41</v>
      </c>
      <c r="S55" s="58" t="b">
        <f>TRUE</f>
        <v>1</v>
      </c>
      <c r="T55" s="40">
        <f t="shared" si="7"/>
        <v>1</v>
      </c>
      <c r="U55" s="61" t="b">
        <v>0</v>
      </c>
      <c r="V55" s="3">
        <f t="shared" si="8"/>
        <v>1</v>
      </c>
      <c r="W55" s="61" t="b">
        <v>0</v>
      </c>
      <c r="X55" s="3">
        <f t="shared" si="9"/>
        <v>1</v>
      </c>
      <c r="Y55" s="64" t="b">
        <v>0</v>
      </c>
      <c r="Z55" s="36" t="s">
        <v>66</v>
      </c>
    </row>
    <row r="56" spans="1:26" ht="15" x14ac:dyDescent="0.4">
      <c r="A56" s="3">
        <f t="shared" si="0"/>
        <v>43</v>
      </c>
      <c r="B56" s="32">
        <v>45733</v>
      </c>
      <c r="C56" s="33" t="s">
        <v>8</v>
      </c>
      <c r="D56" s="3" cm="1">
        <f t="array" aca="1" ref="D56" ca="1">IF($C56="","",COUNTIF(_xlfn.TAKE(OFFSET($C$14, 0, 0, COUNTA($C$14:$C$113),1),$A56),$C56))</f>
        <v>1</v>
      </c>
      <c r="E56" s="48">
        <v>12630</v>
      </c>
      <c r="F56" s="48">
        <v>2030</v>
      </c>
      <c r="G56" s="35" t="s">
        <v>42</v>
      </c>
      <c r="H56" s="40">
        <f t="shared" si="1"/>
        <v>1</v>
      </c>
      <c r="I56" s="61" t="b">
        <v>0</v>
      </c>
      <c r="J56" s="3">
        <f t="shared" si="2"/>
        <v>1</v>
      </c>
      <c r="K56" s="61" t="b">
        <v>0</v>
      </c>
      <c r="L56" s="3">
        <f t="shared" si="3"/>
        <v>1</v>
      </c>
      <c r="M56" s="58" t="b">
        <v>0</v>
      </c>
      <c r="N56" s="40">
        <f t="shared" si="4"/>
        <v>0</v>
      </c>
      <c r="O56" s="61" t="b">
        <v>0</v>
      </c>
      <c r="P56" s="3">
        <f t="shared" si="5"/>
        <v>0</v>
      </c>
      <c r="Q56" s="61" t="b">
        <v>0</v>
      </c>
      <c r="R56" s="3">
        <f t="shared" si="6"/>
        <v>0</v>
      </c>
      <c r="S56" s="58" t="b">
        <v>0</v>
      </c>
      <c r="T56" s="40">
        <f t="shared" si="7"/>
        <v>0</v>
      </c>
      <c r="U56" s="61" t="b">
        <v>0</v>
      </c>
      <c r="V56" s="3">
        <f t="shared" si="8"/>
        <v>1</v>
      </c>
      <c r="W56" s="61" t="b">
        <v>0</v>
      </c>
      <c r="X56" s="3">
        <f t="shared" si="9"/>
        <v>1</v>
      </c>
      <c r="Y56" s="64" t="b">
        <v>0</v>
      </c>
      <c r="Z56" s="36"/>
    </row>
    <row r="57" spans="1:26" ht="15" x14ac:dyDescent="0.4">
      <c r="A57" s="3">
        <f t="shared" si="0"/>
        <v>44</v>
      </c>
      <c r="B57" s="32">
        <v>45734</v>
      </c>
      <c r="C57" s="33" t="s">
        <v>17</v>
      </c>
      <c r="D57" s="3" cm="1">
        <f t="array" aca="1" ref="D57" ca="1">IF($C57="","",COUNTIF(_xlfn.TAKE(OFFSET($C$14, 0, 0, COUNTA($C$14:$C$113),1),$A57),$C57))</f>
        <v>2</v>
      </c>
      <c r="E57" s="48">
        <v>2220</v>
      </c>
      <c r="F57" s="48">
        <v>646</v>
      </c>
      <c r="G57" s="35" t="s">
        <v>41</v>
      </c>
      <c r="H57" s="40">
        <f t="shared" si="1"/>
        <v>1</v>
      </c>
      <c r="I57" s="61" t="b">
        <v>0</v>
      </c>
      <c r="J57" s="3">
        <f t="shared" si="2"/>
        <v>1</v>
      </c>
      <c r="K57" s="61" t="b">
        <v>0</v>
      </c>
      <c r="L57" s="3">
        <f t="shared" si="3"/>
        <v>1</v>
      </c>
      <c r="M57" s="58" t="b">
        <v>0</v>
      </c>
      <c r="N57" s="40">
        <f t="shared" si="4"/>
        <v>0</v>
      </c>
      <c r="O57" s="61" t="b">
        <v>0</v>
      </c>
      <c r="P57" s="3">
        <f t="shared" si="5"/>
        <v>0</v>
      </c>
      <c r="Q57" s="61" t="b">
        <v>0</v>
      </c>
      <c r="R57" s="3">
        <f t="shared" si="6"/>
        <v>0</v>
      </c>
      <c r="S57" s="58" t="b">
        <v>0</v>
      </c>
      <c r="T57" s="40">
        <f t="shared" si="7"/>
        <v>1</v>
      </c>
      <c r="U57" s="61" t="b">
        <v>0</v>
      </c>
      <c r="V57" s="3">
        <f t="shared" si="8"/>
        <v>2</v>
      </c>
      <c r="W57" s="61" t="b">
        <v>0</v>
      </c>
      <c r="X57" s="3">
        <f t="shared" si="9"/>
        <v>2</v>
      </c>
      <c r="Y57" s="64" t="b">
        <v>0</v>
      </c>
      <c r="Z57" s="36"/>
    </row>
    <row r="58" spans="1:26" ht="15" x14ac:dyDescent="0.4">
      <c r="A58" s="3">
        <f t="shared" si="0"/>
        <v>45</v>
      </c>
      <c r="B58" s="32">
        <v>45735</v>
      </c>
      <c r="C58" s="33" t="s">
        <v>17</v>
      </c>
      <c r="D58" s="3" cm="1">
        <f t="array" aca="1" ref="D58" ca="1">IF($C58="","",COUNTIF(_xlfn.TAKE(OFFSET($C$14, 0, 0, COUNTA($C$14:$C$113),1),$A58),$C58))</f>
        <v>3</v>
      </c>
      <c r="E58" s="48">
        <v>6200</v>
      </c>
      <c r="F58" s="48">
        <v>1258</v>
      </c>
      <c r="G58" s="35" t="s">
        <v>41</v>
      </c>
      <c r="H58" s="40">
        <f t="shared" si="1"/>
        <v>1</v>
      </c>
      <c r="I58" s="61" t="b">
        <v>0</v>
      </c>
      <c r="J58" s="3">
        <f t="shared" si="2"/>
        <v>1</v>
      </c>
      <c r="K58" s="61" t="b">
        <v>0</v>
      </c>
      <c r="L58" s="3">
        <f t="shared" si="3"/>
        <v>1</v>
      </c>
      <c r="M58" s="58" t="b">
        <v>0</v>
      </c>
      <c r="N58" s="40">
        <f t="shared" si="4"/>
        <v>0</v>
      </c>
      <c r="O58" s="61" t="b">
        <v>0</v>
      </c>
      <c r="P58" s="3">
        <f t="shared" si="5"/>
        <v>0</v>
      </c>
      <c r="Q58" s="61" t="b">
        <v>0</v>
      </c>
      <c r="R58" s="3">
        <f t="shared" si="6"/>
        <v>0</v>
      </c>
      <c r="S58" s="58" t="b">
        <v>0</v>
      </c>
      <c r="T58" s="40">
        <f t="shared" si="7"/>
        <v>1</v>
      </c>
      <c r="U58" s="61" t="b">
        <v>0</v>
      </c>
      <c r="V58" s="3">
        <f t="shared" si="8"/>
        <v>3</v>
      </c>
      <c r="W58" s="61" t="b">
        <v>0</v>
      </c>
      <c r="X58" s="3">
        <f t="shared" si="9"/>
        <v>3</v>
      </c>
      <c r="Y58" s="64" t="b">
        <v>0</v>
      </c>
      <c r="Z58" s="36"/>
    </row>
    <row r="59" spans="1:26" ht="15" x14ac:dyDescent="0.4">
      <c r="A59" s="3">
        <f t="shared" si="0"/>
        <v>46</v>
      </c>
      <c r="B59" s="32">
        <v>45736</v>
      </c>
      <c r="C59" s="33" t="s">
        <v>38</v>
      </c>
      <c r="D59" s="3" cm="1">
        <f t="array" aca="1" ref="D59" ca="1">IF($C59="","",COUNTIF(_xlfn.TAKE(OFFSET($C$14, 0, 0, COUNTA($C$14:$C$113),1),$A59),$C59))</f>
        <v>2</v>
      </c>
      <c r="E59" s="48">
        <v>8625</v>
      </c>
      <c r="F59" s="48">
        <v>1928</v>
      </c>
      <c r="G59" s="35" t="s">
        <v>42</v>
      </c>
      <c r="H59" s="40">
        <f t="shared" si="1"/>
        <v>2</v>
      </c>
      <c r="I59" s="61" t="b">
        <v>0</v>
      </c>
      <c r="J59" s="3">
        <f t="shared" si="2"/>
        <v>2</v>
      </c>
      <c r="K59" s="61" t="b">
        <v>0</v>
      </c>
      <c r="L59" s="3">
        <f t="shared" si="3"/>
        <v>2</v>
      </c>
      <c r="M59" s="58" t="b">
        <v>0</v>
      </c>
      <c r="N59" s="40">
        <f t="shared" si="4"/>
        <v>0</v>
      </c>
      <c r="O59" s="61" t="b">
        <v>0</v>
      </c>
      <c r="P59" s="3">
        <f t="shared" si="5"/>
        <v>0</v>
      </c>
      <c r="Q59" s="61" t="b">
        <v>0</v>
      </c>
      <c r="R59" s="3">
        <f t="shared" si="6"/>
        <v>0</v>
      </c>
      <c r="S59" s="58" t="b">
        <v>0</v>
      </c>
      <c r="T59" s="40">
        <f t="shared" si="7"/>
        <v>0</v>
      </c>
      <c r="U59" s="61" t="b">
        <v>0</v>
      </c>
      <c r="V59" s="3">
        <f t="shared" si="8"/>
        <v>3</v>
      </c>
      <c r="W59" s="61" t="b">
        <v>0</v>
      </c>
      <c r="X59" s="3">
        <f t="shared" si="9"/>
        <v>3</v>
      </c>
      <c r="Y59" s="64" t="b">
        <v>0</v>
      </c>
      <c r="Z59" s="36"/>
    </row>
    <row r="60" spans="1:26" ht="15" x14ac:dyDescent="0.4">
      <c r="A60" s="3">
        <f t="shared" si="0"/>
        <v>47</v>
      </c>
      <c r="B60" s="32">
        <v>45737</v>
      </c>
      <c r="C60" s="33" t="s">
        <v>17</v>
      </c>
      <c r="D60" s="3" cm="1">
        <f t="array" aca="1" ref="D60" ca="1">IF($C60="","",COUNTIF(_xlfn.TAKE(OFFSET($C$14, 0, 0, COUNTA($C$14:$C$113),1),$A60),$C60))</f>
        <v>4</v>
      </c>
      <c r="E60" s="48">
        <v>7515</v>
      </c>
      <c r="F60" s="48">
        <v>2498</v>
      </c>
      <c r="G60" s="35" t="s">
        <v>42</v>
      </c>
      <c r="H60" s="40">
        <f t="shared" si="1"/>
        <v>3</v>
      </c>
      <c r="I60" s="61" t="b">
        <v>0</v>
      </c>
      <c r="J60" s="3">
        <f t="shared" si="2"/>
        <v>3</v>
      </c>
      <c r="K60" s="61" t="b">
        <v>0</v>
      </c>
      <c r="L60" s="3">
        <f t="shared" si="3"/>
        <v>3</v>
      </c>
      <c r="M60" s="58" t="b">
        <v>0</v>
      </c>
      <c r="N60" s="40">
        <f t="shared" si="4"/>
        <v>0</v>
      </c>
      <c r="O60" s="61" t="b">
        <v>0</v>
      </c>
      <c r="P60" s="3">
        <f t="shared" si="5"/>
        <v>0</v>
      </c>
      <c r="Q60" s="61" t="b">
        <v>0</v>
      </c>
      <c r="R60" s="3">
        <f t="shared" si="6"/>
        <v>0</v>
      </c>
      <c r="S60" s="58" t="b">
        <v>0</v>
      </c>
      <c r="T60" s="40">
        <f t="shared" si="7"/>
        <v>0</v>
      </c>
      <c r="U60" s="61" t="b">
        <v>0</v>
      </c>
      <c r="V60" s="3">
        <f t="shared" si="8"/>
        <v>3</v>
      </c>
      <c r="W60" s="61" t="b">
        <v>0</v>
      </c>
      <c r="X60" s="3">
        <f t="shared" si="9"/>
        <v>3</v>
      </c>
      <c r="Y60" s="64" t="b">
        <v>0</v>
      </c>
      <c r="Z60" s="36"/>
    </row>
    <row r="61" spans="1:26" ht="15" x14ac:dyDescent="0.4">
      <c r="A61" s="3">
        <f t="shared" si="0"/>
        <v>48</v>
      </c>
      <c r="B61" s="32">
        <v>45738</v>
      </c>
      <c r="C61" s="33" t="s">
        <v>11</v>
      </c>
      <c r="D61" s="3" cm="1">
        <f t="array" aca="1" ref="D61" ca="1">IF($C61="","",COUNTIF(_xlfn.TAKE(OFFSET($C$14, 0, 0, COUNTA($C$14:$C$113),1),$A61),$C61))</f>
        <v>2</v>
      </c>
      <c r="E61" s="48">
        <v>3920</v>
      </c>
      <c r="F61" s="48">
        <v>639</v>
      </c>
      <c r="G61" s="35" t="s">
        <v>42</v>
      </c>
      <c r="H61" s="40">
        <f t="shared" si="1"/>
        <v>4</v>
      </c>
      <c r="I61" s="61" t="b">
        <v>0</v>
      </c>
      <c r="J61" s="3">
        <f t="shared" si="2"/>
        <v>4</v>
      </c>
      <c r="K61" s="61" t="b">
        <v>0</v>
      </c>
      <c r="L61" s="3">
        <f t="shared" si="3"/>
        <v>4</v>
      </c>
      <c r="M61" s="58" t="b">
        <v>0</v>
      </c>
      <c r="N61" s="40">
        <f t="shared" si="4"/>
        <v>0</v>
      </c>
      <c r="O61" s="61" t="b">
        <f>TRUE</f>
        <v>1</v>
      </c>
      <c r="P61" s="3">
        <f t="shared" si="5"/>
        <v>0</v>
      </c>
      <c r="Q61" s="61" t="b">
        <v>0</v>
      </c>
      <c r="R61" s="3">
        <f t="shared" si="6"/>
        <v>0</v>
      </c>
      <c r="S61" s="58" t="b">
        <v>0</v>
      </c>
      <c r="T61" s="40">
        <f t="shared" si="7"/>
        <v>0</v>
      </c>
      <c r="U61" s="61" t="b">
        <v>0</v>
      </c>
      <c r="V61" s="3">
        <f t="shared" si="8"/>
        <v>3</v>
      </c>
      <c r="W61" s="61" t="b">
        <v>0</v>
      </c>
      <c r="X61" s="3">
        <f t="shared" si="9"/>
        <v>3</v>
      </c>
      <c r="Y61" s="64" t="b">
        <v>0</v>
      </c>
      <c r="Z61" s="36"/>
    </row>
    <row r="62" spans="1:26" ht="15" x14ac:dyDescent="0.4">
      <c r="A62" s="3">
        <f t="shared" si="0"/>
        <v>49</v>
      </c>
      <c r="B62" s="32">
        <v>45762</v>
      </c>
      <c r="C62" s="33" t="s">
        <v>50</v>
      </c>
      <c r="D62" s="3" cm="1">
        <f t="array" aca="1" ref="D62" ca="1">IF($C62="","",COUNTIF(_xlfn.TAKE(OFFSET($C$14, 0, 0, COUNTA($C$14:$C$113),1),$A62),$C62))</f>
        <v>1</v>
      </c>
      <c r="E62" s="48">
        <v>11290</v>
      </c>
      <c r="F62" s="48">
        <v>1765</v>
      </c>
      <c r="G62" s="35" t="s">
        <v>42</v>
      </c>
      <c r="H62" s="40">
        <f t="shared" si="1"/>
        <v>5</v>
      </c>
      <c r="I62" s="61" t="b">
        <v>0</v>
      </c>
      <c r="J62" s="3">
        <f t="shared" si="2"/>
        <v>5</v>
      </c>
      <c r="K62" s="61" t="b">
        <v>0</v>
      </c>
      <c r="L62" s="3">
        <f t="shared" si="3"/>
        <v>5</v>
      </c>
      <c r="M62" s="58" t="b">
        <v>0</v>
      </c>
      <c r="N62" s="40">
        <f t="shared" si="4"/>
        <v>0</v>
      </c>
      <c r="O62" s="61" t="b">
        <v>0</v>
      </c>
      <c r="P62" s="3">
        <f t="shared" si="5"/>
        <v>0</v>
      </c>
      <c r="Q62" s="61" t="b">
        <v>0</v>
      </c>
      <c r="R62" s="3">
        <f t="shared" si="6"/>
        <v>0</v>
      </c>
      <c r="S62" s="58" t="b">
        <v>0</v>
      </c>
      <c r="T62" s="40">
        <f t="shared" si="7"/>
        <v>0</v>
      </c>
      <c r="U62" s="61" t="b">
        <v>0</v>
      </c>
      <c r="V62" s="3">
        <f t="shared" si="8"/>
        <v>3</v>
      </c>
      <c r="W62" s="61" t="b">
        <v>0</v>
      </c>
      <c r="X62" s="3">
        <f t="shared" si="9"/>
        <v>3</v>
      </c>
      <c r="Y62" s="64" t="b">
        <v>0</v>
      </c>
      <c r="Z62" s="36"/>
    </row>
    <row r="63" spans="1:26" ht="15" x14ac:dyDescent="0.4">
      <c r="A63" s="3">
        <f t="shared" si="0"/>
        <v>50</v>
      </c>
      <c r="B63" s="32">
        <v>45763</v>
      </c>
      <c r="C63" s="33" t="s">
        <v>50</v>
      </c>
      <c r="D63" s="3" cm="1">
        <f t="array" aca="1" ref="D63" ca="1">IF($C63="","",COUNTIF(_xlfn.TAKE(OFFSET($C$14, 0, 0, COUNTA($C$14:$C$113),1),$A63),$C63))</f>
        <v>2</v>
      </c>
      <c r="E63" s="48">
        <v>7895</v>
      </c>
      <c r="F63" s="48">
        <v>1367</v>
      </c>
      <c r="G63" s="35" t="s">
        <v>42</v>
      </c>
      <c r="H63" s="40">
        <f t="shared" si="1"/>
        <v>6</v>
      </c>
      <c r="I63" s="61" t="b">
        <v>0</v>
      </c>
      <c r="J63" s="3">
        <f t="shared" si="2"/>
        <v>6</v>
      </c>
      <c r="K63" s="61" t="b">
        <v>0</v>
      </c>
      <c r="L63" s="3">
        <f t="shared" si="3"/>
        <v>6</v>
      </c>
      <c r="M63" s="58" t="b">
        <v>0</v>
      </c>
      <c r="N63" s="40">
        <f t="shared" si="4"/>
        <v>0</v>
      </c>
      <c r="O63" s="61" t="b">
        <v>0</v>
      </c>
      <c r="P63" s="3">
        <f t="shared" si="5"/>
        <v>0</v>
      </c>
      <c r="Q63" s="61" t="b">
        <v>0</v>
      </c>
      <c r="R63" s="3">
        <f t="shared" si="6"/>
        <v>0</v>
      </c>
      <c r="S63" s="58" t="b">
        <v>0</v>
      </c>
      <c r="T63" s="40">
        <f t="shared" si="7"/>
        <v>0</v>
      </c>
      <c r="U63" s="61" t="b">
        <v>0</v>
      </c>
      <c r="V63" s="3">
        <f t="shared" si="8"/>
        <v>3</v>
      </c>
      <c r="W63" s="61" t="b">
        <v>0</v>
      </c>
      <c r="X63" s="3">
        <f t="shared" si="9"/>
        <v>3</v>
      </c>
      <c r="Y63" s="64" t="b">
        <v>0</v>
      </c>
      <c r="Z63" s="36"/>
    </row>
    <row r="64" spans="1:26" ht="15" x14ac:dyDescent="0.4">
      <c r="A64" s="3">
        <f t="shared" si="0"/>
        <v>51</v>
      </c>
      <c r="B64" s="32">
        <v>45764</v>
      </c>
      <c r="C64" s="33" t="s">
        <v>50</v>
      </c>
      <c r="D64" s="3" cm="1">
        <f t="array" aca="1" ref="D64" ca="1">IF($C64="","",COUNTIF(_xlfn.TAKE(OFFSET($C$14, 0, 0, COUNTA($C$14:$C$113),1),$A64),$C64))</f>
        <v>3</v>
      </c>
      <c r="E64" s="48">
        <v>10795</v>
      </c>
      <c r="F64" s="48">
        <v>1590</v>
      </c>
      <c r="G64" s="35" t="s">
        <v>42</v>
      </c>
      <c r="H64" s="40">
        <f t="shared" si="1"/>
        <v>7</v>
      </c>
      <c r="I64" s="61" t="b">
        <v>0</v>
      </c>
      <c r="J64" s="3">
        <f t="shared" si="2"/>
        <v>7</v>
      </c>
      <c r="K64" s="61" t="b">
        <v>0</v>
      </c>
      <c r="L64" s="3">
        <f t="shared" si="3"/>
        <v>7</v>
      </c>
      <c r="M64" s="58" t="b">
        <v>0</v>
      </c>
      <c r="N64" s="40">
        <f t="shared" si="4"/>
        <v>0</v>
      </c>
      <c r="O64" s="61" t="b">
        <v>0</v>
      </c>
      <c r="P64" s="3">
        <f t="shared" si="5"/>
        <v>0</v>
      </c>
      <c r="Q64" s="61" t="b">
        <v>0</v>
      </c>
      <c r="R64" s="3">
        <f t="shared" si="6"/>
        <v>0</v>
      </c>
      <c r="S64" s="58" t="b">
        <v>0</v>
      </c>
      <c r="T64" s="40">
        <f t="shared" si="7"/>
        <v>0</v>
      </c>
      <c r="U64" s="61" t="b">
        <v>0</v>
      </c>
      <c r="V64" s="3">
        <f t="shared" si="8"/>
        <v>3</v>
      </c>
      <c r="W64" s="61" t="b">
        <v>0</v>
      </c>
      <c r="X64" s="3">
        <f t="shared" si="9"/>
        <v>3</v>
      </c>
      <c r="Y64" s="64" t="b">
        <v>0</v>
      </c>
      <c r="Z64" s="36"/>
    </row>
    <row r="65" spans="1:26" ht="15" x14ac:dyDescent="0.4">
      <c r="A65" s="3" t="str">
        <f t="shared" si="0"/>
        <v/>
      </c>
      <c r="B65" s="32"/>
      <c r="C65" s="33"/>
      <c r="D65" s="3" t="str" cm="1">
        <f t="array" aca="1" ref="D65" ca="1">IF($C65="","",COUNTIF(_xlfn.TAKE(OFFSET($C$14, 0, 0, COUNTA($C$14:$C$113),1),$A65),$C65))</f>
        <v/>
      </c>
      <c r="E65" s="48"/>
      <c r="F65" s="48"/>
      <c r="G65" s="35"/>
      <c r="H65" s="40" t="str">
        <f t="shared" si="1"/>
        <v/>
      </c>
      <c r="I65" s="61" t="b">
        <v>0</v>
      </c>
      <c r="J65" s="3" t="str">
        <f t="shared" si="2"/>
        <v/>
      </c>
      <c r="K65" s="61" t="b">
        <v>0</v>
      </c>
      <c r="L65" s="3" t="str">
        <f t="shared" si="3"/>
        <v/>
      </c>
      <c r="M65" s="58" t="b">
        <v>0</v>
      </c>
      <c r="N65" s="40" t="str">
        <f t="shared" si="4"/>
        <v/>
      </c>
      <c r="O65" s="61" t="b">
        <v>0</v>
      </c>
      <c r="P65" s="3" t="str">
        <f t="shared" si="5"/>
        <v/>
      </c>
      <c r="Q65" s="61" t="b">
        <v>0</v>
      </c>
      <c r="R65" s="3" t="str">
        <f t="shared" si="6"/>
        <v/>
      </c>
      <c r="S65" s="58" t="b">
        <v>0</v>
      </c>
      <c r="T65" s="40" t="str">
        <f t="shared" si="7"/>
        <v/>
      </c>
      <c r="U65" s="61" t="b">
        <v>0</v>
      </c>
      <c r="V65" s="3" t="str">
        <f t="shared" si="8"/>
        <v/>
      </c>
      <c r="W65" s="61" t="b">
        <v>0</v>
      </c>
      <c r="X65" s="3" t="str">
        <f t="shared" si="9"/>
        <v/>
      </c>
      <c r="Y65" s="64" t="b">
        <v>0</v>
      </c>
      <c r="Z65" s="36"/>
    </row>
    <row r="66" spans="1:26" ht="15" hidden="1" x14ac:dyDescent="0.4">
      <c r="A66" s="3" t="str">
        <f t="shared" si="0"/>
        <v/>
      </c>
      <c r="B66" s="32"/>
      <c r="C66" s="33"/>
      <c r="D66" s="3" t="str" cm="1">
        <f t="array" aca="1" ref="D66" ca="1">IF($C66="","",COUNTIF(_xlfn.TAKE(OFFSET($C$14, 0, 0, COUNTA($C$14:$C$113),1),$A66),$C66))</f>
        <v/>
      </c>
      <c r="E66" s="48"/>
      <c r="F66" s="48"/>
      <c r="G66" s="35"/>
      <c r="H66" s="40" t="str">
        <f t="shared" si="1"/>
        <v/>
      </c>
      <c r="I66" s="61" t="b">
        <v>0</v>
      </c>
      <c r="J66" s="3" t="str">
        <f t="shared" si="2"/>
        <v/>
      </c>
      <c r="K66" s="61" t="b">
        <v>0</v>
      </c>
      <c r="L66" s="3" t="str">
        <f t="shared" si="3"/>
        <v/>
      </c>
      <c r="M66" s="58" t="b">
        <v>0</v>
      </c>
      <c r="N66" s="40" t="str">
        <f t="shared" si="4"/>
        <v/>
      </c>
      <c r="O66" s="61" t="b">
        <v>0</v>
      </c>
      <c r="P66" s="3" t="str">
        <f t="shared" si="5"/>
        <v/>
      </c>
      <c r="Q66" s="61" t="b">
        <v>0</v>
      </c>
      <c r="R66" s="3" t="str">
        <f t="shared" si="6"/>
        <v/>
      </c>
      <c r="S66" s="58" t="b">
        <v>0</v>
      </c>
      <c r="T66" s="40" t="str">
        <f t="shared" si="7"/>
        <v/>
      </c>
      <c r="U66" s="61" t="b">
        <v>0</v>
      </c>
      <c r="V66" s="3" t="str">
        <f t="shared" si="8"/>
        <v/>
      </c>
      <c r="W66" s="61" t="b">
        <v>0</v>
      </c>
      <c r="X66" s="3" t="str">
        <f t="shared" si="9"/>
        <v/>
      </c>
      <c r="Y66" s="64" t="b">
        <v>0</v>
      </c>
      <c r="Z66" s="36"/>
    </row>
    <row r="67" spans="1:26" ht="15" hidden="1" x14ac:dyDescent="0.4">
      <c r="A67" s="3" t="str">
        <f t="shared" si="0"/>
        <v/>
      </c>
      <c r="B67" s="32"/>
      <c r="C67" s="33"/>
      <c r="D67" s="3" t="str" cm="1">
        <f t="array" aca="1" ref="D67" ca="1">IF($C67="","",COUNTIF(_xlfn.TAKE(OFFSET($C$14, 0, 0, COUNTA($C$14:$C$113),1),$A67),$C67))</f>
        <v/>
      </c>
      <c r="E67" s="48"/>
      <c r="F67" s="48"/>
      <c r="G67" s="35"/>
      <c r="H67" s="40" t="str">
        <f t="shared" si="1"/>
        <v/>
      </c>
      <c r="I67" s="61" t="b">
        <v>0</v>
      </c>
      <c r="J67" s="3" t="str">
        <f t="shared" si="2"/>
        <v/>
      </c>
      <c r="K67" s="61" t="b">
        <v>0</v>
      </c>
      <c r="L67" s="3" t="str">
        <f t="shared" si="3"/>
        <v/>
      </c>
      <c r="M67" s="58" t="b">
        <v>0</v>
      </c>
      <c r="N67" s="40" t="str">
        <f t="shared" si="4"/>
        <v/>
      </c>
      <c r="O67" s="61" t="b">
        <v>0</v>
      </c>
      <c r="P67" s="3" t="str">
        <f t="shared" si="5"/>
        <v/>
      </c>
      <c r="Q67" s="61" t="b">
        <v>0</v>
      </c>
      <c r="R67" s="3" t="str">
        <f t="shared" si="6"/>
        <v/>
      </c>
      <c r="S67" s="58" t="b">
        <v>0</v>
      </c>
      <c r="T67" s="40" t="str">
        <f t="shared" si="7"/>
        <v/>
      </c>
      <c r="U67" s="61" t="b">
        <v>0</v>
      </c>
      <c r="V67" s="3" t="str">
        <f t="shared" si="8"/>
        <v/>
      </c>
      <c r="W67" s="61" t="b">
        <v>0</v>
      </c>
      <c r="X67" s="3" t="str">
        <f t="shared" si="9"/>
        <v/>
      </c>
      <c r="Y67" s="64" t="b">
        <v>0</v>
      </c>
      <c r="Z67" s="36"/>
    </row>
    <row r="68" spans="1:26" ht="15" hidden="1" x14ac:dyDescent="0.4">
      <c r="A68" s="3" t="str">
        <f t="shared" si="0"/>
        <v/>
      </c>
      <c r="B68" s="32"/>
      <c r="C68" s="33"/>
      <c r="D68" s="3" t="str" cm="1">
        <f t="array" aca="1" ref="D68" ca="1">IF($C68="","",COUNTIF(_xlfn.TAKE(OFFSET($C$14, 0, 0, COUNTA($C$14:$C$113),1),$A68),$C68))</f>
        <v/>
      </c>
      <c r="E68" s="48"/>
      <c r="F68" s="48"/>
      <c r="G68" s="35"/>
      <c r="H68" s="40" t="str">
        <f t="shared" si="1"/>
        <v/>
      </c>
      <c r="I68" s="61" t="b">
        <v>0</v>
      </c>
      <c r="J68" s="3" t="str">
        <f t="shared" si="2"/>
        <v/>
      </c>
      <c r="K68" s="61" t="b">
        <v>0</v>
      </c>
      <c r="L68" s="3" t="str">
        <f t="shared" si="3"/>
        <v/>
      </c>
      <c r="M68" s="58" t="b">
        <v>0</v>
      </c>
      <c r="N68" s="40" t="str">
        <f t="shared" si="4"/>
        <v/>
      </c>
      <c r="O68" s="61" t="b">
        <v>0</v>
      </c>
      <c r="P68" s="3" t="str">
        <f t="shared" si="5"/>
        <v/>
      </c>
      <c r="Q68" s="61" t="b">
        <v>0</v>
      </c>
      <c r="R68" s="3" t="str">
        <f t="shared" si="6"/>
        <v/>
      </c>
      <c r="S68" s="58" t="b">
        <v>0</v>
      </c>
      <c r="T68" s="40" t="str">
        <f t="shared" si="7"/>
        <v/>
      </c>
      <c r="U68" s="61" t="b">
        <v>0</v>
      </c>
      <c r="V68" s="3" t="str">
        <f t="shared" si="8"/>
        <v/>
      </c>
      <c r="W68" s="61" t="b">
        <v>0</v>
      </c>
      <c r="X68" s="3" t="str">
        <f t="shared" si="9"/>
        <v/>
      </c>
      <c r="Y68" s="64" t="b">
        <v>0</v>
      </c>
      <c r="Z68" s="36"/>
    </row>
    <row r="69" spans="1:26" ht="15" hidden="1" x14ac:dyDescent="0.4">
      <c r="A69" s="3" t="str">
        <f t="shared" si="0"/>
        <v/>
      </c>
      <c r="B69" s="32"/>
      <c r="C69" s="33"/>
      <c r="D69" s="3" t="str" cm="1">
        <f t="array" aca="1" ref="D69" ca="1">IF($C69="","",COUNTIF(_xlfn.TAKE(OFFSET($C$14, 0, 0, COUNTA($C$14:$C$113),1),$A69),$C69))</f>
        <v/>
      </c>
      <c r="E69" s="48"/>
      <c r="F69" s="48"/>
      <c r="G69" s="35"/>
      <c r="H69" s="40" t="str">
        <f t="shared" si="1"/>
        <v/>
      </c>
      <c r="I69" s="61" t="b">
        <v>0</v>
      </c>
      <c r="J69" s="3" t="str">
        <f t="shared" si="2"/>
        <v/>
      </c>
      <c r="K69" s="61" t="b">
        <v>0</v>
      </c>
      <c r="L69" s="3" t="str">
        <f t="shared" si="3"/>
        <v/>
      </c>
      <c r="M69" s="58" t="b">
        <v>0</v>
      </c>
      <c r="N69" s="40" t="str">
        <f t="shared" si="4"/>
        <v/>
      </c>
      <c r="O69" s="61" t="b">
        <v>0</v>
      </c>
      <c r="P69" s="3" t="str">
        <f t="shared" si="5"/>
        <v/>
      </c>
      <c r="Q69" s="61" t="b">
        <v>0</v>
      </c>
      <c r="R69" s="3" t="str">
        <f t="shared" si="6"/>
        <v/>
      </c>
      <c r="S69" s="58" t="b">
        <v>0</v>
      </c>
      <c r="T69" s="40" t="str">
        <f t="shared" si="7"/>
        <v/>
      </c>
      <c r="U69" s="61" t="b">
        <v>0</v>
      </c>
      <c r="V69" s="3" t="str">
        <f t="shared" si="8"/>
        <v/>
      </c>
      <c r="W69" s="61" t="b">
        <v>0</v>
      </c>
      <c r="X69" s="3" t="str">
        <f t="shared" si="9"/>
        <v/>
      </c>
      <c r="Y69" s="64" t="b">
        <v>0</v>
      </c>
      <c r="Z69" s="36"/>
    </row>
    <row r="70" spans="1:26" ht="15" hidden="1" x14ac:dyDescent="0.4">
      <c r="A70" s="3" t="str">
        <f t="shared" si="0"/>
        <v/>
      </c>
      <c r="B70" s="32"/>
      <c r="C70" s="33"/>
      <c r="D70" s="3" t="str" cm="1">
        <f t="array" aca="1" ref="D70" ca="1">IF($C70="","",COUNTIF(_xlfn.TAKE(OFFSET($C$14, 0, 0, COUNTA($C$14:$C$113),1),$A70),$C70))</f>
        <v/>
      </c>
      <c r="E70" s="48"/>
      <c r="F70" s="48"/>
      <c r="G70" s="35"/>
      <c r="H70" s="40" t="str">
        <f t="shared" si="1"/>
        <v/>
      </c>
      <c r="I70" s="61" t="b">
        <v>0</v>
      </c>
      <c r="J70" s="3" t="str">
        <f t="shared" si="2"/>
        <v/>
      </c>
      <c r="K70" s="61" t="b">
        <v>0</v>
      </c>
      <c r="L70" s="3" t="str">
        <f t="shared" si="3"/>
        <v/>
      </c>
      <c r="M70" s="58" t="b">
        <v>0</v>
      </c>
      <c r="N70" s="40" t="str">
        <f t="shared" si="4"/>
        <v/>
      </c>
      <c r="O70" s="61" t="b">
        <v>0</v>
      </c>
      <c r="P70" s="3" t="str">
        <f t="shared" si="5"/>
        <v/>
      </c>
      <c r="Q70" s="61" t="b">
        <v>0</v>
      </c>
      <c r="R70" s="3" t="str">
        <f t="shared" si="6"/>
        <v/>
      </c>
      <c r="S70" s="58" t="b">
        <v>0</v>
      </c>
      <c r="T70" s="40" t="str">
        <f t="shared" si="7"/>
        <v/>
      </c>
      <c r="U70" s="61" t="b">
        <v>0</v>
      </c>
      <c r="V70" s="3" t="str">
        <f t="shared" si="8"/>
        <v/>
      </c>
      <c r="W70" s="61" t="b">
        <v>0</v>
      </c>
      <c r="X70" s="3" t="str">
        <f t="shared" si="9"/>
        <v/>
      </c>
      <c r="Y70" s="64" t="b">
        <v>0</v>
      </c>
      <c r="Z70" s="36"/>
    </row>
    <row r="71" spans="1:26" ht="15" hidden="1" x14ac:dyDescent="0.4">
      <c r="A71" s="3" t="str">
        <f t="shared" si="0"/>
        <v/>
      </c>
      <c r="B71" s="32"/>
      <c r="C71" s="33"/>
      <c r="D71" s="3" t="str" cm="1">
        <f t="array" aca="1" ref="D71" ca="1">IF($C71="","",COUNTIF(_xlfn.TAKE(OFFSET($C$14, 0, 0, COUNTA($C$14:$C$113),1),$A71),$C71))</f>
        <v/>
      </c>
      <c r="E71" s="48"/>
      <c r="F71" s="48"/>
      <c r="G71" s="35"/>
      <c r="H71" s="40" t="str">
        <f t="shared" si="1"/>
        <v/>
      </c>
      <c r="I71" s="61" t="b">
        <v>0</v>
      </c>
      <c r="J71" s="3" t="str">
        <f t="shared" si="2"/>
        <v/>
      </c>
      <c r="K71" s="61" t="b">
        <v>0</v>
      </c>
      <c r="L71" s="3" t="str">
        <f t="shared" si="3"/>
        <v/>
      </c>
      <c r="M71" s="58" t="b">
        <v>0</v>
      </c>
      <c r="N71" s="40" t="str">
        <f t="shared" si="4"/>
        <v/>
      </c>
      <c r="O71" s="61" t="b">
        <v>0</v>
      </c>
      <c r="P71" s="3" t="str">
        <f t="shared" si="5"/>
        <v/>
      </c>
      <c r="Q71" s="61" t="b">
        <v>0</v>
      </c>
      <c r="R71" s="3" t="str">
        <f t="shared" si="6"/>
        <v/>
      </c>
      <c r="S71" s="58" t="b">
        <v>0</v>
      </c>
      <c r="T71" s="40" t="str">
        <f t="shared" si="7"/>
        <v/>
      </c>
      <c r="U71" s="61" t="b">
        <v>0</v>
      </c>
      <c r="V71" s="3" t="str">
        <f t="shared" si="8"/>
        <v/>
      </c>
      <c r="W71" s="61" t="b">
        <v>0</v>
      </c>
      <c r="X71" s="3" t="str">
        <f t="shared" si="9"/>
        <v/>
      </c>
      <c r="Y71" s="64" t="b">
        <v>0</v>
      </c>
      <c r="Z71" s="36"/>
    </row>
    <row r="72" spans="1:26" ht="15" hidden="1" x14ac:dyDescent="0.4">
      <c r="A72" s="3" t="str">
        <f t="shared" si="0"/>
        <v/>
      </c>
      <c r="B72" s="32"/>
      <c r="C72" s="33"/>
      <c r="D72" s="3" t="str" cm="1">
        <f t="array" aca="1" ref="D72" ca="1">IF($C72="","",COUNTIF(_xlfn.TAKE(OFFSET($C$14, 0, 0, COUNTA($C$14:$C$113),1),$A72),$C72))</f>
        <v/>
      </c>
      <c r="E72" s="48"/>
      <c r="F72" s="48"/>
      <c r="G72" s="35"/>
      <c r="H72" s="40" t="str">
        <f t="shared" si="1"/>
        <v/>
      </c>
      <c r="I72" s="61" t="b">
        <v>0</v>
      </c>
      <c r="J72" s="3" t="str">
        <f t="shared" si="2"/>
        <v/>
      </c>
      <c r="K72" s="61" t="b">
        <v>0</v>
      </c>
      <c r="L72" s="3" t="str">
        <f t="shared" si="3"/>
        <v/>
      </c>
      <c r="M72" s="58" t="b">
        <v>0</v>
      </c>
      <c r="N72" s="40" t="str">
        <f t="shared" si="4"/>
        <v/>
      </c>
      <c r="O72" s="61" t="b">
        <v>0</v>
      </c>
      <c r="P72" s="3" t="str">
        <f t="shared" si="5"/>
        <v/>
      </c>
      <c r="Q72" s="61" t="b">
        <v>0</v>
      </c>
      <c r="R72" s="3" t="str">
        <f t="shared" si="6"/>
        <v/>
      </c>
      <c r="S72" s="58" t="b">
        <v>0</v>
      </c>
      <c r="T72" s="40" t="str">
        <f t="shared" si="7"/>
        <v/>
      </c>
      <c r="U72" s="61" t="b">
        <v>0</v>
      </c>
      <c r="V72" s="3" t="str">
        <f t="shared" si="8"/>
        <v/>
      </c>
      <c r="W72" s="61" t="b">
        <v>0</v>
      </c>
      <c r="X72" s="3" t="str">
        <f t="shared" si="9"/>
        <v/>
      </c>
      <c r="Y72" s="64" t="b">
        <v>0</v>
      </c>
      <c r="Z72" s="36"/>
    </row>
    <row r="73" spans="1:26" ht="15" hidden="1" x14ac:dyDescent="0.4">
      <c r="A73" s="3" t="str">
        <f t="shared" si="0"/>
        <v/>
      </c>
      <c r="B73" s="32"/>
      <c r="C73" s="33"/>
      <c r="D73" s="3" t="str" cm="1">
        <f t="array" aca="1" ref="D73" ca="1">IF($C73="","",COUNTIF(_xlfn.TAKE(OFFSET($C$14, 0, 0, COUNTA($C$14:$C$113),1),$A73),$C73))</f>
        <v/>
      </c>
      <c r="E73" s="48"/>
      <c r="F73" s="48"/>
      <c r="G73" s="35"/>
      <c r="H73" s="40" t="str">
        <f t="shared" si="1"/>
        <v/>
      </c>
      <c r="I73" s="61" t="b">
        <v>0</v>
      </c>
      <c r="J73" s="3" t="str">
        <f t="shared" si="2"/>
        <v/>
      </c>
      <c r="K73" s="61" t="b">
        <v>0</v>
      </c>
      <c r="L73" s="3" t="str">
        <f t="shared" si="3"/>
        <v/>
      </c>
      <c r="M73" s="58" t="b">
        <v>0</v>
      </c>
      <c r="N73" s="40" t="str">
        <f t="shared" si="4"/>
        <v/>
      </c>
      <c r="O73" s="61" t="b">
        <v>0</v>
      </c>
      <c r="P73" s="3" t="str">
        <f t="shared" si="5"/>
        <v/>
      </c>
      <c r="Q73" s="61" t="b">
        <v>0</v>
      </c>
      <c r="R73" s="3" t="str">
        <f t="shared" si="6"/>
        <v/>
      </c>
      <c r="S73" s="58" t="b">
        <v>0</v>
      </c>
      <c r="T73" s="40" t="str">
        <f t="shared" si="7"/>
        <v/>
      </c>
      <c r="U73" s="61" t="b">
        <v>0</v>
      </c>
      <c r="V73" s="3" t="str">
        <f t="shared" si="8"/>
        <v/>
      </c>
      <c r="W73" s="61" t="b">
        <v>0</v>
      </c>
      <c r="X73" s="3" t="str">
        <f t="shared" si="9"/>
        <v/>
      </c>
      <c r="Y73" s="64" t="b">
        <v>0</v>
      </c>
      <c r="Z73" s="36"/>
    </row>
    <row r="74" spans="1:26" ht="15" hidden="1" x14ac:dyDescent="0.4">
      <c r="A74" s="3" t="str">
        <f t="shared" si="0"/>
        <v/>
      </c>
      <c r="B74" s="32"/>
      <c r="C74" s="33"/>
      <c r="D74" s="3" t="str" cm="1">
        <f t="array" aca="1" ref="D74" ca="1">IF($C74="","",COUNTIF(_xlfn.TAKE(OFFSET($C$14, 0, 0, COUNTA($C$14:$C$113),1),$A74),$C74))</f>
        <v/>
      </c>
      <c r="E74" s="48"/>
      <c r="F74" s="48"/>
      <c r="G74" s="35"/>
      <c r="H74" s="40" t="str">
        <f t="shared" si="1"/>
        <v/>
      </c>
      <c r="I74" s="61" t="b">
        <v>0</v>
      </c>
      <c r="J74" s="3" t="str">
        <f t="shared" si="2"/>
        <v/>
      </c>
      <c r="K74" s="61" t="b">
        <v>0</v>
      </c>
      <c r="L74" s="3" t="str">
        <f t="shared" si="3"/>
        <v/>
      </c>
      <c r="M74" s="58" t="b">
        <v>0</v>
      </c>
      <c r="N74" s="40" t="str">
        <f t="shared" si="4"/>
        <v/>
      </c>
      <c r="O74" s="61" t="b">
        <v>0</v>
      </c>
      <c r="P74" s="3" t="str">
        <f t="shared" si="5"/>
        <v/>
      </c>
      <c r="Q74" s="61" t="b">
        <v>0</v>
      </c>
      <c r="R74" s="3" t="str">
        <f t="shared" si="6"/>
        <v/>
      </c>
      <c r="S74" s="58" t="b">
        <v>0</v>
      </c>
      <c r="T74" s="40" t="str">
        <f t="shared" si="7"/>
        <v/>
      </c>
      <c r="U74" s="61" t="b">
        <v>0</v>
      </c>
      <c r="V74" s="3" t="str">
        <f t="shared" si="8"/>
        <v/>
      </c>
      <c r="W74" s="61" t="b">
        <v>0</v>
      </c>
      <c r="X74" s="3" t="str">
        <f t="shared" si="9"/>
        <v/>
      </c>
      <c r="Y74" s="64" t="b">
        <v>0</v>
      </c>
      <c r="Z74" s="36"/>
    </row>
    <row r="75" spans="1:26" ht="15" hidden="1" x14ac:dyDescent="0.4">
      <c r="A75" s="3" t="str">
        <f t="shared" si="0"/>
        <v/>
      </c>
      <c r="B75" s="32"/>
      <c r="C75" s="33"/>
      <c r="D75" s="3" t="str" cm="1">
        <f t="array" aca="1" ref="D75" ca="1">IF($C75="","",COUNTIF(_xlfn.TAKE(OFFSET($C$14, 0, 0, COUNTA($C$14:$C$113),1),$A75),$C75))</f>
        <v/>
      </c>
      <c r="E75" s="48"/>
      <c r="F75" s="48"/>
      <c r="G75" s="35"/>
      <c r="H75" s="40" t="str">
        <f t="shared" si="1"/>
        <v/>
      </c>
      <c r="I75" s="61" t="b">
        <v>0</v>
      </c>
      <c r="J75" s="3" t="str">
        <f t="shared" si="2"/>
        <v/>
      </c>
      <c r="K75" s="61" t="b">
        <v>0</v>
      </c>
      <c r="L75" s="3" t="str">
        <f t="shared" si="3"/>
        <v/>
      </c>
      <c r="M75" s="58" t="b">
        <v>0</v>
      </c>
      <c r="N75" s="40" t="str">
        <f t="shared" si="4"/>
        <v/>
      </c>
      <c r="O75" s="61" t="b">
        <v>0</v>
      </c>
      <c r="P75" s="3" t="str">
        <f t="shared" si="5"/>
        <v/>
      </c>
      <c r="Q75" s="61" t="b">
        <v>0</v>
      </c>
      <c r="R75" s="3" t="str">
        <f t="shared" si="6"/>
        <v/>
      </c>
      <c r="S75" s="58" t="b">
        <v>0</v>
      </c>
      <c r="T75" s="40" t="str">
        <f t="shared" si="7"/>
        <v/>
      </c>
      <c r="U75" s="61" t="b">
        <v>0</v>
      </c>
      <c r="V75" s="3" t="str">
        <f t="shared" si="8"/>
        <v/>
      </c>
      <c r="W75" s="61" t="b">
        <v>0</v>
      </c>
      <c r="X75" s="3" t="str">
        <f t="shared" si="9"/>
        <v/>
      </c>
      <c r="Y75" s="64" t="b">
        <v>0</v>
      </c>
      <c r="Z75" s="36"/>
    </row>
    <row r="76" spans="1:26" ht="15" hidden="1" x14ac:dyDescent="0.4">
      <c r="A76" s="3" t="str">
        <f t="shared" si="0"/>
        <v/>
      </c>
      <c r="B76" s="32"/>
      <c r="C76" s="33"/>
      <c r="D76" s="3" t="str" cm="1">
        <f t="array" aca="1" ref="D76" ca="1">IF($C76="","",COUNTIF(_xlfn.TAKE(OFFSET($C$14, 0, 0, COUNTA($C$14:$C$113),1),$A76),$C76))</f>
        <v/>
      </c>
      <c r="E76" s="48"/>
      <c r="F76" s="48"/>
      <c r="G76" s="35"/>
      <c r="H76" s="40" t="str">
        <f t="shared" si="1"/>
        <v/>
      </c>
      <c r="I76" s="61" t="b">
        <v>0</v>
      </c>
      <c r="J76" s="3" t="str">
        <f t="shared" si="2"/>
        <v/>
      </c>
      <c r="K76" s="61" t="b">
        <v>0</v>
      </c>
      <c r="L76" s="3" t="str">
        <f t="shared" si="3"/>
        <v/>
      </c>
      <c r="M76" s="58" t="b">
        <v>0</v>
      </c>
      <c r="N76" s="40" t="str">
        <f t="shared" si="4"/>
        <v/>
      </c>
      <c r="O76" s="61" t="b">
        <v>0</v>
      </c>
      <c r="P76" s="3" t="str">
        <f t="shared" si="5"/>
        <v/>
      </c>
      <c r="Q76" s="61" t="b">
        <v>0</v>
      </c>
      <c r="R76" s="3" t="str">
        <f t="shared" si="6"/>
        <v/>
      </c>
      <c r="S76" s="58" t="b">
        <v>0</v>
      </c>
      <c r="T76" s="40" t="str">
        <f t="shared" si="7"/>
        <v/>
      </c>
      <c r="U76" s="61" t="b">
        <v>0</v>
      </c>
      <c r="V76" s="3" t="str">
        <f t="shared" si="8"/>
        <v/>
      </c>
      <c r="W76" s="61" t="b">
        <v>0</v>
      </c>
      <c r="X76" s="3" t="str">
        <f t="shared" si="9"/>
        <v/>
      </c>
      <c r="Y76" s="64" t="b">
        <v>0</v>
      </c>
      <c r="Z76" s="36"/>
    </row>
    <row r="77" spans="1:26" ht="15" hidden="1" x14ac:dyDescent="0.4">
      <c r="A77" s="3" t="str">
        <f t="shared" si="0"/>
        <v/>
      </c>
      <c r="B77" s="32"/>
      <c r="C77" s="33"/>
      <c r="D77" s="3" t="str" cm="1">
        <f t="array" aca="1" ref="D77" ca="1">IF($C77="","",COUNTIF(_xlfn.TAKE(OFFSET($C$14, 0, 0, COUNTA($C$14:$C$113),1),$A77),$C77))</f>
        <v/>
      </c>
      <c r="E77" s="48"/>
      <c r="F77" s="48"/>
      <c r="G77" s="35"/>
      <c r="H77" s="40" t="str">
        <f t="shared" si="1"/>
        <v/>
      </c>
      <c r="I77" s="61" t="b">
        <v>0</v>
      </c>
      <c r="J77" s="3" t="str">
        <f t="shared" si="2"/>
        <v/>
      </c>
      <c r="K77" s="61" t="b">
        <v>0</v>
      </c>
      <c r="L77" s="3" t="str">
        <f t="shared" si="3"/>
        <v/>
      </c>
      <c r="M77" s="58" t="b">
        <v>0</v>
      </c>
      <c r="N77" s="40" t="str">
        <f t="shared" si="4"/>
        <v/>
      </c>
      <c r="O77" s="61" t="b">
        <v>0</v>
      </c>
      <c r="P77" s="3" t="str">
        <f t="shared" si="5"/>
        <v/>
      </c>
      <c r="Q77" s="61" t="b">
        <v>0</v>
      </c>
      <c r="R77" s="3" t="str">
        <f t="shared" si="6"/>
        <v/>
      </c>
      <c r="S77" s="58" t="b">
        <v>0</v>
      </c>
      <c r="T77" s="40" t="str">
        <f t="shared" si="7"/>
        <v/>
      </c>
      <c r="U77" s="61" t="b">
        <v>0</v>
      </c>
      <c r="V77" s="3" t="str">
        <f t="shared" si="8"/>
        <v/>
      </c>
      <c r="W77" s="61" t="b">
        <v>0</v>
      </c>
      <c r="X77" s="3" t="str">
        <f t="shared" si="9"/>
        <v/>
      </c>
      <c r="Y77" s="64" t="b">
        <v>0</v>
      </c>
      <c r="Z77" s="36"/>
    </row>
    <row r="78" spans="1:26" ht="15" hidden="1" x14ac:dyDescent="0.4">
      <c r="A78" s="3" t="str">
        <f t="shared" si="0"/>
        <v/>
      </c>
      <c r="B78" s="32"/>
      <c r="C78" s="33"/>
      <c r="D78" s="3" t="str" cm="1">
        <f t="array" aca="1" ref="D78" ca="1">IF($C78="","",COUNTIF(_xlfn.TAKE(OFFSET($C$14, 0, 0, COUNTA($C$14:$C$113),1),$A78),$C78))</f>
        <v/>
      </c>
      <c r="E78" s="48"/>
      <c r="F78" s="48"/>
      <c r="G78" s="35"/>
      <c r="H78" s="40" t="str">
        <f t="shared" si="1"/>
        <v/>
      </c>
      <c r="I78" s="61" t="b">
        <v>0</v>
      </c>
      <c r="J78" s="3" t="str">
        <f t="shared" si="2"/>
        <v/>
      </c>
      <c r="K78" s="61" t="b">
        <v>0</v>
      </c>
      <c r="L78" s="3" t="str">
        <f t="shared" si="3"/>
        <v/>
      </c>
      <c r="M78" s="58" t="b">
        <v>0</v>
      </c>
      <c r="N78" s="40" t="str">
        <f t="shared" si="4"/>
        <v/>
      </c>
      <c r="O78" s="61" t="b">
        <v>0</v>
      </c>
      <c r="P78" s="3" t="str">
        <f t="shared" si="5"/>
        <v/>
      </c>
      <c r="Q78" s="61" t="b">
        <v>0</v>
      </c>
      <c r="R78" s="3" t="str">
        <f t="shared" si="6"/>
        <v/>
      </c>
      <c r="S78" s="58" t="b">
        <v>0</v>
      </c>
      <c r="T78" s="40" t="str">
        <f t="shared" si="7"/>
        <v/>
      </c>
      <c r="U78" s="61" t="b">
        <v>0</v>
      </c>
      <c r="V78" s="3" t="str">
        <f t="shared" si="8"/>
        <v/>
      </c>
      <c r="W78" s="61" t="b">
        <v>0</v>
      </c>
      <c r="X78" s="3" t="str">
        <f t="shared" si="9"/>
        <v/>
      </c>
      <c r="Y78" s="64" t="b">
        <v>0</v>
      </c>
      <c r="Z78" s="36"/>
    </row>
    <row r="79" spans="1:26" ht="15" hidden="1" x14ac:dyDescent="0.4">
      <c r="A79" s="3" t="str">
        <f t="shared" ref="A79:A113" si="10">IF($B79="","",A78+1)</f>
        <v/>
      </c>
      <c r="B79" s="32"/>
      <c r="C79" s="33"/>
      <c r="D79" s="3" t="str" cm="1">
        <f t="array" aca="1" ref="D79" ca="1">IF($C79="","",COUNTIF(_xlfn.TAKE(OFFSET($C$14, 0, 0, COUNTA($C$14:$C$113),1),$A79),$C79))</f>
        <v/>
      </c>
      <c r="E79" s="48"/>
      <c r="F79" s="48"/>
      <c r="G79" s="35"/>
      <c r="H79" s="40" t="str">
        <f t="shared" ref="H79:H113" si="11">IF($B79="","",IF($I78,IF($G79=$H$10,1,0), IF($G79=$H$10,$H78+1,$H78)))</f>
        <v/>
      </c>
      <c r="I79" s="61" t="b">
        <v>0</v>
      </c>
      <c r="J79" s="3" t="str">
        <f t="shared" ref="J79:J113" si="12">IF($B79="","",IF($K78,IF($G79=$H$10,1,0),IF($G79=$H$10,$J78+1,$J78)))</f>
        <v/>
      </c>
      <c r="K79" s="61" t="b">
        <v>0</v>
      </c>
      <c r="L79" s="3" t="str">
        <f t="shared" ref="L79:L113" si="13">IF($B79="","",IF($M78,IF($G79=$H$10,1,0),IF($G79=$H$10,$L78+1,$L78)))</f>
        <v/>
      </c>
      <c r="M79" s="58" t="b">
        <v>0</v>
      </c>
      <c r="N79" s="40" t="str">
        <f t="shared" ref="N79:N113" si="14">IF($B79="","",IF($O78,IF($G79=$N$10,1,0),IF($G79=$N$10,$N78+1,$N78)))</f>
        <v/>
      </c>
      <c r="O79" s="61" t="b">
        <v>0</v>
      </c>
      <c r="P79" s="3" t="str">
        <f t="shared" ref="P79:P113" si="15">IF($B79="","",IF($Q78,IF($G79=$N$10,1,0),IF($G79=$N$10,$P78+1,$P78)))</f>
        <v/>
      </c>
      <c r="Q79" s="61" t="b">
        <v>0</v>
      </c>
      <c r="R79" s="3" t="str">
        <f t="shared" ref="R79:R113" si="16">IF($B79="","",IF($S78,IF($G79=$N$10,1,0),IF($G79=$N$10,$R78+1,$R78)))</f>
        <v/>
      </c>
      <c r="S79" s="58" t="b">
        <v>0</v>
      </c>
      <c r="T79" s="40" t="str">
        <f t="shared" ref="T79:T113" si="17">IF($B79="","",IF($U78,IF($G79=$T$10,$T78+1,$T78),IF($G79=$T$10,1,0)))</f>
        <v/>
      </c>
      <c r="U79" s="61" t="b">
        <v>0</v>
      </c>
      <c r="V79" s="3" t="str">
        <f t="shared" ref="V79:V113" si="18">IF($B79="","",IF($W78,IF($G79=$T$10,1,0),IF($G79=$T$10,$V78+1,$V78)))</f>
        <v/>
      </c>
      <c r="W79" s="61" t="b">
        <v>0</v>
      </c>
      <c r="X79" s="3" t="str">
        <f t="shared" ref="X79:X113" si="19">IF($B79="","",IF($Y78,IF($G79=$T$10,1,0),IF($G79=$T$10,$X78+1,$X78)))</f>
        <v/>
      </c>
      <c r="Y79" s="64" t="b">
        <v>0</v>
      </c>
      <c r="Z79" s="36"/>
    </row>
    <row r="80" spans="1:26" ht="15" hidden="1" x14ac:dyDescent="0.4">
      <c r="A80" s="3" t="str">
        <f t="shared" si="10"/>
        <v/>
      </c>
      <c r="B80" s="32"/>
      <c r="C80" s="33"/>
      <c r="D80" s="3" t="str" cm="1">
        <f t="array" aca="1" ref="D80" ca="1">IF($C80="","",COUNTIF(_xlfn.TAKE(OFFSET($C$14, 0, 0, COUNTA($C$14:$C$113),1),$A80),$C80))</f>
        <v/>
      </c>
      <c r="E80" s="48"/>
      <c r="F80" s="48"/>
      <c r="G80" s="35"/>
      <c r="H80" s="40" t="str">
        <f t="shared" si="11"/>
        <v/>
      </c>
      <c r="I80" s="61" t="b">
        <v>0</v>
      </c>
      <c r="J80" s="3" t="str">
        <f t="shared" si="12"/>
        <v/>
      </c>
      <c r="K80" s="61" t="b">
        <v>0</v>
      </c>
      <c r="L80" s="3" t="str">
        <f t="shared" si="13"/>
        <v/>
      </c>
      <c r="M80" s="58" t="b">
        <v>0</v>
      </c>
      <c r="N80" s="40" t="str">
        <f t="shared" si="14"/>
        <v/>
      </c>
      <c r="O80" s="61" t="b">
        <v>0</v>
      </c>
      <c r="P80" s="3" t="str">
        <f t="shared" si="15"/>
        <v/>
      </c>
      <c r="Q80" s="61" t="b">
        <v>0</v>
      </c>
      <c r="R80" s="3" t="str">
        <f t="shared" si="16"/>
        <v/>
      </c>
      <c r="S80" s="58" t="b">
        <v>0</v>
      </c>
      <c r="T80" s="40" t="str">
        <f t="shared" si="17"/>
        <v/>
      </c>
      <c r="U80" s="61" t="b">
        <v>0</v>
      </c>
      <c r="V80" s="3" t="str">
        <f t="shared" si="18"/>
        <v/>
      </c>
      <c r="W80" s="61" t="b">
        <v>0</v>
      </c>
      <c r="X80" s="3" t="str">
        <f t="shared" si="19"/>
        <v/>
      </c>
      <c r="Y80" s="64" t="b">
        <v>0</v>
      </c>
      <c r="Z80" s="36"/>
    </row>
    <row r="81" spans="1:26" ht="15" hidden="1" x14ac:dyDescent="0.4">
      <c r="A81" s="3" t="str">
        <f t="shared" si="10"/>
        <v/>
      </c>
      <c r="B81" s="32"/>
      <c r="C81" s="33"/>
      <c r="D81" s="3" t="str" cm="1">
        <f t="array" aca="1" ref="D81" ca="1">IF($C81="","",COUNTIF(_xlfn.TAKE(OFFSET($C$14, 0, 0, COUNTA($C$14:$C$113),1),$A81),$C81))</f>
        <v/>
      </c>
      <c r="E81" s="48"/>
      <c r="F81" s="48"/>
      <c r="G81" s="35"/>
      <c r="H81" s="40" t="str">
        <f t="shared" si="11"/>
        <v/>
      </c>
      <c r="I81" s="61" t="b">
        <v>0</v>
      </c>
      <c r="J81" s="3" t="str">
        <f t="shared" si="12"/>
        <v/>
      </c>
      <c r="K81" s="61" t="b">
        <v>0</v>
      </c>
      <c r="L81" s="3" t="str">
        <f t="shared" si="13"/>
        <v/>
      </c>
      <c r="M81" s="58" t="b">
        <v>0</v>
      </c>
      <c r="N81" s="40" t="str">
        <f t="shared" si="14"/>
        <v/>
      </c>
      <c r="O81" s="61" t="b">
        <v>0</v>
      </c>
      <c r="P81" s="3" t="str">
        <f t="shared" si="15"/>
        <v/>
      </c>
      <c r="Q81" s="61" t="b">
        <v>0</v>
      </c>
      <c r="R81" s="3" t="str">
        <f t="shared" si="16"/>
        <v/>
      </c>
      <c r="S81" s="58" t="b">
        <v>0</v>
      </c>
      <c r="T81" s="40" t="str">
        <f t="shared" si="17"/>
        <v/>
      </c>
      <c r="U81" s="61" t="b">
        <v>0</v>
      </c>
      <c r="V81" s="3" t="str">
        <f t="shared" si="18"/>
        <v/>
      </c>
      <c r="W81" s="61" t="b">
        <v>0</v>
      </c>
      <c r="X81" s="3" t="str">
        <f t="shared" si="19"/>
        <v/>
      </c>
      <c r="Y81" s="64" t="b">
        <v>0</v>
      </c>
      <c r="Z81" s="36"/>
    </row>
    <row r="82" spans="1:26" ht="15" hidden="1" x14ac:dyDescent="0.4">
      <c r="A82" s="3" t="str">
        <f t="shared" si="10"/>
        <v/>
      </c>
      <c r="B82" s="32"/>
      <c r="C82" s="33"/>
      <c r="D82" s="3" t="str" cm="1">
        <f t="array" aca="1" ref="D82" ca="1">IF($C82="","",COUNTIF(_xlfn.TAKE(OFFSET($C$14, 0, 0, COUNTA($C$14:$C$113),1),$A82),$C82))</f>
        <v/>
      </c>
      <c r="E82" s="48"/>
      <c r="F82" s="48"/>
      <c r="G82" s="35"/>
      <c r="H82" s="40" t="str">
        <f t="shared" si="11"/>
        <v/>
      </c>
      <c r="I82" s="61" t="b">
        <v>0</v>
      </c>
      <c r="J82" s="3" t="str">
        <f t="shared" si="12"/>
        <v/>
      </c>
      <c r="K82" s="61" t="b">
        <v>0</v>
      </c>
      <c r="L82" s="3" t="str">
        <f t="shared" si="13"/>
        <v/>
      </c>
      <c r="M82" s="58" t="b">
        <v>0</v>
      </c>
      <c r="N82" s="40" t="str">
        <f t="shared" si="14"/>
        <v/>
      </c>
      <c r="O82" s="61" t="b">
        <v>0</v>
      </c>
      <c r="P82" s="3" t="str">
        <f t="shared" si="15"/>
        <v/>
      </c>
      <c r="Q82" s="61" t="b">
        <v>0</v>
      </c>
      <c r="R82" s="3" t="str">
        <f t="shared" si="16"/>
        <v/>
      </c>
      <c r="S82" s="58" t="b">
        <v>0</v>
      </c>
      <c r="T82" s="40" t="str">
        <f t="shared" si="17"/>
        <v/>
      </c>
      <c r="U82" s="61" t="b">
        <v>0</v>
      </c>
      <c r="V82" s="3" t="str">
        <f t="shared" si="18"/>
        <v/>
      </c>
      <c r="W82" s="61" t="b">
        <v>0</v>
      </c>
      <c r="X82" s="3" t="str">
        <f t="shared" si="19"/>
        <v/>
      </c>
      <c r="Y82" s="64" t="b">
        <v>0</v>
      </c>
      <c r="Z82" s="36"/>
    </row>
    <row r="83" spans="1:26" ht="15" hidden="1" x14ac:dyDescent="0.4">
      <c r="A83" s="3" t="str">
        <f t="shared" si="10"/>
        <v/>
      </c>
      <c r="B83" s="32"/>
      <c r="C83" s="33"/>
      <c r="D83" s="3" t="str" cm="1">
        <f t="array" aca="1" ref="D83" ca="1">IF($C83="","",COUNTIF(_xlfn.TAKE(OFFSET($C$14, 0, 0, COUNTA($C$14:$C$113),1),$A83),$C83))</f>
        <v/>
      </c>
      <c r="E83" s="48"/>
      <c r="F83" s="48"/>
      <c r="G83" s="35"/>
      <c r="H83" s="40" t="str">
        <f t="shared" si="11"/>
        <v/>
      </c>
      <c r="I83" s="61" t="b">
        <v>0</v>
      </c>
      <c r="J83" s="3" t="str">
        <f t="shared" si="12"/>
        <v/>
      </c>
      <c r="K83" s="61" t="b">
        <v>0</v>
      </c>
      <c r="L83" s="3" t="str">
        <f t="shared" si="13"/>
        <v/>
      </c>
      <c r="M83" s="58" t="b">
        <v>0</v>
      </c>
      <c r="N83" s="40" t="str">
        <f t="shared" si="14"/>
        <v/>
      </c>
      <c r="O83" s="61" t="b">
        <v>0</v>
      </c>
      <c r="P83" s="3" t="str">
        <f t="shared" si="15"/>
        <v/>
      </c>
      <c r="Q83" s="61" t="b">
        <v>0</v>
      </c>
      <c r="R83" s="3" t="str">
        <f t="shared" si="16"/>
        <v/>
      </c>
      <c r="S83" s="58" t="b">
        <v>0</v>
      </c>
      <c r="T83" s="40" t="str">
        <f t="shared" si="17"/>
        <v/>
      </c>
      <c r="U83" s="61" t="b">
        <v>0</v>
      </c>
      <c r="V83" s="3" t="str">
        <f t="shared" si="18"/>
        <v/>
      </c>
      <c r="W83" s="61" t="b">
        <v>0</v>
      </c>
      <c r="X83" s="3" t="str">
        <f t="shared" si="19"/>
        <v/>
      </c>
      <c r="Y83" s="64" t="b">
        <v>0</v>
      </c>
      <c r="Z83" s="36"/>
    </row>
    <row r="84" spans="1:26" ht="15" hidden="1" x14ac:dyDescent="0.4">
      <c r="A84" s="3" t="str">
        <f t="shared" si="10"/>
        <v/>
      </c>
      <c r="B84" s="32"/>
      <c r="C84" s="33"/>
      <c r="D84" s="3" t="str" cm="1">
        <f t="array" aca="1" ref="D84" ca="1">IF($C84="","",COUNTIF(_xlfn.TAKE(OFFSET($C$14, 0, 0, COUNTA($C$14:$C$113),1),$A84),$C84))</f>
        <v/>
      </c>
      <c r="E84" s="48"/>
      <c r="F84" s="48"/>
      <c r="G84" s="35"/>
      <c r="H84" s="40" t="str">
        <f t="shared" si="11"/>
        <v/>
      </c>
      <c r="I84" s="61" t="b">
        <v>0</v>
      </c>
      <c r="J84" s="3" t="str">
        <f t="shared" si="12"/>
        <v/>
      </c>
      <c r="K84" s="61" t="b">
        <v>0</v>
      </c>
      <c r="L84" s="3" t="str">
        <f t="shared" si="13"/>
        <v/>
      </c>
      <c r="M84" s="58" t="b">
        <v>0</v>
      </c>
      <c r="N84" s="40" t="str">
        <f t="shared" si="14"/>
        <v/>
      </c>
      <c r="O84" s="61" t="b">
        <v>0</v>
      </c>
      <c r="P84" s="3" t="str">
        <f t="shared" si="15"/>
        <v/>
      </c>
      <c r="Q84" s="61" t="b">
        <v>0</v>
      </c>
      <c r="R84" s="3" t="str">
        <f t="shared" si="16"/>
        <v/>
      </c>
      <c r="S84" s="58" t="b">
        <v>0</v>
      </c>
      <c r="T84" s="40" t="str">
        <f t="shared" si="17"/>
        <v/>
      </c>
      <c r="U84" s="61" t="b">
        <v>0</v>
      </c>
      <c r="V84" s="3" t="str">
        <f t="shared" si="18"/>
        <v/>
      </c>
      <c r="W84" s="61" t="b">
        <v>0</v>
      </c>
      <c r="X84" s="3" t="str">
        <f t="shared" si="19"/>
        <v/>
      </c>
      <c r="Y84" s="64" t="b">
        <v>0</v>
      </c>
      <c r="Z84" s="36"/>
    </row>
    <row r="85" spans="1:26" ht="15" hidden="1" x14ac:dyDescent="0.4">
      <c r="A85" s="3" t="str">
        <f t="shared" si="10"/>
        <v/>
      </c>
      <c r="B85" s="32"/>
      <c r="C85" s="33"/>
      <c r="D85" s="3" t="str" cm="1">
        <f t="array" aca="1" ref="D85" ca="1">IF($C85="","",COUNTIF(_xlfn.TAKE(OFFSET($C$14, 0, 0, COUNTA($C$14:$C$113),1),$A85),$C85))</f>
        <v/>
      </c>
      <c r="E85" s="48"/>
      <c r="F85" s="48"/>
      <c r="G85" s="35"/>
      <c r="H85" s="40" t="str">
        <f t="shared" si="11"/>
        <v/>
      </c>
      <c r="I85" s="61" t="b">
        <v>0</v>
      </c>
      <c r="J85" s="3" t="str">
        <f t="shared" si="12"/>
        <v/>
      </c>
      <c r="K85" s="61" t="b">
        <v>0</v>
      </c>
      <c r="L85" s="3" t="str">
        <f t="shared" si="13"/>
        <v/>
      </c>
      <c r="M85" s="58" t="b">
        <v>0</v>
      </c>
      <c r="N85" s="40" t="str">
        <f t="shared" si="14"/>
        <v/>
      </c>
      <c r="O85" s="61" t="b">
        <v>0</v>
      </c>
      <c r="P85" s="3" t="str">
        <f t="shared" si="15"/>
        <v/>
      </c>
      <c r="Q85" s="61" t="b">
        <v>0</v>
      </c>
      <c r="R85" s="3" t="str">
        <f t="shared" si="16"/>
        <v/>
      </c>
      <c r="S85" s="58" t="b">
        <v>0</v>
      </c>
      <c r="T85" s="40" t="str">
        <f t="shared" si="17"/>
        <v/>
      </c>
      <c r="U85" s="61" t="b">
        <v>0</v>
      </c>
      <c r="V85" s="3" t="str">
        <f t="shared" si="18"/>
        <v/>
      </c>
      <c r="W85" s="61" t="b">
        <v>0</v>
      </c>
      <c r="X85" s="3" t="str">
        <f t="shared" si="19"/>
        <v/>
      </c>
      <c r="Y85" s="64" t="b">
        <v>0</v>
      </c>
      <c r="Z85" s="36"/>
    </row>
    <row r="86" spans="1:26" ht="15" hidden="1" x14ac:dyDescent="0.4">
      <c r="A86" s="3" t="str">
        <f t="shared" si="10"/>
        <v/>
      </c>
      <c r="B86" s="32"/>
      <c r="C86" s="33"/>
      <c r="D86" s="3" t="str" cm="1">
        <f t="array" aca="1" ref="D86" ca="1">IF($C86="","",COUNTIF(_xlfn.TAKE(OFFSET($C$14, 0, 0, COUNTA($C$14:$C$113),1),$A86),$C86))</f>
        <v/>
      </c>
      <c r="E86" s="48"/>
      <c r="F86" s="48"/>
      <c r="G86" s="35"/>
      <c r="H86" s="40" t="str">
        <f t="shared" si="11"/>
        <v/>
      </c>
      <c r="I86" s="61" t="b">
        <v>0</v>
      </c>
      <c r="J86" s="3" t="str">
        <f t="shared" si="12"/>
        <v/>
      </c>
      <c r="K86" s="61" t="b">
        <v>0</v>
      </c>
      <c r="L86" s="3" t="str">
        <f t="shared" si="13"/>
        <v/>
      </c>
      <c r="M86" s="58" t="b">
        <v>0</v>
      </c>
      <c r="N86" s="40" t="str">
        <f t="shared" si="14"/>
        <v/>
      </c>
      <c r="O86" s="61" t="b">
        <v>0</v>
      </c>
      <c r="P86" s="3" t="str">
        <f t="shared" si="15"/>
        <v/>
      </c>
      <c r="Q86" s="61" t="b">
        <v>0</v>
      </c>
      <c r="R86" s="3" t="str">
        <f t="shared" si="16"/>
        <v/>
      </c>
      <c r="S86" s="58" t="b">
        <v>0</v>
      </c>
      <c r="T86" s="40" t="str">
        <f t="shared" si="17"/>
        <v/>
      </c>
      <c r="U86" s="61" t="b">
        <v>0</v>
      </c>
      <c r="V86" s="3" t="str">
        <f t="shared" si="18"/>
        <v/>
      </c>
      <c r="W86" s="61" t="b">
        <v>0</v>
      </c>
      <c r="X86" s="3" t="str">
        <f t="shared" si="19"/>
        <v/>
      </c>
      <c r="Y86" s="64" t="b">
        <v>0</v>
      </c>
      <c r="Z86" s="36"/>
    </row>
    <row r="87" spans="1:26" ht="15" hidden="1" x14ac:dyDescent="0.4">
      <c r="A87" s="3" t="str">
        <f t="shared" si="10"/>
        <v/>
      </c>
      <c r="B87" s="32"/>
      <c r="C87" s="33"/>
      <c r="D87" s="3" t="str" cm="1">
        <f t="array" aca="1" ref="D87" ca="1">IF($C87="","",COUNTIF(_xlfn.TAKE(OFFSET($C$14, 0, 0, COUNTA($C$14:$C$113),1),$A87),$C87))</f>
        <v/>
      </c>
      <c r="E87" s="48"/>
      <c r="F87" s="48"/>
      <c r="G87" s="35"/>
      <c r="H87" s="40" t="str">
        <f t="shared" si="11"/>
        <v/>
      </c>
      <c r="I87" s="61" t="b">
        <v>0</v>
      </c>
      <c r="J87" s="3" t="str">
        <f t="shared" si="12"/>
        <v/>
      </c>
      <c r="K87" s="61" t="b">
        <v>0</v>
      </c>
      <c r="L87" s="3" t="str">
        <f t="shared" si="13"/>
        <v/>
      </c>
      <c r="M87" s="58" t="b">
        <v>0</v>
      </c>
      <c r="N87" s="40" t="str">
        <f t="shared" si="14"/>
        <v/>
      </c>
      <c r="O87" s="61" t="b">
        <v>0</v>
      </c>
      <c r="P87" s="3" t="str">
        <f t="shared" si="15"/>
        <v/>
      </c>
      <c r="Q87" s="61" t="b">
        <v>0</v>
      </c>
      <c r="R87" s="3" t="str">
        <f t="shared" si="16"/>
        <v/>
      </c>
      <c r="S87" s="58" t="b">
        <v>0</v>
      </c>
      <c r="T87" s="40" t="str">
        <f t="shared" si="17"/>
        <v/>
      </c>
      <c r="U87" s="61" t="b">
        <v>0</v>
      </c>
      <c r="V87" s="3" t="str">
        <f t="shared" si="18"/>
        <v/>
      </c>
      <c r="W87" s="61" t="b">
        <v>0</v>
      </c>
      <c r="X87" s="3" t="str">
        <f t="shared" si="19"/>
        <v/>
      </c>
      <c r="Y87" s="64" t="b">
        <v>0</v>
      </c>
      <c r="Z87" s="36"/>
    </row>
    <row r="88" spans="1:26" ht="15" hidden="1" x14ac:dyDescent="0.4">
      <c r="A88" s="3" t="str">
        <f t="shared" si="10"/>
        <v/>
      </c>
      <c r="B88" s="32"/>
      <c r="C88" s="33"/>
      <c r="D88" s="3" t="str" cm="1">
        <f t="array" aca="1" ref="D88" ca="1">IF($C88="","",COUNTIF(_xlfn.TAKE(OFFSET($C$14, 0, 0, COUNTA($C$14:$C$113),1),$A88),$C88))</f>
        <v/>
      </c>
      <c r="E88" s="48"/>
      <c r="F88" s="48"/>
      <c r="G88" s="35"/>
      <c r="H88" s="40" t="str">
        <f t="shared" si="11"/>
        <v/>
      </c>
      <c r="I88" s="61" t="b">
        <v>0</v>
      </c>
      <c r="J88" s="3" t="str">
        <f t="shared" si="12"/>
        <v/>
      </c>
      <c r="K88" s="61" t="b">
        <v>0</v>
      </c>
      <c r="L88" s="3" t="str">
        <f t="shared" si="13"/>
        <v/>
      </c>
      <c r="M88" s="58" t="b">
        <v>0</v>
      </c>
      <c r="N88" s="40" t="str">
        <f t="shared" si="14"/>
        <v/>
      </c>
      <c r="O88" s="61" t="b">
        <v>0</v>
      </c>
      <c r="P88" s="3" t="str">
        <f t="shared" si="15"/>
        <v/>
      </c>
      <c r="Q88" s="61" t="b">
        <v>0</v>
      </c>
      <c r="R88" s="3" t="str">
        <f t="shared" si="16"/>
        <v/>
      </c>
      <c r="S88" s="58" t="b">
        <v>0</v>
      </c>
      <c r="T88" s="40" t="str">
        <f t="shared" si="17"/>
        <v/>
      </c>
      <c r="U88" s="61" t="b">
        <v>0</v>
      </c>
      <c r="V88" s="3" t="str">
        <f t="shared" si="18"/>
        <v/>
      </c>
      <c r="W88" s="61" t="b">
        <v>0</v>
      </c>
      <c r="X88" s="3" t="str">
        <f t="shared" si="19"/>
        <v/>
      </c>
      <c r="Y88" s="64" t="b">
        <v>0</v>
      </c>
      <c r="Z88" s="36"/>
    </row>
    <row r="89" spans="1:26" ht="15" hidden="1" x14ac:dyDescent="0.4">
      <c r="A89" s="3" t="str">
        <f t="shared" si="10"/>
        <v/>
      </c>
      <c r="B89" s="32"/>
      <c r="C89" s="33"/>
      <c r="D89" s="3" t="str" cm="1">
        <f t="array" aca="1" ref="D89" ca="1">IF($C89="","",COUNTIF(_xlfn.TAKE(OFFSET($C$14, 0, 0, COUNTA($C$14:$C$113),1),$A89),$C89))</f>
        <v/>
      </c>
      <c r="E89" s="48"/>
      <c r="F89" s="48"/>
      <c r="G89" s="35"/>
      <c r="H89" s="40" t="str">
        <f t="shared" si="11"/>
        <v/>
      </c>
      <c r="I89" s="61" t="b">
        <v>0</v>
      </c>
      <c r="J89" s="3" t="str">
        <f t="shared" si="12"/>
        <v/>
      </c>
      <c r="K89" s="61" t="b">
        <v>0</v>
      </c>
      <c r="L89" s="3" t="str">
        <f t="shared" si="13"/>
        <v/>
      </c>
      <c r="M89" s="58" t="b">
        <v>0</v>
      </c>
      <c r="N89" s="40" t="str">
        <f t="shared" si="14"/>
        <v/>
      </c>
      <c r="O89" s="61" t="b">
        <v>0</v>
      </c>
      <c r="P89" s="3" t="str">
        <f t="shared" si="15"/>
        <v/>
      </c>
      <c r="Q89" s="61" t="b">
        <v>0</v>
      </c>
      <c r="R89" s="3" t="str">
        <f t="shared" si="16"/>
        <v/>
      </c>
      <c r="S89" s="58" t="b">
        <v>0</v>
      </c>
      <c r="T89" s="40" t="str">
        <f t="shared" si="17"/>
        <v/>
      </c>
      <c r="U89" s="61" t="b">
        <v>0</v>
      </c>
      <c r="V89" s="3" t="str">
        <f t="shared" si="18"/>
        <v/>
      </c>
      <c r="W89" s="61" t="b">
        <v>0</v>
      </c>
      <c r="X89" s="3" t="str">
        <f t="shared" si="19"/>
        <v/>
      </c>
      <c r="Y89" s="64" t="b">
        <v>0</v>
      </c>
      <c r="Z89" s="36"/>
    </row>
    <row r="90" spans="1:26" ht="15" hidden="1" x14ac:dyDescent="0.4">
      <c r="A90" s="3" t="str">
        <f t="shared" si="10"/>
        <v/>
      </c>
      <c r="B90" s="32"/>
      <c r="C90" s="33"/>
      <c r="D90" s="3" t="str" cm="1">
        <f t="array" aca="1" ref="D90" ca="1">IF($C90="","",COUNTIF(_xlfn.TAKE(OFFSET($C$14, 0, 0, COUNTA($C$14:$C$113),1),$A90),$C90))</f>
        <v/>
      </c>
      <c r="E90" s="48"/>
      <c r="F90" s="48"/>
      <c r="G90" s="35"/>
      <c r="H90" s="40" t="str">
        <f t="shared" si="11"/>
        <v/>
      </c>
      <c r="I90" s="61" t="b">
        <v>0</v>
      </c>
      <c r="J90" s="3" t="str">
        <f t="shared" si="12"/>
        <v/>
      </c>
      <c r="K90" s="61" t="b">
        <v>0</v>
      </c>
      <c r="L90" s="3" t="str">
        <f t="shared" si="13"/>
        <v/>
      </c>
      <c r="M90" s="58" t="b">
        <v>0</v>
      </c>
      <c r="N90" s="40" t="str">
        <f t="shared" si="14"/>
        <v/>
      </c>
      <c r="O90" s="61" t="b">
        <v>0</v>
      </c>
      <c r="P90" s="3" t="str">
        <f t="shared" si="15"/>
        <v/>
      </c>
      <c r="Q90" s="61" t="b">
        <v>0</v>
      </c>
      <c r="R90" s="3" t="str">
        <f t="shared" si="16"/>
        <v/>
      </c>
      <c r="S90" s="58" t="b">
        <v>0</v>
      </c>
      <c r="T90" s="40" t="str">
        <f t="shared" si="17"/>
        <v/>
      </c>
      <c r="U90" s="61" t="b">
        <v>0</v>
      </c>
      <c r="V90" s="3" t="str">
        <f t="shared" si="18"/>
        <v/>
      </c>
      <c r="W90" s="61" t="b">
        <v>0</v>
      </c>
      <c r="X90" s="3" t="str">
        <f t="shared" si="19"/>
        <v/>
      </c>
      <c r="Y90" s="64" t="b">
        <v>0</v>
      </c>
      <c r="Z90" s="36"/>
    </row>
    <row r="91" spans="1:26" ht="15" hidden="1" x14ac:dyDescent="0.4">
      <c r="A91" s="3" t="str">
        <f t="shared" si="10"/>
        <v/>
      </c>
      <c r="B91" s="32"/>
      <c r="C91" s="33"/>
      <c r="D91" s="3" t="str" cm="1">
        <f t="array" aca="1" ref="D91" ca="1">IF($C91="","",COUNTIF(_xlfn.TAKE(OFFSET($C$14, 0, 0, COUNTA($C$14:$C$113),1),$A91),$C91))</f>
        <v/>
      </c>
      <c r="E91" s="48"/>
      <c r="F91" s="48"/>
      <c r="G91" s="35"/>
      <c r="H91" s="40" t="str">
        <f t="shared" si="11"/>
        <v/>
      </c>
      <c r="I91" s="61" t="b">
        <v>0</v>
      </c>
      <c r="J91" s="3" t="str">
        <f t="shared" si="12"/>
        <v/>
      </c>
      <c r="K91" s="61" t="b">
        <v>0</v>
      </c>
      <c r="L91" s="3" t="str">
        <f t="shared" si="13"/>
        <v/>
      </c>
      <c r="M91" s="58" t="b">
        <v>0</v>
      </c>
      <c r="N91" s="40" t="str">
        <f t="shared" si="14"/>
        <v/>
      </c>
      <c r="O91" s="61" t="b">
        <v>0</v>
      </c>
      <c r="P91" s="3" t="str">
        <f t="shared" si="15"/>
        <v/>
      </c>
      <c r="Q91" s="61" t="b">
        <v>0</v>
      </c>
      <c r="R91" s="3" t="str">
        <f t="shared" si="16"/>
        <v/>
      </c>
      <c r="S91" s="58" t="b">
        <v>0</v>
      </c>
      <c r="T91" s="40" t="str">
        <f t="shared" si="17"/>
        <v/>
      </c>
      <c r="U91" s="61" t="b">
        <v>0</v>
      </c>
      <c r="V91" s="3" t="str">
        <f t="shared" si="18"/>
        <v/>
      </c>
      <c r="W91" s="61" t="b">
        <v>0</v>
      </c>
      <c r="X91" s="3" t="str">
        <f t="shared" si="19"/>
        <v/>
      </c>
      <c r="Y91" s="64" t="b">
        <v>0</v>
      </c>
      <c r="Z91" s="36"/>
    </row>
    <row r="92" spans="1:26" ht="15" hidden="1" x14ac:dyDescent="0.4">
      <c r="A92" s="3" t="str">
        <f t="shared" si="10"/>
        <v/>
      </c>
      <c r="B92" s="32"/>
      <c r="C92" s="33"/>
      <c r="D92" s="3" t="str" cm="1">
        <f t="array" aca="1" ref="D92" ca="1">IF($C92="","",COUNTIF(_xlfn.TAKE(OFFSET($C$14, 0, 0, COUNTA($C$14:$C$113),1),$A92),$C92))</f>
        <v/>
      </c>
      <c r="E92" s="48"/>
      <c r="F92" s="48"/>
      <c r="G92" s="35"/>
      <c r="H92" s="40" t="str">
        <f t="shared" si="11"/>
        <v/>
      </c>
      <c r="I92" s="61" t="b">
        <v>0</v>
      </c>
      <c r="J92" s="3" t="str">
        <f t="shared" si="12"/>
        <v/>
      </c>
      <c r="K92" s="61" t="b">
        <v>0</v>
      </c>
      <c r="L92" s="3" t="str">
        <f t="shared" si="13"/>
        <v/>
      </c>
      <c r="M92" s="58" t="b">
        <v>0</v>
      </c>
      <c r="N92" s="40" t="str">
        <f t="shared" si="14"/>
        <v/>
      </c>
      <c r="O92" s="61" t="b">
        <v>0</v>
      </c>
      <c r="P92" s="3" t="str">
        <f t="shared" si="15"/>
        <v/>
      </c>
      <c r="Q92" s="61" t="b">
        <v>0</v>
      </c>
      <c r="R92" s="3" t="str">
        <f t="shared" si="16"/>
        <v/>
      </c>
      <c r="S92" s="58" t="b">
        <v>0</v>
      </c>
      <c r="T92" s="40" t="str">
        <f t="shared" si="17"/>
        <v/>
      </c>
      <c r="U92" s="61" t="b">
        <v>0</v>
      </c>
      <c r="V92" s="3" t="str">
        <f t="shared" si="18"/>
        <v/>
      </c>
      <c r="W92" s="61" t="b">
        <v>0</v>
      </c>
      <c r="X92" s="3" t="str">
        <f t="shared" si="19"/>
        <v/>
      </c>
      <c r="Y92" s="64" t="b">
        <v>0</v>
      </c>
      <c r="Z92" s="36"/>
    </row>
    <row r="93" spans="1:26" ht="15" hidden="1" x14ac:dyDescent="0.4">
      <c r="A93" s="3" t="str">
        <f t="shared" si="10"/>
        <v/>
      </c>
      <c r="B93" s="32"/>
      <c r="C93" s="33"/>
      <c r="D93" s="3" t="str" cm="1">
        <f t="array" aca="1" ref="D93" ca="1">IF($C93="","",COUNTIF(_xlfn.TAKE(OFFSET($C$14, 0, 0, COUNTA($C$14:$C$113),1),$A93),$C93))</f>
        <v/>
      </c>
      <c r="E93" s="48"/>
      <c r="F93" s="48"/>
      <c r="G93" s="35"/>
      <c r="H93" s="40" t="str">
        <f t="shared" si="11"/>
        <v/>
      </c>
      <c r="I93" s="61" t="b">
        <v>0</v>
      </c>
      <c r="J93" s="3" t="str">
        <f t="shared" si="12"/>
        <v/>
      </c>
      <c r="K93" s="61" t="b">
        <v>0</v>
      </c>
      <c r="L93" s="3" t="str">
        <f t="shared" si="13"/>
        <v/>
      </c>
      <c r="M93" s="58" t="b">
        <v>0</v>
      </c>
      <c r="N93" s="40" t="str">
        <f t="shared" si="14"/>
        <v/>
      </c>
      <c r="O93" s="61" t="b">
        <v>0</v>
      </c>
      <c r="P93" s="3" t="str">
        <f t="shared" si="15"/>
        <v/>
      </c>
      <c r="Q93" s="61" t="b">
        <v>0</v>
      </c>
      <c r="R93" s="3" t="str">
        <f t="shared" si="16"/>
        <v/>
      </c>
      <c r="S93" s="58" t="b">
        <v>0</v>
      </c>
      <c r="T93" s="40" t="str">
        <f t="shared" si="17"/>
        <v/>
      </c>
      <c r="U93" s="61" t="b">
        <v>0</v>
      </c>
      <c r="V93" s="3" t="str">
        <f t="shared" si="18"/>
        <v/>
      </c>
      <c r="W93" s="61" t="b">
        <v>0</v>
      </c>
      <c r="X93" s="3" t="str">
        <f t="shared" si="19"/>
        <v/>
      </c>
      <c r="Y93" s="64" t="b">
        <v>0</v>
      </c>
      <c r="Z93" s="36"/>
    </row>
    <row r="94" spans="1:26" ht="15" hidden="1" x14ac:dyDescent="0.4">
      <c r="A94" s="3" t="str">
        <f t="shared" si="10"/>
        <v/>
      </c>
      <c r="B94" s="32"/>
      <c r="C94" s="33"/>
      <c r="D94" s="3" t="str" cm="1">
        <f t="array" aca="1" ref="D94" ca="1">IF($C94="","",COUNTIF(_xlfn.TAKE(OFFSET($C$14, 0, 0, COUNTA($C$14:$C$113),1),$A94),$C94))</f>
        <v/>
      </c>
      <c r="E94" s="48"/>
      <c r="F94" s="48"/>
      <c r="G94" s="35"/>
      <c r="H94" s="40" t="str">
        <f t="shared" si="11"/>
        <v/>
      </c>
      <c r="I94" s="61" t="b">
        <v>0</v>
      </c>
      <c r="J94" s="3" t="str">
        <f t="shared" si="12"/>
        <v/>
      </c>
      <c r="K94" s="61" t="b">
        <v>0</v>
      </c>
      <c r="L94" s="3" t="str">
        <f t="shared" si="13"/>
        <v/>
      </c>
      <c r="M94" s="58" t="b">
        <v>0</v>
      </c>
      <c r="N94" s="40" t="str">
        <f t="shared" si="14"/>
        <v/>
      </c>
      <c r="O94" s="61" t="b">
        <v>0</v>
      </c>
      <c r="P94" s="3" t="str">
        <f t="shared" si="15"/>
        <v/>
      </c>
      <c r="Q94" s="61" t="b">
        <v>0</v>
      </c>
      <c r="R94" s="3" t="str">
        <f t="shared" si="16"/>
        <v/>
      </c>
      <c r="S94" s="58" t="b">
        <v>0</v>
      </c>
      <c r="T94" s="40" t="str">
        <f t="shared" si="17"/>
        <v/>
      </c>
      <c r="U94" s="61" t="b">
        <v>0</v>
      </c>
      <c r="V94" s="3" t="str">
        <f t="shared" si="18"/>
        <v/>
      </c>
      <c r="W94" s="61" t="b">
        <v>0</v>
      </c>
      <c r="X94" s="3" t="str">
        <f t="shared" si="19"/>
        <v/>
      </c>
      <c r="Y94" s="64" t="b">
        <v>0</v>
      </c>
      <c r="Z94" s="36"/>
    </row>
    <row r="95" spans="1:26" ht="15" hidden="1" x14ac:dyDescent="0.4">
      <c r="A95" s="3" t="str">
        <f t="shared" si="10"/>
        <v/>
      </c>
      <c r="B95" s="32"/>
      <c r="C95" s="33"/>
      <c r="D95" s="3" t="str" cm="1">
        <f t="array" aca="1" ref="D95" ca="1">IF($C95="","",COUNTIF(_xlfn.TAKE(OFFSET($C$14, 0, 0, COUNTA($C$14:$C$113),1),$A95),$C95))</f>
        <v/>
      </c>
      <c r="E95" s="48"/>
      <c r="F95" s="48"/>
      <c r="G95" s="35"/>
      <c r="H95" s="40" t="str">
        <f t="shared" si="11"/>
        <v/>
      </c>
      <c r="I95" s="61" t="b">
        <v>0</v>
      </c>
      <c r="J95" s="3" t="str">
        <f t="shared" si="12"/>
        <v/>
      </c>
      <c r="K95" s="61" t="b">
        <v>0</v>
      </c>
      <c r="L95" s="3" t="str">
        <f t="shared" si="13"/>
        <v/>
      </c>
      <c r="M95" s="58" t="b">
        <v>0</v>
      </c>
      <c r="N95" s="40" t="str">
        <f t="shared" si="14"/>
        <v/>
      </c>
      <c r="O95" s="61" t="b">
        <v>0</v>
      </c>
      <c r="P95" s="3" t="str">
        <f t="shared" si="15"/>
        <v/>
      </c>
      <c r="Q95" s="61" t="b">
        <v>0</v>
      </c>
      <c r="R95" s="3" t="str">
        <f t="shared" si="16"/>
        <v/>
      </c>
      <c r="S95" s="58" t="b">
        <v>0</v>
      </c>
      <c r="T95" s="40" t="str">
        <f t="shared" si="17"/>
        <v/>
      </c>
      <c r="U95" s="61" t="b">
        <v>0</v>
      </c>
      <c r="V95" s="3" t="str">
        <f t="shared" si="18"/>
        <v/>
      </c>
      <c r="W95" s="61" t="b">
        <v>0</v>
      </c>
      <c r="X95" s="3" t="str">
        <f t="shared" si="19"/>
        <v/>
      </c>
      <c r="Y95" s="64" t="b">
        <v>0</v>
      </c>
      <c r="Z95" s="36"/>
    </row>
    <row r="96" spans="1:26" ht="15" hidden="1" x14ac:dyDescent="0.4">
      <c r="A96" s="3" t="str">
        <f t="shared" si="10"/>
        <v/>
      </c>
      <c r="B96" s="32"/>
      <c r="C96" s="33"/>
      <c r="D96" s="3" t="str" cm="1">
        <f t="array" aca="1" ref="D96" ca="1">IF($C96="","",COUNTIF(_xlfn.TAKE(OFFSET($C$14, 0, 0, COUNTA($C$14:$C$113),1),$A96),$C96))</f>
        <v/>
      </c>
      <c r="E96" s="48"/>
      <c r="F96" s="48"/>
      <c r="G96" s="35"/>
      <c r="H96" s="40" t="str">
        <f t="shared" si="11"/>
        <v/>
      </c>
      <c r="I96" s="61" t="b">
        <v>0</v>
      </c>
      <c r="J96" s="3" t="str">
        <f t="shared" si="12"/>
        <v/>
      </c>
      <c r="K96" s="61" t="b">
        <v>0</v>
      </c>
      <c r="L96" s="3" t="str">
        <f t="shared" si="13"/>
        <v/>
      </c>
      <c r="M96" s="58" t="b">
        <v>0</v>
      </c>
      <c r="N96" s="40" t="str">
        <f t="shared" si="14"/>
        <v/>
      </c>
      <c r="O96" s="61" t="b">
        <v>0</v>
      </c>
      <c r="P96" s="3" t="str">
        <f t="shared" si="15"/>
        <v/>
      </c>
      <c r="Q96" s="61" t="b">
        <v>0</v>
      </c>
      <c r="R96" s="3" t="str">
        <f t="shared" si="16"/>
        <v/>
      </c>
      <c r="S96" s="58" t="b">
        <v>0</v>
      </c>
      <c r="T96" s="40" t="str">
        <f t="shared" si="17"/>
        <v/>
      </c>
      <c r="U96" s="61" t="b">
        <v>0</v>
      </c>
      <c r="V96" s="3" t="str">
        <f t="shared" si="18"/>
        <v/>
      </c>
      <c r="W96" s="61" t="b">
        <v>0</v>
      </c>
      <c r="X96" s="3" t="str">
        <f t="shared" si="19"/>
        <v/>
      </c>
      <c r="Y96" s="64" t="b">
        <v>0</v>
      </c>
      <c r="Z96" s="36"/>
    </row>
    <row r="97" spans="1:26" ht="15" hidden="1" x14ac:dyDescent="0.4">
      <c r="A97" s="3" t="str">
        <f t="shared" si="10"/>
        <v/>
      </c>
      <c r="B97" s="32"/>
      <c r="C97" s="33"/>
      <c r="D97" s="3" t="str" cm="1">
        <f t="array" aca="1" ref="D97" ca="1">IF($C97="","",COUNTIF(_xlfn.TAKE(OFFSET($C$14, 0, 0, COUNTA($C$14:$C$113),1),$A97),$C97))</f>
        <v/>
      </c>
      <c r="E97" s="48"/>
      <c r="F97" s="48"/>
      <c r="G97" s="35"/>
      <c r="H97" s="40" t="str">
        <f t="shared" si="11"/>
        <v/>
      </c>
      <c r="I97" s="61" t="b">
        <v>0</v>
      </c>
      <c r="J97" s="3" t="str">
        <f t="shared" si="12"/>
        <v/>
      </c>
      <c r="K97" s="61" t="b">
        <v>0</v>
      </c>
      <c r="L97" s="3" t="str">
        <f t="shared" si="13"/>
        <v/>
      </c>
      <c r="M97" s="58" t="b">
        <v>0</v>
      </c>
      <c r="N97" s="40" t="str">
        <f t="shared" si="14"/>
        <v/>
      </c>
      <c r="O97" s="61" t="b">
        <v>0</v>
      </c>
      <c r="P97" s="3" t="str">
        <f t="shared" si="15"/>
        <v/>
      </c>
      <c r="Q97" s="61" t="b">
        <v>0</v>
      </c>
      <c r="R97" s="3" t="str">
        <f t="shared" si="16"/>
        <v/>
      </c>
      <c r="S97" s="58" t="b">
        <v>0</v>
      </c>
      <c r="T97" s="40" t="str">
        <f t="shared" si="17"/>
        <v/>
      </c>
      <c r="U97" s="61" t="b">
        <v>0</v>
      </c>
      <c r="V97" s="3" t="str">
        <f t="shared" si="18"/>
        <v/>
      </c>
      <c r="W97" s="61" t="b">
        <v>0</v>
      </c>
      <c r="X97" s="3" t="str">
        <f t="shared" si="19"/>
        <v/>
      </c>
      <c r="Y97" s="64" t="b">
        <v>0</v>
      </c>
      <c r="Z97" s="36"/>
    </row>
    <row r="98" spans="1:26" ht="15" hidden="1" x14ac:dyDescent="0.4">
      <c r="A98" s="3" t="str">
        <f t="shared" si="10"/>
        <v/>
      </c>
      <c r="B98" s="32"/>
      <c r="C98" s="33"/>
      <c r="D98" s="3" t="str" cm="1">
        <f t="array" aca="1" ref="D98" ca="1">IF($C98="","",COUNTIF(_xlfn.TAKE(OFFSET($C$14, 0, 0, COUNTA($C$14:$C$113),1),$A98),$C98))</f>
        <v/>
      </c>
      <c r="E98" s="48"/>
      <c r="F98" s="48"/>
      <c r="G98" s="35"/>
      <c r="H98" s="40" t="str">
        <f t="shared" si="11"/>
        <v/>
      </c>
      <c r="I98" s="61" t="b">
        <v>0</v>
      </c>
      <c r="J98" s="3" t="str">
        <f t="shared" si="12"/>
        <v/>
      </c>
      <c r="K98" s="61" t="b">
        <v>0</v>
      </c>
      <c r="L98" s="3" t="str">
        <f t="shared" si="13"/>
        <v/>
      </c>
      <c r="M98" s="58" t="b">
        <v>0</v>
      </c>
      <c r="N98" s="40" t="str">
        <f t="shared" si="14"/>
        <v/>
      </c>
      <c r="O98" s="61" t="b">
        <v>0</v>
      </c>
      <c r="P98" s="3" t="str">
        <f t="shared" si="15"/>
        <v/>
      </c>
      <c r="Q98" s="61" t="b">
        <v>0</v>
      </c>
      <c r="R98" s="3" t="str">
        <f t="shared" si="16"/>
        <v/>
      </c>
      <c r="S98" s="58" t="b">
        <v>0</v>
      </c>
      <c r="T98" s="40" t="str">
        <f t="shared" si="17"/>
        <v/>
      </c>
      <c r="U98" s="61" t="b">
        <v>0</v>
      </c>
      <c r="V98" s="3" t="str">
        <f t="shared" si="18"/>
        <v/>
      </c>
      <c r="W98" s="61" t="b">
        <v>0</v>
      </c>
      <c r="X98" s="3" t="str">
        <f t="shared" si="19"/>
        <v/>
      </c>
      <c r="Y98" s="64" t="b">
        <v>0</v>
      </c>
      <c r="Z98" s="36"/>
    </row>
    <row r="99" spans="1:26" ht="15" hidden="1" x14ac:dyDescent="0.4">
      <c r="A99" s="3" t="str">
        <f t="shared" si="10"/>
        <v/>
      </c>
      <c r="B99" s="32"/>
      <c r="C99" s="33"/>
      <c r="D99" s="3" t="str" cm="1">
        <f t="array" aca="1" ref="D99" ca="1">IF($C99="","",COUNTIF(_xlfn.TAKE(OFFSET($C$14, 0, 0, COUNTA($C$14:$C$113),1),$A99),$C99))</f>
        <v/>
      </c>
      <c r="E99" s="48"/>
      <c r="F99" s="48"/>
      <c r="G99" s="35"/>
      <c r="H99" s="40" t="str">
        <f t="shared" si="11"/>
        <v/>
      </c>
      <c r="I99" s="61" t="b">
        <v>0</v>
      </c>
      <c r="J99" s="3" t="str">
        <f t="shared" si="12"/>
        <v/>
      </c>
      <c r="K99" s="61" t="b">
        <v>0</v>
      </c>
      <c r="L99" s="3" t="str">
        <f t="shared" si="13"/>
        <v/>
      </c>
      <c r="M99" s="58" t="b">
        <v>0</v>
      </c>
      <c r="N99" s="40" t="str">
        <f t="shared" si="14"/>
        <v/>
      </c>
      <c r="O99" s="61" t="b">
        <v>0</v>
      </c>
      <c r="P99" s="3" t="str">
        <f t="shared" si="15"/>
        <v/>
      </c>
      <c r="Q99" s="61" t="b">
        <v>0</v>
      </c>
      <c r="R99" s="3" t="str">
        <f t="shared" si="16"/>
        <v/>
      </c>
      <c r="S99" s="58" t="b">
        <v>0</v>
      </c>
      <c r="T99" s="40" t="str">
        <f t="shared" si="17"/>
        <v/>
      </c>
      <c r="U99" s="61" t="b">
        <v>0</v>
      </c>
      <c r="V99" s="3" t="str">
        <f t="shared" si="18"/>
        <v/>
      </c>
      <c r="W99" s="61" t="b">
        <v>0</v>
      </c>
      <c r="X99" s="3" t="str">
        <f t="shared" si="19"/>
        <v/>
      </c>
      <c r="Y99" s="64" t="b">
        <v>0</v>
      </c>
      <c r="Z99" s="36"/>
    </row>
    <row r="100" spans="1:26" ht="15" hidden="1" x14ac:dyDescent="0.4">
      <c r="A100" s="3" t="str">
        <f t="shared" si="10"/>
        <v/>
      </c>
      <c r="B100" s="32"/>
      <c r="C100" s="33"/>
      <c r="D100" s="3" t="str" cm="1">
        <f t="array" aca="1" ref="D100" ca="1">IF($C100="","",COUNTIF(_xlfn.TAKE(OFFSET($C$14, 0, 0, COUNTA($C$14:$C$113),1),$A100),$C100))</f>
        <v/>
      </c>
      <c r="E100" s="48"/>
      <c r="F100" s="48"/>
      <c r="G100" s="35"/>
      <c r="H100" s="40" t="str">
        <f t="shared" si="11"/>
        <v/>
      </c>
      <c r="I100" s="61" t="b">
        <v>0</v>
      </c>
      <c r="J100" s="3" t="str">
        <f t="shared" si="12"/>
        <v/>
      </c>
      <c r="K100" s="61" t="b">
        <v>0</v>
      </c>
      <c r="L100" s="3" t="str">
        <f t="shared" si="13"/>
        <v/>
      </c>
      <c r="M100" s="58" t="b">
        <v>0</v>
      </c>
      <c r="N100" s="40" t="str">
        <f t="shared" si="14"/>
        <v/>
      </c>
      <c r="O100" s="61" t="b">
        <v>0</v>
      </c>
      <c r="P100" s="3" t="str">
        <f t="shared" si="15"/>
        <v/>
      </c>
      <c r="Q100" s="61" t="b">
        <v>0</v>
      </c>
      <c r="R100" s="3" t="str">
        <f t="shared" si="16"/>
        <v/>
      </c>
      <c r="S100" s="58" t="b">
        <v>0</v>
      </c>
      <c r="T100" s="40" t="str">
        <f t="shared" si="17"/>
        <v/>
      </c>
      <c r="U100" s="61" t="b">
        <v>0</v>
      </c>
      <c r="V100" s="3" t="str">
        <f t="shared" si="18"/>
        <v/>
      </c>
      <c r="W100" s="61" t="b">
        <v>0</v>
      </c>
      <c r="X100" s="3" t="str">
        <f t="shared" si="19"/>
        <v/>
      </c>
      <c r="Y100" s="64" t="b">
        <v>0</v>
      </c>
      <c r="Z100" s="36"/>
    </row>
    <row r="101" spans="1:26" ht="15" hidden="1" x14ac:dyDescent="0.4">
      <c r="A101" s="3" t="str">
        <f t="shared" si="10"/>
        <v/>
      </c>
      <c r="B101" s="32"/>
      <c r="C101" s="33"/>
      <c r="D101" s="3" t="str" cm="1">
        <f t="array" aca="1" ref="D101" ca="1">IF($C101="","",COUNTIF(_xlfn.TAKE(OFFSET($C$14, 0, 0, COUNTA($C$14:$C$113),1),$A101),$C101))</f>
        <v/>
      </c>
      <c r="E101" s="48"/>
      <c r="F101" s="48"/>
      <c r="G101" s="35"/>
      <c r="H101" s="40" t="str">
        <f t="shared" si="11"/>
        <v/>
      </c>
      <c r="I101" s="61" t="b">
        <v>0</v>
      </c>
      <c r="J101" s="3" t="str">
        <f t="shared" si="12"/>
        <v/>
      </c>
      <c r="K101" s="61" t="b">
        <v>0</v>
      </c>
      <c r="L101" s="3" t="str">
        <f t="shared" si="13"/>
        <v/>
      </c>
      <c r="M101" s="58" t="b">
        <v>0</v>
      </c>
      <c r="N101" s="40" t="str">
        <f t="shared" si="14"/>
        <v/>
      </c>
      <c r="O101" s="61" t="b">
        <v>0</v>
      </c>
      <c r="P101" s="3" t="str">
        <f t="shared" si="15"/>
        <v/>
      </c>
      <c r="Q101" s="61" t="b">
        <v>0</v>
      </c>
      <c r="R101" s="3" t="str">
        <f t="shared" si="16"/>
        <v/>
      </c>
      <c r="S101" s="58" t="b">
        <v>0</v>
      </c>
      <c r="T101" s="40" t="str">
        <f t="shared" si="17"/>
        <v/>
      </c>
      <c r="U101" s="61" t="b">
        <v>0</v>
      </c>
      <c r="V101" s="3" t="str">
        <f t="shared" si="18"/>
        <v/>
      </c>
      <c r="W101" s="61" t="b">
        <v>0</v>
      </c>
      <c r="X101" s="3" t="str">
        <f t="shared" si="19"/>
        <v/>
      </c>
      <c r="Y101" s="64" t="b">
        <v>0</v>
      </c>
      <c r="Z101" s="36"/>
    </row>
    <row r="102" spans="1:26" ht="15" hidden="1" x14ac:dyDescent="0.4">
      <c r="A102" s="3" t="str">
        <f t="shared" si="10"/>
        <v/>
      </c>
      <c r="B102" s="32"/>
      <c r="C102" s="33"/>
      <c r="D102" s="3" t="str" cm="1">
        <f t="array" aca="1" ref="D102" ca="1">IF($C102="","",COUNTIF(_xlfn.TAKE(OFFSET($C$14, 0, 0, COUNTA($C$14:$C$113),1),$A102),$C102))</f>
        <v/>
      </c>
      <c r="E102" s="48"/>
      <c r="F102" s="48"/>
      <c r="G102" s="35"/>
      <c r="H102" s="40" t="str">
        <f t="shared" si="11"/>
        <v/>
      </c>
      <c r="I102" s="61" t="b">
        <v>0</v>
      </c>
      <c r="J102" s="3" t="str">
        <f t="shared" si="12"/>
        <v/>
      </c>
      <c r="K102" s="61" t="b">
        <v>0</v>
      </c>
      <c r="L102" s="3" t="str">
        <f t="shared" si="13"/>
        <v/>
      </c>
      <c r="M102" s="58" t="b">
        <v>0</v>
      </c>
      <c r="N102" s="40" t="str">
        <f t="shared" si="14"/>
        <v/>
      </c>
      <c r="O102" s="61" t="b">
        <v>0</v>
      </c>
      <c r="P102" s="3" t="str">
        <f t="shared" si="15"/>
        <v/>
      </c>
      <c r="Q102" s="61" t="b">
        <v>0</v>
      </c>
      <c r="R102" s="3" t="str">
        <f t="shared" si="16"/>
        <v/>
      </c>
      <c r="S102" s="58" t="b">
        <v>0</v>
      </c>
      <c r="T102" s="40" t="str">
        <f t="shared" si="17"/>
        <v/>
      </c>
      <c r="U102" s="61" t="b">
        <v>0</v>
      </c>
      <c r="V102" s="3" t="str">
        <f t="shared" si="18"/>
        <v/>
      </c>
      <c r="W102" s="61" t="b">
        <v>0</v>
      </c>
      <c r="X102" s="3" t="str">
        <f t="shared" si="19"/>
        <v/>
      </c>
      <c r="Y102" s="64" t="b">
        <v>0</v>
      </c>
      <c r="Z102" s="36"/>
    </row>
    <row r="103" spans="1:26" ht="15" hidden="1" x14ac:dyDescent="0.4">
      <c r="A103" s="3" t="str">
        <f t="shared" si="10"/>
        <v/>
      </c>
      <c r="B103" s="32"/>
      <c r="C103" s="33"/>
      <c r="D103" s="3" t="str" cm="1">
        <f t="array" aca="1" ref="D103" ca="1">IF($C103="","",COUNTIF(_xlfn.TAKE(OFFSET($C$14, 0, 0, COUNTA($C$14:$C$113),1),$A103),$C103))</f>
        <v/>
      </c>
      <c r="E103" s="48"/>
      <c r="F103" s="48"/>
      <c r="G103" s="35"/>
      <c r="H103" s="40" t="str">
        <f t="shared" si="11"/>
        <v/>
      </c>
      <c r="I103" s="61" t="b">
        <v>0</v>
      </c>
      <c r="J103" s="3" t="str">
        <f t="shared" si="12"/>
        <v/>
      </c>
      <c r="K103" s="61" t="b">
        <v>0</v>
      </c>
      <c r="L103" s="3" t="str">
        <f t="shared" si="13"/>
        <v/>
      </c>
      <c r="M103" s="58" t="b">
        <v>0</v>
      </c>
      <c r="N103" s="40" t="str">
        <f t="shared" si="14"/>
        <v/>
      </c>
      <c r="O103" s="61" t="b">
        <v>0</v>
      </c>
      <c r="P103" s="3" t="str">
        <f t="shared" si="15"/>
        <v/>
      </c>
      <c r="Q103" s="61" t="b">
        <v>0</v>
      </c>
      <c r="R103" s="3" t="str">
        <f t="shared" si="16"/>
        <v/>
      </c>
      <c r="S103" s="58" t="b">
        <v>0</v>
      </c>
      <c r="T103" s="40" t="str">
        <f t="shared" si="17"/>
        <v/>
      </c>
      <c r="U103" s="61" t="b">
        <v>0</v>
      </c>
      <c r="V103" s="3" t="str">
        <f t="shared" si="18"/>
        <v/>
      </c>
      <c r="W103" s="61" t="b">
        <v>0</v>
      </c>
      <c r="X103" s="3" t="str">
        <f t="shared" si="19"/>
        <v/>
      </c>
      <c r="Y103" s="64" t="b">
        <v>0</v>
      </c>
      <c r="Z103" s="36"/>
    </row>
    <row r="104" spans="1:26" ht="15" hidden="1" x14ac:dyDescent="0.4">
      <c r="A104" s="3" t="str">
        <f t="shared" si="10"/>
        <v/>
      </c>
      <c r="B104" s="32"/>
      <c r="C104" s="33"/>
      <c r="D104" s="3" t="str" cm="1">
        <f t="array" aca="1" ref="D104" ca="1">IF($C104="","",COUNTIF(_xlfn.TAKE(OFFSET($C$14, 0, 0, COUNTA($C$14:$C$113),1),$A104),$C104))</f>
        <v/>
      </c>
      <c r="E104" s="48"/>
      <c r="F104" s="48"/>
      <c r="G104" s="35"/>
      <c r="H104" s="40" t="str">
        <f t="shared" si="11"/>
        <v/>
      </c>
      <c r="I104" s="61" t="b">
        <v>0</v>
      </c>
      <c r="J104" s="3" t="str">
        <f t="shared" si="12"/>
        <v/>
      </c>
      <c r="K104" s="61" t="b">
        <v>0</v>
      </c>
      <c r="L104" s="3" t="str">
        <f t="shared" si="13"/>
        <v/>
      </c>
      <c r="M104" s="58" t="b">
        <v>0</v>
      </c>
      <c r="N104" s="40" t="str">
        <f t="shared" si="14"/>
        <v/>
      </c>
      <c r="O104" s="61" t="b">
        <v>0</v>
      </c>
      <c r="P104" s="3" t="str">
        <f t="shared" si="15"/>
        <v/>
      </c>
      <c r="Q104" s="61" t="b">
        <v>0</v>
      </c>
      <c r="R104" s="3" t="str">
        <f t="shared" si="16"/>
        <v/>
      </c>
      <c r="S104" s="58" t="b">
        <v>0</v>
      </c>
      <c r="T104" s="40" t="str">
        <f t="shared" si="17"/>
        <v/>
      </c>
      <c r="U104" s="61" t="b">
        <v>0</v>
      </c>
      <c r="V104" s="3" t="str">
        <f t="shared" si="18"/>
        <v/>
      </c>
      <c r="W104" s="61" t="b">
        <v>0</v>
      </c>
      <c r="X104" s="3" t="str">
        <f t="shared" si="19"/>
        <v/>
      </c>
      <c r="Y104" s="64" t="b">
        <v>0</v>
      </c>
      <c r="Z104" s="36"/>
    </row>
    <row r="105" spans="1:26" ht="15" hidden="1" x14ac:dyDescent="0.4">
      <c r="A105" s="3" t="str">
        <f t="shared" si="10"/>
        <v/>
      </c>
      <c r="B105" s="32"/>
      <c r="C105" s="33"/>
      <c r="D105" s="3" t="str" cm="1">
        <f t="array" aca="1" ref="D105" ca="1">IF($C105="","",COUNTIF(_xlfn.TAKE(OFFSET($C$14, 0, 0, COUNTA($C$14:$C$113),1),$A105),$C105))</f>
        <v/>
      </c>
      <c r="E105" s="48"/>
      <c r="F105" s="48"/>
      <c r="G105" s="35"/>
      <c r="H105" s="40" t="str">
        <f t="shared" si="11"/>
        <v/>
      </c>
      <c r="I105" s="61" t="b">
        <v>0</v>
      </c>
      <c r="J105" s="3" t="str">
        <f t="shared" si="12"/>
        <v/>
      </c>
      <c r="K105" s="61" t="b">
        <v>0</v>
      </c>
      <c r="L105" s="3" t="str">
        <f t="shared" si="13"/>
        <v/>
      </c>
      <c r="M105" s="58" t="b">
        <v>0</v>
      </c>
      <c r="N105" s="40" t="str">
        <f t="shared" si="14"/>
        <v/>
      </c>
      <c r="O105" s="61" t="b">
        <v>0</v>
      </c>
      <c r="P105" s="3" t="str">
        <f t="shared" si="15"/>
        <v/>
      </c>
      <c r="Q105" s="61" t="b">
        <v>0</v>
      </c>
      <c r="R105" s="3" t="str">
        <f t="shared" si="16"/>
        <v/>
      </c>
      <c r="S105" s="58" t="b">
        <v>0</v>
      </c>
      <c r="T105" s="40" t="str">
        <f t="shared" si="17"/>
        <v/>
      </c>
      <c r="U105" s="61" t="b">
        <v>0</v>
      </c>
      <c r="V105" s="3" t="str">
        <f t="shared" si="18"/>
        <v/>
      </c>
      <c r="W105" s="61" t="b">
        <v>0</v>
      </c>
      <c r="X105" s="3" t="str">
        <f t="shared" si="19"/>
        <v/>
      </c>
      <c r="Y105" s="64" t="b">
        <v>0</v>
      </c>
      <c r="Z105" s="36"/>
    </row>
    <row r="106" spans="1:26" ht="15" hidden="1" x14ac:dyDescent="0.4">
      <c r="A106" s="3" t="str">
        <f t="shared" si="10"/>
        <v/>
      </c>
      <c r="B106" s="32"/>
      <c r="C106" s="33"/>
      <c r="D106" s="3" t="str" cm="1">
        <f t="array" aca="1" ref="D106" ca="1">IF($C106="","",COUNTIF(_xlfn.TAKE(OFFSET($C$14, 0, 0, COUNTA($C$14:$C$113),1),$A106),$C106))</f>
        <v/>
      </c>
      <c r="E106" s="48"/>
      <c r="F106" s="48"/>
      <c r="G106" s="35"/>
      <c r="H106" s="40" t="str">
        <f t="shared" si="11"/>
        <v/>
      </c>
      <c r="I106" s="61" t="b">
        <v>0</v>
      </c>
      <c r="J106" s="3" t="str">
        <f t="shared" si="12"/>
        <v/>
      </c>
      <c r="K106" s="61" t="b">
        <v>0</v>
      </c>
      <c r="L106" s="3" t="str">
        <f t="shared" si="13"/>
        <v/>
      </c>
      <c r="M106" s="58" t="b">
        <v>0</v>
      </c>
      <c r="N106" s="40" t="str">
        <f t="shared" si="14"/>
        <v/>
      </c>
      <c r="O106" s="61" t="b">
        <v>0</v>
      </c>
      <c r="P106" s="3" t="str">
        <f t="shared" si="15"/>
        <v/>
      </c>
      <c r="Q106" s="61" t="b">
        <v>0</v>
      </c>
      <c r="R106" s="3" t="str">
        <f t="shared" si="16"/>
        <v/>
      </c>
      <c r="S106" s="58" t="b">
        <v>0</v>
      </c>
      <c r="T106" s="40" t="str">
        <f t="shared" si="17"/>
        <v/>
      </c>
      <c r="U106" s="61" t="b">
        <v>0</v>
      </c>
      <c r="V106" s="3" t="str">
        <f t="shared" si="18"/>
        <v/>
      </c>
      <c r="W106" s="61" t="b">
        <v>0</v>
      </c>
      <c r="X106" s="3" t="str">
        <f t="shared" si="19"/>
        <v/>
      </c>
      <c r="Y106" s="64" t="b">
        <v>0</v>
      </c>
      <c r="Z106" s="36"/>
    </row>
    <row r="107" spans="1:26" ht="15" hidden="1" x14ac:dyDescent="0.4">
      <c r="A107" s="3" t="str">
        <f t="shared" si="10"/>
        <v/>
      </c>
      <c r="B107" s="32"/>
      <c r="C107" s="33"/>
      <c r="D107" s="3" t="str" cm="1">
        <f t="array" aca="1" ref="D107" ca="1">IF($C107="","",COUNTIF(_xlfn.TAKE(OFFSET($C$14, 0, 0, COUNTA($C$14:$C$113),1),$A107),$C107))</f>
        <v/>
      </c>
      <c r="E107" s="48"/>
      <c r="F107" s="48"/>
      <c r="G107" s="35"/>
      <c r="H107" s="40" t="str">
        <f t="shared" si="11"/>
        <v/>
      </c>
      <c r="I107" s="61" t="b">
        <v>0</v>
      </c>
      <c r="J107" s="3" t="str">
        <f t="shared" si="12"/>
        <v/>
      </c>
      <c r="K107" s="61" t="b">
        <v>0</v>
      </c>
      <c r="L107" s="3" t="str">
        <f t="shared" si="13"/>
        <v/>
      </c>
      <c r="M107" s="58" t="b">
        <v>0</v>
      </c>
      <c r="N107" s="40" t="str">
        <f t="shared" si="14"/>
        <v/>
      </c>
      <c r="O107" s="61" t="b">
        <v>0</v>
      </c>
      <c r="P107" s="3" t="str">
        <f t="shared" si="15"/>
        <v/>
      </c>
      <c r="Q107" s="61" t="b">
        <v>0</v>
      </c>
      <c r="R107" s="3" t="str">
        <f t="shared" si="16"/>
        <v/>
      </c>
      <c r="S107" s="58" t="b">
        <v>0</v>
      </c>
      <c r="T107" s="40" t="str">
        <f t="shared" si="17"/>
        <v/>
      </c>
      <c r="U107" s="61" t="b">
        <v>0</v>
      </c>
      <c r="V107" s="3" t="str">
        <f t="shared" si="18"/>
        <v/>
      </c>
      <c r="W107" s="61" t="b">
        <v>0</v>
      </c>
      <c r="X107" s="3" t="str">
        <f t="shared" si="19"/>
        <v/>
      </c>
      <c r="Y107" s="64" t="b">
        <v>0</v>
      </c>
      <c r="Z107" s="36"/>
    </row>
    <row r="108" spans="1:26" ht="15" hidden="1" x14ac:dyDescent="0.4">
      <c r="A108" s="3" t="str">
        <f t="shared" si="10"/>
        <v/>
      </c>
      <c r="B108" s="32"/>
      <c r="C108" s="33"/>
      <c r="D108" s="3" t="str" cm="1">
        <f t="array" aca="1" ref="D108" ca="1">IF($C108="","",COUNTIF(_xlfn.TAKE(OFFSET($C$14, 0, 0, COUNTA($C$14:$C$113),1),$A108),$C108))</f>
        <v/>
      </c>
      <c r="E108" s="48"/>
      <c r="F108" s="48"/>
      <c r="G108" s="35"/>
      <c r="H108" s="40" t="str">
        <f t="shared" si="11"/>
        <v/>
      </c>
      <c r="I108" s="61" t="b">
        <v>0</v>
      </c>
      <c r="J108" s="3" t="str">
        <f t="shared" si="12"/>
        <v/>
      </c>
      <c r="K108" s="61" t="b">
        <v>0</v>
      </c>
      <c r="L108" s="3" t="str">
        <f t="shared" si="13"/>
        <v/>
      </c>
      <c r="M108" s="58" t="b">
        <v>0</v>
      </c>
      <c r="N108" s="40" t="str">
        <f t="shared" si="14"/>
        <v/>
      </c>
      <c r="O108" s="61" t="b">
        <v>0</v>
      </c>
      <c r="P108" s="3" t="str">
        <f t="shared" si="15"/>
        <v/>
      </c>
      <c r="Q108" s="61" t="b">
        <v>0</v>
      </c>
      <c r="R108" s="3" t="str">
        <f t="shared" si="16"/>
        <v/>
      </c>
      <c r="S108" s="58" t="b">
        <v>0</v>
      </c>
      <c r="T108" s="40" t="str">
        <f t="shared" si="17"/>
        <v/>
      </c>
      <c r="U108" s="61" t="b">
        <v>0</v>
      </c>
      <c r="V108" s="3" t="str">
        <f t="shared" si="18"/>
        <v/>
      </c>
      <c r="W108" s="61" t="b">
        <v>0</v>
      </c>
      <c r="X108" s="3" t="str">
        <f t="shared" si="19"/>
        <v/>
      </c>
      <c r="Y108" s="64" t="b">
        <v>0</v>
      </c>
      <c r="Z108" s="36"/>
    </row>
    <row r="109" spans="1:26" ht="15" hidden="1" x14ac:dyDescent="0.4">
      <c r="A109" s="3" t="str">
        <f t="shared" si="10"/>
        <v/>
      </c>
      <c r="B109" s="32"/>
      <c r="C109" s="33"/>
      <c r="D109" s="3" t="str" cm="1">
        <f t="array" aca="1" ref="D109" ca="1">IF($C109="","",COUNTIF(_xlfn.TAKE(OFFSET($C$14, 0, 0, COUNTA($C$14:$C$113),1),$A109),$C109))</f>
        <v/>
      </c>
      <c r="E109" s="48"/>
      <c r="F109" s="48"/>
      <c r="G109" s="35"/>
      <c r="H109" s="40" t="str">
        <f t="shared" si="11"/>
        <v/>
      </c>
      <c r="I109" s="61" t="b">
        <v>0</v>
      </c>
      <c r="J109" s="3" t="str">
        <f t="shared" si="12"/>
        <v/>
      </c>
      <c r="K109" s="61" t="b">
        <v>0</v>
      </c>
      <c r="L109" s="3" t="str">
        <f t="shared" si="13"/>
        <v/>
      </c>
      <c r="M109" s="58" t="b">
        <v>0</v>
      </c>
      <c r="N109" s="40" t="str">
        <f t="shared" si="14"/>
        <v/>
      </c>
      <c r="O109" s="61" t="b">
        <v>0</v>
      </c>
      <c r="P109" s="3" t="str">
        <f t="shared" si="15"/>
        <v/>
      </c>
      <c r="Q109" s="61" t="b">
        <v>0</v>
      </c>
      <c r="R109" s="3" t="str">
        <f t="shared" si="16"/>
        <v/>
      </c>
      <c r="S109" s="58" t="b">
        <v>0</v>
      </c>
      <c r="T109" s="40" t="str">
        <f t="shared" si="17"/>
        <v/>
      </c>
      <c r="U109" s="61" t="b">
        <v>0</v>
      </c>
      <c r="V109" s="3" t="str">
        <f t="shared" si="18"/>
        <v/>
      </c>
      <c r="W109" s="61" t="b">
        <v>0</v>
      </c>
      <c r="X109" s="3" t="str">
        <f t="shared" si="19"/>
        <v/>
      </c>
      <c r="Y109" s="64" t="b">
        <v>0</v>
      </c>
      <c r="Z109" s="36"/>
    </row>
    <row r="110" spans="1:26" ht="15" hidden="1" x14ac:dyDescent="0.4">
      <c r="A110" s="3" t="str">
        <f t="shared" si="10"/>
        <v/>
      </c>
      <c r="B110" s="32"/>
      <c r="C110" s="33"/>
      <c r="D110" s="3" t="str" cm="1">
        <f t="array" aca="1" ref="D110" ca="1">IF($C110="","",COUNTIF(_xlfn.TAKE(OFFSET($C$14, 0, 0, COUNTA($C$14:$C$113),1),$A110),$C110))</f>
        <v/>
      </c>
      <c r="E110" s="48"/>
      <c r="F110" s="48"/>
      <c r="G110" s="35"/>
      <c r="H110" s="40" t="str">
        <f t="shared" si="11"/>
        <v/>
      </c>
      <c r="I110" s="61" t="b">
        <v>0</v>
      </c>
      <c r="J110" s="3" t="str">
        <f t="shared" si="12"/>
        <v/>
      </c>
      <c r="K110" s="61" t="b">
        <v>0</v>
      </c>
      <c r="L110" s="3" t="str">
        <f t="shared" si="13"/>
        <v/>
      </c>
      <c r="M110" s="58" t="b">
        <v>0</v>
      </c>
      <c r="N110" s="40" t="str">
        <f t="shared" si="14"/>
        <v/>
      </c>
      <c r="O110" s="61" t="b">
        <v>0</v>
      </c>
      <c r="P110" s="3" t="str">
        <f t="shared" si="15"/>
        <v/>
      </c>
      <c r="Q110" s="61" t="b">
        <v>0</v>
      </c>
      <c r="R110" s="3" t="str">
        <f t="shared" si="16"/>
        <v/>
      </c>
      <c r="S110" s="58" t="b">
        <v>0</v>
      </c>
      <c r="T110" s="40" t="str">
        <f t="shared" si="17"/>
        <v/>
      </c>
      <c r="U110" s="61" t="b">
        <v>0</v>
      </c>
      <c r="V110" s="3" t="str">
        <f t="shared" si="18"/>
        <v/>
      </c>
      <c r="W110" s="61" t="b">
        <v>0</v>
      </c>
      <c r="X110" s="3" t="str">
        <f t="shared" si="19"/>
        <v/>
      </c>
      <c r="Y110" s="64" t="b">
        <v>0</v>
      </c>
      <c r="Z110" s="36"/>
    </row>
    <row r="111" spans="1:26" ht="15" hidden="1" x14ac:dyDescent="0.4">
      <c r="A111" s="3" t="str">
        <f t="shared" si="10"/>
        <v/>
      </c>
      <c r="B111" s="32"/>
      <c r="C111" s="33"/>
      <c r="D111" s="3" t="str" cm="1">
        <f t="array" aca="1" ref="D111" ca="1">IF($C111="","",COUNTIF(_xlfn.TAKE(OFFSET($C$14, 0, 0, COUNTA($C$14:$C$113),1),$A111),$C111))</f>
        <v/>
      </c>
      <c r="E111" s="48"/>
      <c r="F111" s="48"/>
      <c r="G111" s="35"/>
      <c r="H111" s="40" t="str">
        <f t="shared" si="11"/>
        <v/>
      </c>
      <c r="I111" s="61" t="b">
        <v>0</v>
      </c>
      <c r="J111" s="3" t="str">
        <f t="shared" si="12"/>
        <v/>
      </c>
      <c r="K111" s="61" t="b">
        <v>0</v>
      </c>
      <c r="L111" s="3" t="str">
        <f t="shared" si="13"/>
        <v/>
      </c>
      <c r="M111" s="58" t="b">
        <v>0</v>
      </c>
      <c r="N111" s="40" t="str">
        <f t="shared" si="14"/>
        <v/>
      </c>
      <c r="O111" s="61" t="b">
        <v>0</v>
      </c>
      <c r="P111" s="3" t="str">
        <f t="shared" si="15"/>
        <v/>
      </c>
      <c r="Q111" s="61" t="b">
        <v>0</v>
      </c>
      <c r="R111" s="3" t="str">
        <f t="shared" si="16"/>
        <v/>
      </c>
      <c r="S111" s="58" t="b">
        <v>0</v>
      </c>
      <c r="T111" s="40" t="str">
        <f t="shared" si="17"/>
        <v/>
      </c>
      <c r="U111" s="61" t="b">
        <v>0</v>
      </c>
      <c r="V111" s="3" t="str">
        <f t="shared" si="18"/>
        <v/>
      </c>
      <c r="W111" s="61" t="b">
        <v>0</v>
      </c>
      <c r="X111" s="3" t="str">
        <f t="shared" si="19"/>
        <v/>
      </c>
      <c r="Y111" s="64" t="b">
        <v>0</v>
      </c>
      <c r="Z111" s="36"/>
    </row>
    <row r="112" spans="1:26" ht="15" hidden="1" x14ac:dyDescent="0.4">
      <c r="A112" s="3" t="str">
        <f t="shared" si="10"/>
        <v/>
      </c>
      <c r="B112" s="32"/>
      <c r="C112" s="33"/>
      <c r="D112" s="3" t="str" cm="1">
        <f t="array" aca="1" ref="D112" ca="1">IF($C112="","",COUNTIF(_xlfn.TAKE(OFFSET($C$14, 0, 0, COUNTA($C$14:$C$113),1),$A112),$C112))</f>
        <v/>
      </c>
      <c r="E112" s="48"/>
      <c r="F112" s="48"/>
      <c r="G112" s="35"/>
      <c r="H112" s="40" t="str">
        <f t="shared" si="11"/>
        <v/>
      </c>
      <c r="I112" s="61" t="b">
        <v>0</v>
      </c>
      <c r="J112" s="3" t="str">
        <f t="shared" si="12"/>
        <v/>
      </c>
      <c r="K112" s="61" t="b">
        <v>0</v>
      </c>
      <c r="L112" s="3" t="str">
        <f t="shared" si="13"/>
        <v/>
      </c>
      <c r="M112" s="58" t="b">
        <v>0</v>
      </c>
      <c r="N112" s="40" t="str">
        <f t="shared" si="14"/>
        <v/>
      </c>
      <c r="O112" s="61" t="b">
        <v>0</v>
      </c>
      <c r="P112" s="3" t="str">
        <f t="shared" si="15"/>
        <v/>
      </c>
      <c r="Q112" s="61" t="b">
        <v>0</v>
      </c>
      <c r="R112" s="3" t="str">
        <f t="shared" si="16"/>
        <v/>
      </c>
      <c r="S112" s="58" t="b">
        <v>0</v>
      </c>
      <c r="T112" s="40" t="str">
        <f t="shared" si="17"/>
        <v/>
      </c>
      <c r="U112" s="61" t="b">
        <v>0</v>
      </c>
      <c r="V112" s="3" t="str">
        <f t="shared" si="18"/>
        <v/>
      </c>
      <c r="W112" s="61" t="b">
        <v>0</v>
      </c>
      <c r="X112" s="3" t="str">
        <f t="shared" si="19"/>
        <v/>
      </c>
      <c r="Y112" s="64" t="b">
        <v>0</v>
      </c>
      <c r="Z112" s="36"/>
    </row>
    <row r="113" spans="1:26" ht="15.5" thickBot="1" x14ac:dyDescent="0.45">
      <c r="A113" s="3" t="str">
        <f t="shared" si="10"/>
        <v/>
      </c>
      <c r="B113" s="32"/>
      <c r="C113" s="33"/>
      <c r="D113" s="3" t="str" cm="1">
        <f t="array" aca="1" ref="D113" ca="1">IF($C113="","",COUNTIF(_xlfn.TAKE(OFFSET($C$14, 0, 0, COUNTA($C$14:$C$113),1),$A113),$C113))</f>
        <v/>
      </c>
      <c r="E113" s="48"/>
      <c r="F113" s="48"/>
      <c r="G113" s="35"/>
      <c r="H113" s="41" t="str">
        <f t="shared" si="11"/>
        <v/>
      </c>
      <c r="I113" s="62" t="b">
        <v>0</v>
      </c>
      <c r="J113" s="29" t="str">
        <f t="shared" si="12"/>
        <v/>
      </c>
      <c r="K113" s="62" t="b">
        <v>0</v>
      </c>
      <c r="L113" s="29" t="str">
        <f t="shared" si="13"/>
        <v/>
      </c>
      <c r="M113" s="59" t="b">
        <v>0</v>
      </c>
      <c r="N113" s="41" t="str">
        <f t="shared" si="14"/>
        <v/>
      </c>
      <c r="O113" s="62" t="b">
        <v>0</v>
      </c>
      <c r="P113" s="29" t="str">
        <f t="shared" si="15"/>
        <v/>
      </c>
      <c r="Q113" s="62" t="b">
        <v>0</v>
      </c>
      <c r="R113" s="29" t="str">
        <f t="shared" si="16"/>
        <v/>
      </c>
      <c r="S113" s="59" t="b">
        <v>0</v>
      </c>
      <c r="T113" s="41" t="str">
        <f t="shared" si="17"/>
        <v/>
      </c>
      <c r="U113" s="62" t="b">
        <v>0</v>
      </c>
      <c r="V113" s="29" t="str">
        <f t="shared" si="18"/>
        <v/>
      </c>
      <c r="W113" s="62" t="b">
        <v>0</v>
      </c>
      <c r="X113" s="29" t="str">
        <f t="shared" si="19"/>
        <v/>
      </c>
      <c r="Y113" s="65" t="b">
        <v>0</v>
      </c>
      <c r="Z113" s="37"/>
    </row>
    <row r="114" spans="1:26" ht="15" thickBot="1" x14ac:dyDescent="0.4"/>
    <row r="115" spans="1:26" ht="16" x14ac:dyDescent="0.4">
      <c r="G115" s="94" t="s">
        <v>401</v>
      </c>
      <c r="H115" s="96"/>
      <c r="I115" s="96"/>
      <c r="J115" s="96"/>
      <c r="K115" s="96"/>
      <c r="L115" s="96"/>
      <c r="M115" s="96"/>
      <c r="N115" s="96"/>
      <c r="O115" s="96"/>
      <c r="P115" s="96"/>
      <c r="Q115" s="96"/>
      <c r="R115" s="96"/>
      <c r="S115" s="96"/>
      <c r="T115" s="96"/>
      <c r="U115" s="96"/>
      <c r="V115" s="96"/>
      <c r="W115" s="96"/>
      <c r="X115" s="96"/>
      <c r="Y115" s="97"/>
      <c r="Z115" s="8"/>
    </row>
    <row r="116" spans="1:26" ht="16" x14ac:dyDescent="0.4">
      <c r="G116" s="95" t="s">
        <v>92</v>
      </c>
      <c r="H116" s="98">
        <v>1</v>
      </c>
      <c r="I116" s="98"/>
      <c r="J116" s="98"/>
      <c r="K116" s="98"/>
      <c r="L116" s="98"/>
      <c r="M116" s="98"/>
      <c r="N116" s="98">
        <v>2</v>
      </c>
      <c r="O116" s="98"/>
      <c r="P116" s="98"/>
      <c r="Q116" s="98"/>
      <c r="R116" s="98"/>
      <c r="S116" s="98"/>
      <c r="T116" s="98">
        <v>3</v>
      </c>
      <c r="U116" s="98"/>
      <c r="V116" s="98"/>
      <c r="W116" s="98"/>
      <c r="X116" s="98"/>
      <c r="Y116" s="99"/>
      <c r="Z116" s="8"/>
    </row>
    <row r="117" spans="1:26" ht="16" x14ac:dyDescent="0.4">
      <c r="G117" s="95" t="s">
        <v>76</v>
      </c>
      <c r="H117" s="98" t="str" cm="1">
        <f t="array" ref="H117">fn_GetSkiNameFromSkiIdx(H$116)</f>
        <v>Stöckli Stormrider 102</v>
      </c>
      <c r="I117" s="98"/>
      <c r="J117" s="98"/>
      <c r="K117" s="98"/>
      <c r="L117" s="98"/>
      <c r="M117" s="98"/>
      <c r="N117" s="98" t="str" cm="1">
        <f t="array" ref="N117">fn_GetSkiNameFromSkiIdx(N$116)</f>
        <v>Stöckli Montero AS</v>
      </c>
      <c r="O117" s="98"/>
      <c r="P117" s="98"/>
      <c r="Q117" s="98"/>
      <c r="R117" s="98"/>
      <c r="S117" s="98"/>
      <c r="T117" s="98" t="str" cm="1">
        <f t="array" ref="T117">fn_GetSkiNameFromSkiIdx(T$116)</f>
        <v>Rossignal Sin 7</v>
      </c>
      <c r="U117" s="98"/>
      <c r="V117" s="98"/>
      <c r="W117" s="98"/>
      <c r="X117" s="98"/>
      <c r="Y117" s="99"/>
      <c r="Z117" s="8"/>
    </row>
    <row r="118" spans="1:26" ht="16" x14ac:dyDescent="0.4">
      <c r="G118" s="95" t="s">
        <v>400</v>
      </c>
      <c r="H118" s="98" t="s">
        <v>3</v>
      </c>
      <c r="I118" s="98"/>
      <c r="J118" s="98" t="s">
        <v>26</v>
      </c>
      <c r="K118" s="98"/>
      <c r="L118" s="98" t="s">
        <v>27</v>
      </c>
      <c r="M118" s="98"/>
      <c r="N118" s="98" t="s">
        <v>3</v>
      </c>
      <c r="O118" s="98"/>
      <c r="P118" s="98" t="s">
        <v>26</v>
      </c>
      <c r="Q118" s="98"/>
      <c r="R118" s="98" t="s">
        <v>27</v>
      </c>
      <c r="S118" s="98"/>
      <c r="T118" s="98" t="s">
        <v>3</v>
      </c>
      <c r="U118" s="98"/>
      <c r="V118" s="98" t="s">
        <v>26</v>
      </c>
      <c r="W118" s="98"/>
      <c r="X118" s="98" t="s">
        <v>27</v>
      </c>
      <c r="Y118" s="99"/>
      <c r="Z118" s="8"/>
    </row>
    <row r="119" spans="1:26" ht="16" x14ac:dyDescent="0.4">
      <c r="G119" s="106" t="s">
        <v>403</v>
      </c>
      <c r="H119" s="82" t="str" cm="1">
        <f t="array" ref="H119">fn_GetMaintProcAbbrevFromName(H$118)</f>
        <v>W</v>
      </c>
      <c r="I119" s="82"/>
      <c r="J119" s="82" t="str" cm="1">
        <f t="array" ref="J119">fn_GetMaintProcAbbrevFromName(J$118)</f>
        <v>E</v>
      </c>
      <c r="K119" s="82"/>
      <c r="L119" s="82" t="str" cm="1">
        <f t="array" ref="L119">fn_GetMaintProcAbbrevFromName(L$118)</f>
        <v>FT</v>
      </c>
      <c r="M119" s="82"/>
      <c r="N119" s="82" t="str" cm="1">
        <f t="array" ref="N119">fn_GetMaintProcAbbrevFromName(N$118)</f>
        <v>W</v>
      </c>
      <c r="O119" s="82"/>
      <c r="P119" s="82" t="str" cm="1">
        <f t="array" ref="P119">fn_GetMaintProcAbbrevFromName(P$118)</f>
        <v>E</v>
      </c>
      <c r="Q119" s="82"/>
      <c r="R119" s="82" t="str" cm="1">
        <f t="array" ref="R119">fn_GetMaintProcAbbrevFromName(R$118)</f>
        <v>FT</v>
      </c>
      <c r="S119" s="82"/>
      <c r="T119" s="82" t="str" cm="1">
        <f t="array" ref="T119">fn_GetMaintProcAbbrevFromName(T$118)</f>
        <v>W</v>
      </c>
      <c r="U119" s="82"/>
      <c r="V119" s="82" t="str" cm="1">
        <f t="array" ref="V119">fn_GetMaintProcAbbrevFromName(V$118)</f>
        <v>E</v>
      </c>
      <c r="W119" s="82"/>
      <c r="X119" s="82" t="str" cm="1">
        <f t="array" ref="X119">fn_GetMaintProcAbbrevFromName(X$118)</f>
        <v>FT</v>
      </c>
      <c r="Y119" s="107"/>
      <c r="Z119" s="8"/>
    </row>
    <row r="120" spans="1:26" x14ac:dyDescent="0.35">
      <c r="G120" s="100"/>
      <c r="H120" s="71" t="s">
        <v>382</v>
      </c>
      <c r="I120" s="71" t="s">
        <v>383</v>
      </c>
      <c r="J120" s="71" t="s">
        <v>384</v>
      </c>
      <c r="K120" s="71" t="s">
        <v>385</v>
      </c>
      <c r="L120" s="71" t="s">
        <v>386</v>
      </c>
      <c r="M120" s="71" t="s">
        <v>387</v>
      </c>
      <c r="N120" s="71" t="s">
        <v>388</v>
      </c>
      <c r="O120" s="71" t="s">
        <v>389</v>
      </c>
      <c r="P120" s="71" t="s">
        <v>390</v>
      </c>
      <c r="Q120" s="71" t="s">
        <v>391</v>
      </c>
      <c r="R120" s="71" t="s">
        <v>392</v>
      </c>
      <c r="S120" s="71" t="s">
        <v>393</v>
      </c>
      <c r="T120" s="71" t="s">
        <v>394</v>
      </c>
      <c r="U120" s="71" t="s">
        <v>395</v>
      </c>
      <c r="V120" s="71" t="s">
        <v>396</v>
      </c>
      <c r="W120" s="71" t="s">
        <v>397</v>
      </c>
      <c r="X120" s="71" t="s">
        <v>398</v>
      </c>
      <c r="Y120" s="101" t="s">
        <v>399</v>
      </c>
      <c r="Z120" s="71"/>
    </row>
    <row r="121" spans="1:26" ht="15" thickBot="1" x14ac:dyDescent="0.4">
      <c r="G121" s="102" t="s">
        <v>402</v>
      </c>
      <c r="H121" s="103" cm="1">
        <f t="array" ref="H121">fn_GET_LAST_VAL_IN_COL(H$14:H$113,TRUE)</f>
        <v>7</v>
      </c>
      <c r="I121" s="104" t="b" cm="1">
        <f t="array" ref="I121">INDEX(I$14:I$113,fn_GET_LAST_IDX_IN_COL($G$14:$G$113,TRUE))</f>
        <v>0</v>
      </c>
      <c r="J121" s="103" cm="1">
        <f t="array" ref="J121">fn_GET_LAST_VAL_IN_COL(J$14:J$113,TRUE)</f>
        <v>7</v>
      </c>
      <c r="K121" s="104" t="b" cm="1">
        <f t="array" ref="K121">INDEX(K$14:K$113,fn_GET_LAST_IDX_IN_COL($G$14:$G$113,TRUE))</f>
        <v>0</v>
      </c>
      <c r="L121" s="103" cm="1">
        <f t="array" ref="L121">fn_GET_LAST_VAL_IN_COL(L$14:L$113,TRUE)</f>
        <v>7</v>
      </c>
      <c r="M121" s="104" t="b" cm="1">
        <f t="array" ref="M121">INDEX(M$14:M$113,fn_GET_LAST_IDX_IN_COL($G$14:$G$113,TRUE))</f>
        <v>0</v>
      </c>
      <c r="N121" s="103" cm="1">
        <f t="array" ref="N121">fn_GET_LAST_VAL_IN_COL(N$14:N$113,TRUE)</f>
        <v>0</v>
      </c>
      <c r="O121" s="104" t="b" cm="1">
        <f t="array" ref="O121">INDEX(O$14:O$113,fn_GET_LAST_IDX_IN_COL($G$14:$G$113,TRUE))</f>
        <v>0</v>
      </c>
      <c r="P121" s="103" cm="1">
        <f t="array" ref="P121">fn_GET_LAST_VAL_IN_COL(P$14:P$113,TRUE)</f>
        <v>0</v>
      </c>
      <c r="Q121" s="104" t="b" cm="1">
        <f t="array" ref="Q121">INDEX(Q$14:Q$113,fn_GET_LAST_IDX_IN_COL($G$14:$G$113,TRUE))</f>
        <v>0</v>
      </c>
      <c r="R121" s="103" cm="1">
        <f t="array" ref="R121">fn_GET_LAST_VAL_IN_COL(R$14:R$113,TRUE)</f>
        <v>0</v>
      </c>
      <c r="S121" s="104" t="b" cm="1">
        <f t="array" ref="S121">INDEX(S$14:S$113,fn_GET_LAST_IDX_IN_COL($G$14:$G$113,TRUE))</f>
        <v>0</v>
      </c>
      <c r="T121" s="103" cm="1">
        <f t="array" ref="T121">fn_GET_LAST_VAL_IN_COL(T$14:T$113,TRUE)</f>
        <v>0</v>
      </c>
      <c r="U121" s="104" t="b" cm="1">
        <f t="array" ref="U121">INDEX(U$14:U$113,fn_GET_LAST_IDX_IN_COL($G$14:$G$113,TRUE))</f>
        <v>0</v>
      </c>
      <c r="V121" s="103" cm="1">
        <f t="array" ref="V121">fn_GET_LAST_VAL_IN_COL(V$14:V$113,TRUE)</f>
        <v>3</v>
      </c>
      <c r="W121" s="104" t="b" cm="1">
        <f t="array" ref="W121">INDEX(W$14:W$113,fn_GET_LAST_IDX_IN_COL($G$14:$G$113,TRUE))</f>
        <v>0</v>
      </c>
      <c r="X121" s="103" cm="1">
        <f t="array" ref="X121">fn_GET_LAST_VAL_IN_COL(X$14:X$113,TRUE)</f>
        <v>3</v>
      </c>
      <c r="Y121" s="105" t="b" cm="1">
        <f t="array" ref="Y121">INDEX(Y$14:Y$113,fn_GET_LAST_IDX_IN_COL($G$14:$G$113,TRUE))</f>
        <v>0</v>
      </c>
    </row>
  </sheetData>
  <sheetProtection sheet="1" objects="1" scenarios="1"/>
  <mergeCells count="29">
    <mergeCell ref="Z9:Z12"/>
    <mergeCell ref="P11:Q11"/>
    <mergeCell ref="N11:O11"/>
    <mergeCell ref="H10:M10"/>
    <mergeCell ref="H5:H6"/>
    <mergeCell ref="I5:I6"/>
    <mergeCell ref="N10:S10"/>
    <mergeCell ref="E9:E12"/>
    <mergeCell ref="F9:F12"/>
    <mergeCell ref="B5:B6"/>
    <mergeCell ref="C5:C6"/>
    <mergeCell ref="D5:E5"/>
    <mergeCell ref="F5:G5"/>
    <mergeCell ref="A2:C2"/>
    <mergeCell ref="A1:C1"/>
    <mergeCell ref="H9:Y9"/>
    <mergeCell ref="A9:A12"/>
    <mergeCell ref="B9:B12"/>
    <mergeCell ref="C9:C12"/>
    <mergeCell ref="D9:D12"/>
    <mergeCell ref="G9:G12"/>
    <mergeCell ref="R11:S11"/>
    <mergeCell ref="X11:Y11"/>
    <mergeCell ref="T11:U11"/>
    <mergeCell ref="V11:W11"/>
    <mergeCell ref="T10:Y10"/>
    <mergeCell ref="H11:I11"/>
    <mergeCell ref="J11:K11"/>
    <mergeCell ref="L11:M11"/>
  </mergeCells>
  <conditionalFormatting sqref="A13:Z113">
    <cfRule type="expression" dxfId="361" priority="1">
      <formula>MOD(ROW(),2)=0</formula>
    </cfRule>
  </conditionalFormatting>
  <dataValidations count="2">
    <dataValidation type="list" showErrorMessage="1" sqref="C14:C113" xr:uid="{7B03930A-1317-4635-B281-C0330F7EAE91}">
      <formula1>ResortNames</formula1>
    </dataValidation>
    <dataValidation type="list" allowBlank="1" showInputMessage="1" showErrorMessage="1" sqref="G14:G113" xr:uid="{1B2F30A2-BA68-45C8-A5CC-1D8F84EDF9CB}">
      <formula1>SkiNames</formula1>
    </dataValidation>
  </dataValidations>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5C5E5-051D-4FEF-905E-F128C3D8B33A}">
  <sheetPr codeName="SheetSeason2025_2026"/>
  <dimension ref="A1:Z136"/>
  <sheetViews>
    <sheetView workbookViewId="0">
      <selection activeCell="B10" sqref="B10"/>
    </sheetView>
  </sheetViews>
  <sheetFormatPr defaultRowHeight="14.5" x14ac:dyDescent="0.35"/>
  <cols>
    <col min="1" max="1" width="6" customWidth="1"/>
    <col min="2" max="2" width="18.54296875" style="1" customWidth="1"/>
    <col min="3" max="3" width="27.26953125" customWidth="1"/>
    <col min="4" max="4" width="12.54296875" customWidth="1"/>
    <col min="5" max="5" width="13.26953125" customWidth="1"/>
    <col min="6" max="6" width="9.453125" customWidth="1"/>
    <col min="7" max="7" width="21.1796875" customWidth="1"/>
    <col min="8" max="25" width="10.6328125" customWidth="1"/>
    <col min="26" max="26" width="50.54296875" customWidth="1"/>
  </cols>
  <sheetData>
    <row r="1" spans="1:26" ht="18.5" x14ac:dyDescent="0.45">
      <c r="A1" s="158" t="str">
        <f>c_WORKBOOK_TITLE</f>
        <v>Bob's Ski Days</v>
      </c>
      <c r="B1" s="158"/>
      <c r="C1" s="158"/>
    </row>
    <row r="2" spans="1:26" ht="18.5" x14ac:dyDescent="0.45">
      <c r="A2" s="146" t="str" cm="1">
        <f t="array" aca="1" ref="A2" ca="1">fn_GET_WS_NAME($A$1)</f>
        <v>2025-2026</v>
      </c>
      <c r="B2" s="146"/>
      <c r="C2" s="146"/>
    </row>
    <row r="3" spans="1:26" ht="14.65" customHeight="1" thickBot="1" x14ac:dyDescent="0.45">
      <c r="A3" s="2"/>
      <c r="K3" s="73"/>
    </row>
    <row r="4" spans="1:26" ht="14.65" customHeight="1" thickBot="1" x14ac:dyDescent="0.45">
      <c r="B4" s="111" t="s">
        <v>71</v>
      </c>
      <c r="C4" s="112"/>
      <c r="D4" s="112"/>
      <c r="E4" s="112"/>
      <c r="F4" s="112"/>
      <c r="G4" s="113"/>
    </row>
    <row r="5" spans="1:26" ht="14.65" customHeight="1" x14ac:dyDescent="0.35">
      <c r="B5" s="114" t="s">
        <v>21</v>
      </c>
      <c r="C5" s="114" t="s">
        <v>46</v>
      </c>
      <c r="D5" s="115" t="s">
        <v>44</v>
      </c>
      <c r="E5" s="116"/>
      <c r="F5" s="115" t="s">
        <v>45</v>
      </c>
      <c r="G5" s="116"/>
      <c r="H5" s="185"/>
      <c r="I5" s="185"/>
    </row>
    <row r="6" spans="1:26" s="8" customFormat="1" ht="14.65" customHeight="1" thickBot="1" x14ac:dyDescent="0.4">
      <c r="B6" s="117"/>
      <c r="C6" s="117"/>
      <c r="D6" s="118" t="s">
        <v>47</v>
      </c>
      <c r="E6" s="119" t="s">
        <v>48</v>
      </c>
      <c r="F6" s="120" t="s">
        <v>47</v>
      </c>
      <c r="G6" s="119" t="s">
        <v>48</v>
      </c>
      <c r="H6" s="185"/>
      <c r="I6" s="185"/>
    </row>
    <row r="7" spans="1:26" s="8" customFormat="1" ht="14.65" customHeight="1" thickBot="1" x14ac:dyDescent="0.45">
      <c r="A7" s="20"/>
      <c r="B7" s="121">
        <f>tbl_2025_2026_Days[[#Totals],[Day]]</f>
        <v>54</v>
      </c>
      <c r="C7" s="121">
        <f>tbl_2025_2026_Days[[#Totals],[Resort Name]]</f>
        <v>17</v>
      </c>
      <c r="D7" s="109">
        <f>tbl_2025_2026_Days[[#Totals],[Vertical Feet]]</f>
        <v>419435</v>
      </c>
      <c r="E7" s="110">
        <f>tbl_2025_2026_Days[[#Totals],[Vertical Feet]]/tbl_2025_2026_Days[[#Totals],[Day]]</f>
        <v>7767.3148148148148</v>
      </c>
      <c r="F7" s="109">
        <f>tbl_2025_2026_Days[[#Totals],[Calories]]</f>
        <v>62299.85144927536</v>
      </c>
      <c r="G7" s="110">
        <f>tbl_2025_2026_Days[[#Totals],[Calories]]/tbl_2025_2026_Days[[#Totals],[Day]]</f>
        <v>1153.7009527643586</v>
      </c>
      <c r="H7" s="42"/>
      <c r="I7" s="42"/>
    </row>
    <row r="8" spans="1:26" s="8" customFormat="1" ht="14.65" customHeight="1" thickBot="1" x14ac:dyDescent="0.45">
      <c r="A8" s="20"/>
      <c r="B8" s="42"/>
      <c r="C8" s="42"/>
      <c r="D8" s="77"/>
      <c r="E8" s="77"/>
      <c r="F8" s="77"/>
      <c r="G8" s="77"/>
      <c r="H8" s="42"/>
      <c r="I8" s="42"/>
    </row>
    <row r="9" spans="1:26" ht="14.65" customHeight="1" x14ac:dyDescent="0.35">
      <c r="A9" s="70"/>
      <c r="B9"/>
      <c r="C9" s="70"/>
      <c r="D9" s="71"/>
      <c r="E9" s="122"/>
      <c r="F9" s="123" t="s">
        <v>75</v>
      </c>
      <c r="G9" s="124"/>
      <c r="H9" s="125"/>
      <c r="I9" s="96"/>
      <c r="J9" s="96"/>
      <c r="K9" s="96"/>
      <c r="L9" s="96"/>
      <c r="M9" s="96"/>
      <c r="N9" s="96"/>
      <c r="O9" s="96"/>
      <c r="P9" s="96"/>
      <c r="Q9" s="96"/>
      <c r="R9" s="96"/>
      <c r="S9" s="96"/>
      <c r="T9" s="96"/>
      <c r="U9" s="96"/>
      <c r="V9" s="96"/>
      <c r="W9" s="96"/>
      <c r="X9" s="96"/>
      <c r="Y9" s="97"/>
      <c r="Z9" s="70"/>
    </row>
    <row r="10" spans="1:26" ht="14.65" customHeight="1" x14ac:dyDescent="0.35">
      <c r="A10" s="70"/>
      <c r="B10" s="75"/>
      <c r="C10" s="70"/>
      <c r="D10" s="71"/>
      <c r="E10" s="71"/>
      <c r="F10" s="126" t="s">
        <v>92</v>
      </c>
      <c r="G10" s="127"/>
      <c r="H10" s="98">
        <v>1</v>
      </c>
      <c r="I10" s="98"/>
      <c r="J10" s="98"/>
      <c r="K10" s="98"/>
      <c r="L10" s="98"/>
      <c r="M10" s="98"/>
      <c r="N10" s="98">
        <v>2</v>
      </c>
      <c r="O10" s="98"/>
      <c r="P10" s="98"/>
      <c r="Q10" s="98"/>
      <c r="R10" s="98"/>
      <c r="S10" s="98"/>
      <c r="T10" s="98">
        <v>3</v>
      </c>
      <c r="U10" s="98"/>
      <c r="V10" s="98"/>
      <c r="W10" s="98"/>
      <c r="X10" s="98"/>
      <c r="Y10" s="99"/>
      <c r="Z10" s="70"/>
    </row>
    <row r="11" spans="1:26" ht="14.65" customHeight="1" x14ac:dyDescent="0.35">
      <c r="A11" s="70"/>
      <c r="B11" s="75"/>
      <c r="C11" s="70"/>
      <c r="D11" s="71"/>
      <c r="E11" s="71"/>
      <c r="F11" s="126" t="s">
        <v>76</v>
      </c>
      <c r="G11" s="127"/>
      <c r="H11" s="98" t="str" cm="1">
        <f t="array" ref="H11">fn_GetSkiNameFromSkiIdx($H10)</f>
        <v>Stöckli Stormrider 102</v>
      </c>
      <c r="I11" s="98"/>
      <c r="J11" s="98"/>
      <c r="K11" s="98"/>
      <c r="L11" s="98"/>
      <c r="M11" s="98"/>
      <c r="N11" s="98" t="str" cm="1">
        <f t="array" ref="N11">fn_GetSkiNameFromSkiIdx($N10)</f>
        <v>Stöckli Montero AS</v>
      </c>
      <c r="O11" s="98"/>
      <c r="P11" s="98"/>
      <c r="Q11" s="98"/>
      <c r="R11" s="98"/>
      <c r="S11" s="98"/>
      <c r="T11" s="98" t="str" cm="1">
        <f t="array" ref="T11">fn_GetSkiNameFromSkiIdx($T10)</f>
        <v>Rossignal Sin 7</v>
      </c>
      <c r="U11" s="98"/>
      <c r="V11" s="98"/>
      <c r="W11" s="98"/>
      <c r="X11" s="98"/>
      <c r="Y11" s="99"/>
      <c r="Z11" s="70"/>
    </row>
    <row r="12" spans="1:26" ht="14.65" customHeight="1" x14ac:dyDescent="0.35">
      <c r="A12" s="70"/>
      <c r="B12" s="75"/>
      <c r="C12" s="74"/>
      <c r="D12" s="76"/>
      <c r="E12" s="71"/>
      <c r="F12" s="126" t="s">
        <v>77</v>
      </c>
      <c r="G12" s="127"/>
      <c r="H12" s="98" t="s">
        <v>3</v>
      </c>
      <c r="I12" s="98"/>
      <c r="J12" s="98" t="s">
        <v>26</v>
      </c>
      <c r="K12" s="98"/>
      <c r="L12" s="98" t="s">
        <v>27</v>
      </c>
      <c r="M12" s="98"/>
      <c r="N12" s="98" t="s">
        <v>3</v>
      </c>
      <c r="O12" s="98"/>
      <c r="P12" s="98" t="s">
        <v>26</v>
      </c>
      <c r="Q12" s="98"/>
      <c r="R12" s="98" t="s">
        <v>27</v>
      </c>
      <c r="S12" s="98"/>
      <c r="T12" s="98" t="s">
        <v>3</v>
      </c>
      <c r="U12" s="98"/>
      <c r="V12" s="98" t="s">
        <v>26</v>
      </c>
      <c r="W12" s="98"/>
      <c r="X12" s="98" t="s">
        <v>27</v>
      </c>
      <c r="Y12" s="99"/>
      <c r="Z12" s="70"/>
    </row>
    <row r="13" spans="1:26" ht="14.65" customHeight="1" x14ac:dyDescent="0.35">
      <c r="A13" s="70"/>
      <c r="B13" s="75"/>
      <c r="C13" s="74"/>
      <c r="D13" s="76"/>
      <c r="E13" s="71"/>
      <c r="F13" s="128" t="s">
        <v>78</v>
      </c>
      <c r="G13" s="129"/>
      <c r="H13" s="98" t="str" cm="1">
        <f t="array" ref="H13">fn_GetMaintProcAbbrevFromName(H$12)</f>
        <v>W</v>
      </c>
      <c r="I13" s="98"/>
      <c r="J13" s="98" t="str" cm="1">
        <f t="array" ref="J13">fn_GetMaintProcAbbrevFromName(J$12)</f>
        <v>E</v>
      </c>
      <c r="K13" s="98"/>
      <c r="L13" s="98" t="str" cm="1">
        <f t="array" ref="L13">fn_GetMaintProcAbbrevFromName(L$12)</f>
        <v>FT</v>
      </c>
      <c r="M13" s="98"/>
      <c r="N13" s="98" t="str" cm="1">
        <f t="array" ref="N13">fn_GetMaintProcAbbrevFromName(N$12)</f>
        <v>W</v>
      </c>
      <c r="O13" s="98"/>
      <c r="P13" s="98" t="str" cm="1">
        <f t="array" ref="P13">fn_GetMaintProcAbbrevFromName(P$12)</f>
        <v>E</v>
      </c>
      <c r="Q13" s="98"/>
      <c r="R13" s="98" t="str" cm="1">
        <f t="array" ref="R13">fn_GetMaintProcAbbrevFromName(R$12)</f>
        <v>FT</v>
      </c>
      <c r="S13" s="98"/>
      <c r="T13" s="98" t="str" cm="1">
        <f t="array" ref="T13">fn_GetMaintProcAbbrevFromName(T$12)</f>
        <v>W</v>
      </c>
      <c r="U13" s="98"/>
      <c r="V13" s="98" t="str" cm="1">
        <f t="array" ref="V13">fn_GetMaintProcAbbrevFromName(V$12)</f>
        <v>E</v>
      </c>
      <c r="W13" s="98"/>
      <c r="X13" s="98" t="str" cm="1">
        <f t="array" ref="X13">fn_GetMaintProcAbbrevFromName(X$12)</f>
        <v>FT</v>
      </c>
      <c r="Y13" s="99"/>
      <c r="Z13" s="70"/>
    </row>
    <row r="14" spans="1:26" ht="30" customHeight="1" x14ac:dyDescent="0.35">
      <c r="B14"/>
      <c r="F14" s="130" t="s">
        <v>70</v>
      </c>
      <c r="G14" s="131"/>
      <c r="H14" s="132" t="s">
        <v>382</v>
      </c>
      <c r="I14" s="108" t="s">
        <v>383</v>
      </c>
      <c r="J14" s="108" t="s">
        <v>384</v>
      </c>
      <c r="K14" s="108" t="s">
        <v>385</v>
      </c>
      <c r="L14" s="108" t="s">
        <v>386</v>
      </c>
      <c r="M14" s="108" t="s">
        <v>387</v>
      </c>
      <c r="N14" s="108" t="s">
        <v>388</v>
      </c>
      <c r="O14" s="108" t="s">
        <v>389</v>
      </c>
      <c r="P14" s="108" t="s">
        <v>390</v>
      </c>
      <c r="Q14" s="108" t="s">
        <v>391</v>
      </c>
      <c r="R14" s="108" t="s">
        <v>392</v>
      </c>
      <c r="S14" s="108" t="s">
        <v>393</v>
      </c>
      <c r="T14" s="108" t="s">
        <v>394</v>
      </c>
      <c r="U14" s="108" t="s">
        <v>395</v>
      </c>
      <c r="V14" s="108" t="s">
        <v>396</v>
      </c>
      <c r="W14" s="108" t="s">
        <v>397</v>
      </c>
      <c r="X14" s="108" t="s">
        <v>398</v>
      </c>
      <c r="Y14" s="133" t="s">
        <v>399</v>
      </c>
    </row>
    <row r="15" spans="1:26" ht="14.65" customHeight="1" thickBot="1" x14ac:dyDescent="0.4">
      <c r="B15"/>
      <c r="F15" s="134"/>
      <c r="G15" s="135"/>
      <c r="H15" s="136" cm="1">
        <f t="array" aca="1" ref="H15" ca="1">fn_GET_LAST_VAL_IN_COL(tbl_2025_2026_Days[1W_Days],TRUE)</f>
        <v>4</v>
      </c>
      <c r="I15" s="137" t="b" cm="1">
        <f t="array" ref="I15">INDEX(tbl_2025_2026_Days[1W_Done],fn_GET_LAST_IDX_IN_COL(tbl_2025_2026_Days[Ski],TRUE))</f>
        <v>0</v>
      </c>
      <c r="J15" s="29" cm="1">
        <f t="array" aca="1" ref="J15" ca="1">fn_GET_LAST_VAL_IN_COL(tbl_2025_2026_Days[1E_Days],TRUE)</f>
        <v>4</v>
      </c>
      <c r="K15" s="137" t="b" cm="1">
        <f t="array" ref="K15">INDEX(tbl_2025_2026_Days[1E_Done],fn_GET_LAST_IDX_IN_COL(tbl_2025_2026_Days[Ski],TRUE))</f>
        <v>0</v>
      </c>
      <c r="L15" s="29" cm="1">
        <f t="array" aca="1" ref="L15" ca="1">fn_GET_LAST_VAL_IN_COL(tbl_2025_2026_Days[1FT_Days],TRUE)</f>
        <v>22</v>
      </c>
      <c r="M15" s="137" t="b" cm="1">
        <f t="array" ref="M15">INDEX(tbl_2025_2026_Days[1FT_Done],fn_GET_LAST_IDX_IN_COL(tbl_2025_2026_Days[Ski],TRUE))</f>
        <v>0</v>
      </c>
      <c r="N15" s="29" cm="1">
        <f t="array" aca="1" ref="N15" ca="1">fn_GET_LAST_VAL_IN_COL(tbl_2025_2026_Days[2W_Days],TRUE)</f>
        <v>2</v>
      </c>
      <c r="O15" s="137" t="b" cm="1">
        <f t="array" ref="O15">INDEX(tbl_2025_2026_Days[2W_Done],fn_GET_LAST_IDX_IN_COL(tbl_2025_2026_Days[Ski],TRUE))</f>
        <v>0</v>
      </c>
      <c r="P15" s="29" cm="1">
        <f t="array" aca="1" ref="P15" ca="1">fn_GET_LAST_VAL_IN_COL(tbl_2025_2026_Days[2E_Days],TRUE)</f>
        <v>4</v>
      </c>
      <c r="Q15" s="137" t="b" cm="1">
        <f t="array" ref="Q15">INDEX(tbl_2025_2026_Days[2E_Done],fn_GET_LAST_IDX_IN_COL(tbl_2025_2026_Days[Ski],TRUE))</f>
        <v>0</v>
      </c>
      <c r="R15" s="29" cm="1">
        <f t="array" aca="1" ref="R15" ca="1">fn_GET_LAST_VAL_IN_COL(tbl_2025_2026_Days[2FT_Days],TRUE)</f>
        <v>37</v>
      </c>
      <c r="S15" s="137" t="b" cm="1">
        <f t="array" ref="S15">INDEX(tbl_2025_2026_Days[2FT_Done],fn_GET_LAST_IDX_IN_COL(tbl_2025_2026_Days[Ski],TRUE))</f>
        <v>0</v>
      </c>
      <c r="T15" s="29" cm="1">
        <f t="array" aca="1" ref="T15" ca="1">fn_GET_LAST_VAL_IN_COL(tbl_2025_2026_Days[3W_Days],TRUE)</f>
        <v>2</v>
      </c>
      <c r="U15" s="137" t="b" cm="1">
        <f t="array" ref="U15">INDEX(tbl_2025_2026_Days[3W_Done],fn_GET_LAST_IDX_IN_COL(tbl_2025_2026_Days[Ski],TRUE))</f>
        <v>0</v>
      </c>
      <c r="V15" s="29" cm="1">
        <f t="array" aca="1" ref="V15" ca="1">fn_GET_LAST_VAL_IN_COL(tbl_2025_2026_Days[3E_Days],TRUE)</f>
        <v>0</v>
      </c>
      <c r="W15" s="137" t="b" cm="1">
        <f t="array" ref="W15">INDEX(tbl_2025_2026_Days[3E_Done],fn_GET_LAST_IDX_IN_COL(tbl_2025_2026_Days[Ski],TRUE))</f>
        <v>0</v>
      </c>
      <c r="X15" s="29" cm="1">
        <f t="array" aca="1" ref="X15" ca="1">fn_GET_LAST_VAL_IN_COL(tbl_2025_2026_Days[3FT_Days],TRUE)</f>
        <v>5</v>
      </c>
      <c r="Y15" s="138" t="b" cm="1">
        <f t="array" ref="Y15">INDEX(tbl_2025_2026_Days[3FT_Done],fn_GET_LAST_IDX_IN_COL(tbl_2025_2026_Days[Ski],TRUE))</f>
        <v>0</v>
      </c>
    </row>
    <row r="16" spans="1:26" ht="14.65" customHeight="1" x14ac:dyDescent="0.35">
      <c r="B16"/>
    </row>
    <row r="17" spans="1:26" ht="14.65" customHeight="1" x14ac:dyDescent="0.35">
      <c r="A17" s="126" t="s">
        <v>84</v>
      </c>
      <c r="B17" s="126"/>
      <c r="C17" s="126"/>
      <c r="D17" s="126"/>
      <c r="E17" s="126"/>
      <c r="F17" s="126"/>
      <c r="G17" s="126"/>
      <c r="H17" s="126"/>
      <c r="I17" s="126"/>
      <c r="J17" s="126"/>
      <c r="K17" s="126"/>
      <c r="L17" s="126"/>
      <c r="M17" s="126"/>
      <c r="N17" s="126"/>
      <c r="O17" s="126"/>
      <c r="P17" s="126"/>
      <c r="Q17" s="126"/>
      <c r="R17" s="126"/>
      <c r="S17" s="126"/>
      <c r="T17" s="126"/>
      <c r="U17" s="126"/>
      <c r="V17" s="126"/>
      <c r="W17" s="126"/>
      <c r="X17" s="126"/>
      <c r="Y17" s="126"/>
      <c r="Z17" s="126"/>
    </row>
    <row r="18" spans="1:26" s="73" customFormat="1" ht="30" customHeight="1" x14ac:dyDescent="0.35">
      <c r="A18" s="71" t="s">
        <v>0</v>
      </c>
      <c r="B18" s="72" t="s">
        <v>1</v>
      </c>
      <c r="C18" s="71" t="s">
        <v>67</v>
      </c>
      <c r="D18" s="71" t="s">
        <v>68</v>
      </c>
      <c r="E18" s="71" t="s">
        <v>44</v>
      </c>
      <c r="F18" s="71" t="s">
        <v>45</v>
      </c>
      <c r="G18" s="71" t="s">
        <v>39</v>
      </c>
      <c r="H18" s="71" t="s">
        <v>382</v>
      </c>
      <c r="I18" s="71" t="s">
        <v>383</v>
      </c>
      <c r="J18" s="71" t="s">
        <v>384</v>
      </c>
      <c r="K18" s="71" t="s">
        <v>385</v>
      </c>
      <c r="L18" s="71" t="s">
        <v>386</v>
      </c>
      <c r="M18" s="71" t="s">
        <v>387</v>
      </c>
      <c r="N18" s="71" t="s">
        <v>388</v>
      </c>
      <c r="O18" s="71" t="s">
        <v>389</v>
      </c>
      <c r="P18" s="71" t="s">
        <v>390</v>
      </c>
      <c r="Q18" s="71" t="s">
        <v>391</v>
      </c>
      <c r="R18" s="71" t="s">
        <v>392</v>
      </c>
      <c r="S18" s="71" t="s">
        <v>393</v>
      </c>
      <c r="T18" s="71" t="s">
        <v>394</v>
      </c>
      <c r="U18" s="71" t="s">
        <v>395</v>
      </c>
      <c r="V18" s="71" t="s">
        <v>396</v>
      </c>
      <c r="W18" s="71" t="s">
        <v>397</v>
      </c>
      <c r="X18" s="71" t="s">
        <v>398</v>
      </c>
      <c r="Y18" s="71" t="s">
        <v>399</v>
      </c>
      <c r="Z18" s="71" t="s">
        <v>15</v>
      </c>
    </row>
    <row r="19" spans="1:26" ht="14.65" customHeight="1" x14ac:dyDescent="0.4">
      <c r="A19" cm="1">
        <f t="array" ref="A19">IF(fn_IsTableCellInFirstRow($A19,tbl_2025_2026_Days[]),1,$A18+1)</f>
        <v>1</v>
      </c>
      <c r="B19" s="67">
        <v>45968</v>
      </c>
      <c r="C19" s="68" t="s">
        <v>50</v>
      </c>
      <c r="D19" cm="1">
        <f t="array" ref="D19">fn_GET_UNIQUE_VALS_RUNNING_COUNTS(tbl_2025_2026_Days[Resort Name], tbl_2025_2026_Days[[#This Row],[Resort Name]])</f>
        <v>1</v>
      </c>
      <c r="E19" s="69">
        <v>4510</v>
      </c>
      <c r="F19" s="69">
        <v>646</v>
      </c>
      <c r="G19" s="68" t="s">
        <v>42</v>
      </c>
      <c r="H19" cm="1">
        <f t="array" aca="1" ref="H19" ca="1">fn_GetDaysSinceSkiMaintProc($A$2,tbl_2025_2026_Days[[#This Row],[Day]],H18,I18,1,"W",tbl_2025_2026_Days[[#This Row],[Ski]])</f>
        <v>7</v>
      </c>
      <c r="I19" s="66" t="b">
        <v>1</v>
      </c>
      <c r="J19" cm="1">
        <f t="array" aca="1" ref="J19" ca="1">fn_GetDaysSinceSkiMaintProc($A$2,tbl_2025_2026_Days[[#This Row],[Day]],J18,K18,1,"E",tbl_2025_2026_Days[[#This Row],[Ski]])</f>
        <v>7</v>
      </c>
      <c r="K19" s="139" t="b">
        <v>0</v>
      </c>
      <c r="L19" cm="1">
        <f t="array" aca="1" ref="L19" ca="1">fn_GetDaysSinceSkiMaintProc($A$2,tbl_2025_2026_Days[[#This Row],[Day]],L18,M18,1,"FT",tbl_2025_2026_Days[[#This Row],[Ski]])</f>
        <v>7</v>
      </c>
      <c r="M19" s="66" t="b">
        <v>0</v>
      </c>
      <c r="N19" cm="1">
        <f t="array" aca="1" ref="N19" ca="1">fn_GetDaysSinceSkiMaintProc($A$2,tbl_2025_2026_Days[[#This Row],[Day]],N18,O18,2,"W",tbl_2025_2026_Days[[#This Row],[Ski]])</f>
        <v>1</v>
      </c>
      <c r="O19" s="66" t="b">
        <v>0</v>
      </c>
      <c r="P19" cm="1">
        <f t="array" aca="1" ref="P19" ca="1">fn_GetDaysSinceSkiMaintProc($A$2,tbl_2025_2026_Days[[#This Row],[Day]],P18,Q18,2,"E",tbl_2025_2026_Days[[#This Row],[Ski]])</f>
        <v>1</v>
      </c>
      <c r="Q19" s="66" t="b">
        <v>0</v>
      </c>
      <c r="R19" cm="1">
        <f t="array" aca="1" ref="R19" ca="1">fn_GetDaysSinceSkiMaintProc($A$2,tbl_2025_2026_Days[[#This Row],[Day]],R18,S18,2,"FT",tbl_2025_2026_Days[[#This Row],[Ski]])</f>
        <v>1</v>
      </c>
      <c r="S19" s="66" t="b">
        <v>0</v>
      </c>
      <c r="T19" cm="1">
        <f t="array" aca="1" ref="T19" ca="1">fn_GetDaysSinceSkiMaintProc($A$2,tbl_2025_2026_Days[[#This Row],[Day]],T18,U18,3,"W",tbl_2025_2026_Days[[#This Row],[Ski]])</f>
        <v>0</v>
      </c>
      <c r="U19" s="66" t="b">
        <v>0</v>
      </c>
      <c r="V19" cm="1">
        <f t="array" aca="1" ref="V19" ca="1">fn_GetDaysSinceSkiMaintProc($A$2,tbl_2025_2026_Days[[#This Row],[Day]],V18,W18,3,"E",tbl_2025_2026_Days[[#This Row],[Ski]])</f>
        <v>3</v>
      </c>
      <c r="W19" s="66" t="b">
        <v>0</v>
      </c>
      <c r="X19" cm="1">
        <f t="array" aca="1" ref="X19" ca="1">fn_GetDaysSinceSkiMaintProc($A$2,tbl_2025_2026_Days[[#This Row],[Day]],X18,Y18,3,"FT",tbl_2025_2026_Days[[#This Row],[Ski]])</f>
        <v>3</v>
      </c>
      <c r="Y19" s="66" t="b">
        <v>0</v>
      </c>
      <c r="Z19" s="78"/>
    </row>
    <row r="20" spans="1:26" ht="14.65" customHeight="1" x14ac:dyDescent="0.4">
      <c r="A20" cm="1">
        <f t="array" ref="A20">IF(fn_IsTableCellInFirstRow($A20,tbl_2025_2026_Days[]),1,$A19+1)</f>
        <v>2</v>
      </c>
      <c r="B20" s="67">
        <v>45969</v>
      </c>
      <c r="C20" s="68" t="s">
        <v>9</v>
      </c>
      <c r="D20" cm="1">
        <f t="array" ref="D20">fn_GET_UNIQUE_VALS_RUNNING_COUNTS(tbl_2025_2026_Days[Resort Name], tbl_2025_2026_Days[[#This Row],[Resort Name]])</f>
        <v>1</v>
      </c>
      <c r="E20" s="69">
        <v>9085</v>
      </c>
      <c r="F20" s="69">
        <v>1567</v>
      </c>
      <c r="G20" s="68" t="s">
        <v>42</v>
      </c>
      <c r="H20" cm="1">
        <f t="array" aca="1" ref="H20" ca="1">fn_GetDaysSinceSkiMaintProc($A$2,tbl_2025_2026_Days[[#This Row],[Day]],H19,I19,1,"W",tbl_2025_2026_Days[[#This Row],[Ski]])</f>
        <v>0</v>
      </c>
      <c r="I20" s="66" t="b">
        <v>1</v>
      </c>
      <c r="J20" cm="1">
        <f t="array" aca="1" ref="J20" ca="1">fn_GetDaysSinceSkiMaintProc($A$2,tbl_2025_2026_Days[[#This Row],[Day]],J19,K19,1,"E",tbl_2025_2026_Days[[#This Row],[Ski]])</f>
        <v>7</v>
      </c>
      <c r="K20" s="66" t="b">
        <v>1</v>
      </c>
      <c r="L20" cm="1">
        <f t="array" aca="1" ref="L20" ca="1">fn_GetDaysSinceSkiMaintProc($A$2,tbl_2025_2026_Days[[#This Row],[Day]],L19,M19,1,"FT",tbl_2025_2026_Days[[#This Row],[Ski]])</f>
        <v>7</v>
      </c>
      <c r="M20" s="66" t="b">
        <v>0</v>
      </c>
      <c r="N20" cm="1">
        <f t="array" aca="1" ref="N20" ca="1">fn_GetDaysSinceSkiMaintProc($A$2,tbl_2025_2026_Days[[#This Row],[Day]],N19,O19,2,"W",tbl_2025_2026_Days[[#This Row],[Ski]])</f>
        <v>2</v>
      </c>
      <c r="O20" s="66" t="b">
        <v>1</v>
      </c>
      <c r="P20" cm="1">
        <f t="array" aca="1" ref="P20" ca="1">fn_GetDaysSinceSkiMaintProc($A$2,tbl_2025_2026_Days[[#This Row],[Day]],P19,Q19,2,"E",tbl_2025_2026_Days[[#This Row],[Ski]])</f>
        <v>2</v>
      </c>
      <c r="Q20" s="66" t="b">
        <v>1</v>
      </c>
      <c r="R20" cm="1">
        <f t="array" aca="1" ref="R20" ca="1">fn_GetDaysSinceSkiMaintProc($A$2,tbl_2025_2026_Days[[#This Row],[Day]],R19,S19,2,"FT",tbl_2025_2026_Days[[#This Row],[Ski]])</f>
        <v>2</v>
      </c>
      <c r="S20" s="66" t="b">
        <v>0</v>
      </c>
      <c r="T20" cm="1">
        <f t="array" aca="1" ref="T20" ca="1">fn_GetDaysSinceSkiMaintProc($A$2,tbl_2025_2026_Days[[#This Row],[Day]],T19,U19,3,"W",tbl_2025_2026_Days[[#This Row],[Ski]])</f>
        <v>0</v>
      </c>
      <c r="U20" s="66" t="b">
        <v>1</v>
      </c>
      <c r="V20" cm="1">
        <f t="array" aca="1" ref="V20" ca="1">fn_GetDaysSinceSkiMaintProc($A$2,tbl_2025_2026_Days[[#This Row],[Day]],V19,W19,3,"E",tbl_2025_2026_Days[[#This Row],[Ski]])</f>
        <v>3</v>
      </c>
      <c r="W20" s="66" t="b">
        <v>1</v>
      </c>
      <c r="X20" cm="1">
        <f t="array" aca="1" ref="X20" ca="1">fn_GetDaysSinceSkiMaintProc($A$2,tbl_2025_2026_Days[[#This Row],[Day]],X19,Y19,3,"FT",tbl_2025_2026_Days[[#This Row],[Ski]])</f>
        <v>3</v>
      </c>
      <c r="Y20" s="66" t="b">
        <v>0</v>
      </c>
      <c r="Z20" s="68"/>
    </row>
    <row r="21" spans="1:26" ht="14.65" customHeight="1" x14ac:dyDescent="0.4">
      <c r="A21" cm="1">
        <f t="array" ref="A21">IF(fn_IsTableCellInFirstRow($A21,tbl_2025_2026_Days[]),1,$A20+1)</f>
        <v>3</v>
      </c>
      <c r="B21" s="67">
        <v>45988</v>
      </c>
      <c r="C21" s="68" t="s">
        <v>5</v>
      </c>
      <c r="D21" cm="1">
        <f t="array" ref="D21">fn_GET_UNIQUE_VALS_RUNNING_COUNTS(tbl_2025_2026_Days[Resort Name], tbl_2025_2026_Days[[#This Row],[Resort Name]])</f>
        <v>1</v>
      </c>
      <c r="E21" s="69">
        <v>4730</v>
      </c>
      <c r="F21" s="69">
        <v>959</v>
      </c>
      <c r="G21" s="68" t="s">
        <v>42</v>
      </c>
      <c r="H21" cm="1">
        <f t="array" aca="1" ref="H21" ca="1">fn_GetDaysSinceSkiMaintProc($A$2,tbl_2025_2026_Days[[#This Row],[Day]],H20,I20,1,"W",tbl_2025_2026_Days[[#This Row],[Ski]])</f>
        <v>0</v>
      </c>
      <c r="I21" s="66" t="b">
        <v>0</v>
      </c>
      <c r="J21" cm="1">
        <f t="array" aca="1" ref="J21" ca="1">fn_GetDaysSinceSkiMaintProc($A$2,tbl_2025_2026_Days[[#This Row],[Day]],J20,K20,1,"E",tbl_2025_2026_Days[[#This Row],[Ski]])</f>
        <v>0</v>
      </c>
      <c r="K21" s="66" t="b">
        <v>0</v>
      </c>
      <c r="L21" cm="1">
        <f t="array" aca="1" ref="L21" ca="1">fn_GetDaysSinceSkiMaintProc($A$2,tbl_2025_2026_Days[[#This Row],[Day]],L20,M20,1,"FT",tbl_2025_2026_Days[[#This Row],[Ski]])</f>
        <v>7</v>
      </c>
      <c r="M21" s="66" t="b">
        <v>0</v>
      </c>
      <c r="N21" cm="1">
        <f t="array" aca="1" ref="N21" ca="1">fn_GetDaysSinceSkiMaintProc($A$2,tbl_2025_2026_Days[[#This Row],[Day]],N20,O20,2,"W",tbl_2025_2026_Days[[#This Row],[Ski]])</f>
        <v>1</v>
      </c>
      <c r="O21" s="66" t="b">
        <v>0</v>
      </c>
      <c r="P21" cm="1">
        <f t="array" aca="1" ref="P21" ca="1">fn_GetDaysSinceSkiMaintProc($A$2,tbl_2025_2026_Days[[#This Row],[Day]],P20,Q20,2,"E",tbl_2025_2026_Days[[#This Row],[Ski]])</f>
        <v>1</v>
      </c>
      <c r="Q21" s="66" t="b">
        <v>0</v>
      </c>
      <c r="R21" cm="1">
        <f t="array" aca="1" ref="R21" ca="1">fn_GetDaysSinceSkiMaintProc($A$2,tbl_2025_2026_Days[[#This Row],[Day]],R20,S20,2,"FT",tbl_2025_2026_Days[[#This Row],[Ski]])</f>
        <v>3</v>
      </c>
      <c r="S21" s="66" t="b">
        <v>0</v>
      </c>
      <c r="T21" cm="1">
        <f t="array" aca="1" ref="T21" ca="1">fn_GetDaysSinceSkiMaintProc($A$2,tbl_2025_2026_Days[[#This Row],[Day]],T20,U20,3,"W",tbl_2025_2026_Days[[#This Row],[Ski]])</f>
        <v>0</v>
      </c>
      <c r="U21" s="66" t="b">
        <v>0</v>
      </c>
      <c r="V21" cm="1">
        <f t="array" aca="1" ref="V21" ca="1">fn_GetDaysSinceSkiMaintProc($A$2,tbl_2025_2026_Days[[#This Row],[Day]],V20,W20,3,"E",tbl_2025_2026_Days[[#This Row],[Ski]])</f>
        <v>0</v>
      </c>
      <c r="W21" s="66" t="b">
        <v>0</v>
      </c>
      <c r="X21" cm="1">
        <f t="array" aca="1" ref="X21" ca="1">fn_GetDaysSinceSkiMaintProc($A$2,tbl_2025_2026_Days[[#This Row],[Day]],X20,Y20,3,"FT",tbl_2025_2026_Days[[#This Row],[Ski]])</f>
        <v>3</v>
      </c>
      <c r="Y21" s="66" t="b">
        <v>0</v>
      </c>
      <c r="Z21" s="68"/>
    </row>
    <row r="22" spans="1:26" ht="14.65" customHeight="1" x14ac:dyDescent="0.4">
      <c r="A22" cm="1">
        <f t="array" ref="A22">IF(fn_IsTableCellInFirstRow($A22,tbl_2025_2026_Days[]),1,$A21+1)</f>
        <v>4</v>
      </c>
      <c r="B22" s="67">
        <v>45989</v>
      </c>
      <c r="C22" s="68" t="s">
        <v>5</v>
      </c>
      <c r="D22" cm="1">
        <f t="array" ref="D22">fn_GET_UNIQUE_VALS_RUNNING_COUNTS(tbl_2025_2026_Days[Resort Name], tbl_2025_2026_Days[[#This Row],[Resort Name]])</f>
        <v>2</v>
      </c>
      <c r="E22" s="69">
        <v>4425</v>
      </c>
      <c r="F22" s="69">
        <v>837</v>
      </c>
      <c r="G22" s="68" t="s">
        <v>40</v>
      </c>
      <c r="H22" cm="1">
        <f t="array" aca="1" ref="H22" ca="1">fn_GetDaysSinceSkiMaintProc($A$2,tbl_2025_2026_Days[[#This Row],[Day]],H21,I21,1,"W",tbl_2025_2026_Days[[#This Row],[Ski]])</f>
        <v>0</v>
      </c>
      <c r="I22" s="66" t="b">
        <v>0</v>
      </c>
      <c r="J22" cm="1">
        <f t="array" aca="1" ref="J22" ca="1">fn_GetDaysSinceSkiMaintProc($A$2,tbl_2025_2026_Days[[#This Row],[Day]],J21,K21,1,"E",tbl_2025_2026_Days[[#This Row],[Ski]])</f>
        <v>0</v>
      </c>
      <c r="K22" s="66" t="b">
        <v>1</v>
      </c>
      <c r="L22" cm="1">
        <f t="array" aca="1" ref="L22" ca="1">fn_GetDaysSinceSkiMaintProc($A$2,tbl_2025_2026_Days[[#This Row],[Day]],L21,M21,1,"FT",tbl_2025_2026_Days[[#This Row],[Ski]])</f>
        <v>7</v>
      </c>
      <c r="M22" s="66" t="b">
        <v>0</v>
      </c>
      <c r="N22" cm="1">
        <f t="array" aca="1" ref="N22" ca="1">fn_GetDaysSinceSkiMaintProc($A$2,tbl_2025_2026_Days[[#This Row],[Day]],N21,O21,2,"W",tbl_2025_2026_Days[[#This Row],[Ski]])</f>
        <v>1</v>
      </c>
      <c r="O22" s="66" t="b">
        <v>0</v>
      </c>
      <c r="P22" cm="1">
        <f t="array" aca="1" ref="P22" ca="1">fn_GetDaysSinceSkiMaintProc($A$2,tbl_2025_2026_Days[[#This Row],[Day]],P21,Q21,2,"E",tbl_2025_2026_Days[[#This Row],[Ski]])</f>
        <v>1</v>
      </c>
      <c r="Q22" s="66" t="b">
        <v>0</v>
      </c>
      <c r="R22" cm="1">
        <f t="array" aca="1" ref="R22" ca="1">fn_GetDaysSinceSkiMaintProc($A$2,tbl_2025_2026_Days[[#This Row],[Day]],R21,S21,2,"FT",tbl_2025_2026_Days[[#This Row],[Ski]])</f>
        <v>3</v>
      </c>
      <c r="S22" s="66" t="b">
        <v>0</v>
      </c>
      <c r="T22" cm="1">
        <f t="array" aca="1" ref="T22" ca="1">fn_GetDaysSinceSkiMaintProc($A$2,tbl_2025_2026_Days[[#This Row],[Day]],T21,U21,3,"W",tbl_2025_2026_Days[[#This Row],[Ski]])</f>
        <v>1</v>
      </c>
      <c r="U22" s="66" t="b">
        <v>0</v>
      </c>
      <c r="V22" cm="1">
        <f t="array" aca="1" ref="V22" ca="1">fn_GetDaysSinceSkiMaintProc($A$2,tbl_2025_2026_Days[[#This Row],[Day]],V21,W21,3,"E",tbl_2025_2026_Days[[#This Row],[Ski]])</f>
        <v>1</v>
      </c>
      <c r="W22" s="66" t="b">
        <v>0</v>
      </c>
      <c r="X22" cm="1">
        <f t="array" aca="1" ref="X22" ca="1">fn_GetDaysSinceSkiMaintProc($A$2,tbl_2025_2026_Days[[#This Row],[Day]],X21,Y21,3,"FT",tbl_2025_2026_Days[[#This Row],[Ski]])</f>
        <v>4</v>
      </c>
      <c r="Y22" s="66" t="b">
        <v>0</v>
      </c>
      <c r="Z22" s="68"/>
    </row>
    <row r="23" spans="1:26" ht="14.65" customHeight="1" x14ac:dyDescent="0.4">
      <c r="A23" cm="1">
        <f t="array" ref="A23">IF(fn_IsTableCellInFirstRow($A23,tbl_2025_2026_Days[]),1,$A22+1)</f>
        <v>5</v>
      </c>
      <c r="B23" s="67">
        <v>45990</v>
      </c>
      <c r="C23" s="68" t="s">
        <v>5</v>
      </c>
      <c r="D23" cm="1">
        <f t="array" ref="D23">fn_GET_UNIQUE_VALS_RUNNING_COUNTS(tbl_2025_2026_Days[Resort Name], tbl_2025_2026_Days[[#This Row],[Resort Name]])</f>
        <v>3</v>
      </c>
      <c r="E23" s="69">
        <v>4990</v>
      </c>
      <c r="F23" s="69">
        <v>1269</v>
      </c>
      <c r="G23" s="68" t="s">
        <v>40</v>
      </c>
      <c r="H23" cm="1">
        <f t="array" aca="1" ref="H23" ca="1">fn_GetDaysSinceSkiMaintProc($A$2,tbl_2025_2026_Days[[#This Row],[Day]],H22,I22,1,"W",tbl_2025_2026_Days[[#This Row],[Ski]])</f>
        <v>0</v>
      </c>
      <c r="I23" s="66" t="b">
        <v>0</v>
      </c>
      <c r="J23" cm="1">
        <f t="array" aca="1" ref="J23" ca="1">fn_GetDaysSinceSkiMaintProc($A$2,tbl_2025_2026_Days[[#This Row],[Day]],J22,K22,1,"E",tbl_2025_2026_Days[[#This Row],[Ski]])</f>
        <v>0</v>
      </c>
      <c r="K23" s="66" t="b">
        <v>0</v>
      </c>
      <c r="L23" cm="1">
        <f t="array" aca="1" ref="L23" ca="1">fn_GetDaysSinceSkiMaintProc($A$2,tbl_2025_2026_Days[[#This Row],[Day]],L22,M22,1,"FT",tbl_2025_2026_Days[[#This Row],[Ski]])</f>
        <v>7</v>
      </c>
      <c r="M23" s="66" t="b">
        <v>0</v>
      </c>
      <c r="N23" cm="1">
        <f t="array" aca="1" ref="N23" ca="1">fn_GetDaysSinceSkiMaintProc($A$2,tbl_2025_2026_Days[[#This Row],[Day]],N22,O22,2,"W",tbl_2025_2026_Days[[#This Row],[Ski]])</f>
        <v>1</v>
      </c>
      <c r="O23" s="66" t="b">
        <v>0</v>
      </c>
      <c r="P23" cm="1">
        <f t="array" aca="1" ref="P23" ca="1">fn_GetDaysSinceSkiMaintProc($A$2,tbl_2025_2026_Days[[#This Row],[Day]],P22,Q22,2,"E",tbl_2025_2026_Days[[#This Row],[Ski]])</f>
        <v>1</v>
      </c>
      <c r="Q23" s="66" t="b">
        <v>0</v>
      </c>
      <c r="R23" cm="1">
        <f t="array" aca="1" ref="R23" ca="1">fn_GetDaysSinceSkiMaintProc($A$2,tbl_2025_2026_Days[[#This Row],[Day]],R22,S22,2,"FT",tbl_2025_2026_Days[[#This Row],[Ski]])</f>
        <v>3</v>
      </c>
      <c r="S23" s="66" t="b">
        <v>0</v>
      </c>
      <c r="T23" cm="1">
        <f t="array" aca="1" ref="T23" ca="1">fn_GetDaysSinceSkiMaintProc($A$2,tbl_2025_2026_Days[[#This Row],[Day]],T22,U22,3,"W",tbl_2025_2026_Days[[#This Row],[Ski]])</f>
        <v>2</v>
      </c>
      <c r="U23" s="66" t="b">
        <v>0</v>
      </c>
      <c r="V23" cm="1">
        <f t="array" aca="1" ref="V23" ca="1">fn_GetDaysSinceSkiMaintProc($A$2,tbl_2025_2026_Days[[#This Row],[Day]],V22,W22,3,"E",tbl_2025_2026_Days[[#This Row],[Ski]])</f>
        <v>2</v>
      </c>
      <c r="W23" s="66" t="b">
        <v>1</v>
      </c>
      <c r="X23" cm="1">
        <f t="array" aca="1" ref="X23" ca="1">fn_GetDaysSinceSkiMaintProc($A$2,tbl_2025_2026_Days[[#This Row],[Day]],X22,Y22,3,"FT",tbl_2025_2026_Days[[#This Row],[Ski]])</f>
        <v>5</v>
      </c>
      <c r="Y23" s="66" t="b">
        <v>0</v>
      </c>
      <c r="Z23" s="68"/>
    </row>
    <row r="24" spans="1:26" ht="14.65" customHeight="1" x14ac:dyDescent="0.4">
      <c r="A24" cm="1">
        <f t="array" ref="A24">IF(fn_IsTableCellInFirstRow($A24,tbl_2025_2026_Days[]),1,$A23+1)</f>
        <v>6</v>
      </c>
      <c r="B24" s="67">
        <v>45999</v>
      </c>
      <c r="C24" s="68" t="s">
        <v>33</v>
      </c>
      <c r="D24" cm="1">
        <f t="array" ref="D24">fn_GET_UNIQUE_VALS_RUNNING_COUNTS(tbl_2025_2026_Days[Resort Name], tbl_2025_2026_Days[[#This Row],[Resort Name]])</f>
        <v>1</v>
      </c>
      <c r="E24" s="69">
        <v>5987</v>
      </c>
      <c r="F24" s="69">
        <v>1163</v>
      </c>
      <c r="G24" s="68" t="s">
        <v>41</v>
      </c>
      <c r="H24" cm="1">
        <f t="array" aca="1" ref="H24" ca="1">fn_GetDaysSinceSkiMaintProc($A$2,tbl_2025_2026_Days[[#This Row],[Day]],H23,I23,1,"W",tbl_2025_2026_Days[[#This Row],[Ski]])</f>
        <v>1</v>
      </c>
      <c r="I24" s="66" t="b">
        <v>0</v>
      </c>
      <c r="J24" cm="1">
        <f t="array" aca="1" ref="J24" ca="1">fn_GetDaysSinceSkiMaintProc($A$2,tbl_2025_2026_Days[[#This Row],[Day]],J23,K23,1,"E",tbl_2025_2026_Days[[#This Row],[Ski]])</f>
        <v>1</v>
      </c>
      <c r="K24" s="66" t="b">
        <v>0</v>
      </c>
      <c r="L24" cm="1">
        <f t="array" aca="1" ref="L24" ca="1">fn_GetDaysSinceSkiMaintProc($A$2,tbl_2025_2026_Days[[#This Row],[Day]],L23,M23,1,"FT",tbl_2025_2026_Days[[#This Row],[Ski]])</f>
        <v>8</v>
      </c>
      <c r="M24" s="66" t="b">
        <v>0</v>
      </c>
      <c r="N24" cm="1">
        <f t="array" aca="1" ref="N24" ca="1">fn_GetDaysSinceSkiMaintProc($A$2,tbl_2025_2026_Days[[#This Row],[Day]],N23,O23,2,"W",tbl_2025_2026_Days[[#This Row],[Ski]])</f>
        <v>1</v>
      </c>
      <c r="O24" s="66" t="b">
        <v>0</v>
      </c>
      <c r="P24" cm="1">
        <f t="array" aca="1" ref="P24" ca="1">fn_GetDaysSinceSkiMaintProc($A$2,tbl_2025_2026_Days[[#This Row],[Day]],P23,Q23,2,"E",tbl_2025_2026_Days[[#This Row],[Ski]])</f>
        <v>1</v>
      </c>
      <c r="Q24" s="66" t="b">
        <v>0</v>
      </c>
      <c r="R24" cm="1">
        <f t="array" aca="1" ref="R24" ca="1">fn_GetDaysSinceSkiMaintProc($A$2,tbl_2025_2026_Days[[#This Row],[Day]],R23,S23,2,"FT",tbl_2025_2026_Days[[#This Row],[Ski]])</f>
        <v>3</v>
      </c>
      <c r="S24" s="66" t="b">
        <v>0</v>
      </c>
      <c r="T24" cm="1">
        <f t="array" aca="1" ref="T24" ca="1">fn_GetDaysSinceSkiMaintProc($A$2,tbl_2025_2026_Days[[#This Row],[Day]],T23,U23,3,"W",tbl_2025_2026_Days[[#This Row],[Ski]])</f>
        <v>2</v>
      </c>
      <c r="U24" s="66" t="b">
        <v>0</v>
      </c>
      <c r="V24" cm="1">
        <f t="array" aca="1" ref="V24" ca="1">fn_GetDaysSinceSkiMaintProc($A$2,tbl_2025_2026_Days[[#This Row],[Day]],V23,W23,3,"E",tbl_2025_2026_Days[[#This Row],[Ski]])</f>
        <v>0</v>
      </c>
      <c r="W24" s="66" t="b">
        <v>0</v>
      </c>
      <c r="X24" cm="1">
        <f t="array" aca="1" ref="X24" ca="1">fn_GetDaysSinceSkiMaintProc($A$2,tbl_2025_2026_Days[[#This Row],[Day]],X23,Y23,3,"FT",tbl_2025_2026_Days[[#This Row],[Ski]])</f>
        <v>5</v>
      </c>
      <c r="Y24" s="66" t="b">
        <v>0</v>
      </c>
      <c r="Z24" s="68"/>
    </row>
    <row r="25" spans="1:26" ht="14.65" customHeight="1" x14ac:dyDescent="0.4">
      <c r="A25" cm="1">
        <f t="array" ref="A25">IF(fn_IsTableCellInFirstRow($A25,tbl_2025_2026_Days[]),1,$A24+1)</f>
        <v>7</v>
      </c>
      <c r="B25" s="67">
        <v>46000</v>
      </c>
      <c r="C25" s="68" t="s">
        <v>33</v>
      </c>
      <c r="D25" cm="1">
        <f t="array" ref="D25">fn_GET_UNIQUE_VALS_RUNNING_COUNTS(tbl_2025_2026_Days[Resort Name], tbl_2025_2026_Days[[#This Row],[Resort Name]])</f>
        <v>2</v>
      </c>
      <c r="E25" s="69">
        <v>5152</v>
      </c>
      <c r="F25" s="69">
        <v>1262</v>
      </c>
      <c r="G25" s="68" t="s">
        <v>41</v>
      </c>
      <c r="H25" cm="1">
        <f t="array" aca="1" ref="H25" ca="1">fn_GetDaysSinceSkiMaintProc($A$2,tbl_2025_2026_Days[[#This Row],[Day]],H24,I24,1,"W",tbl_2025_2026_Days[[#This Row],[Ski]])</f>
        <v>2</v>
      </c>
      <c r="I25" s="66" t="b">
        <v>0</v>
      </c>
      <c r="J25" cm="1">
        <f t="array" aca="1" ref="J25" ca="1">fn_GetDaysSinceSkiMaintProc($A$2,tbl_2025_2026_Days[[#This Row],[Day]],J24,K24,1,"E",tbl_2025_2026_Days[[#This Row],[Ski]])</f>
        <v>2</v>
      </c>
      <c r="K25" s="66" t="b">
        <v>0</v>
      </c>
      <c r="L25" cm="1">
        <f t="array" aca="1" ref="L25" ca="1">fn_GetDaysSinceSkiMaintProc($A$2,tbl_2025_2026_Days[[#This Row],[Day]],L24,M24,1,"FT",tbl_2025_2026_Days[[#This Row],[Ski]])</f>
        <v>9</v>
      </c>
      <c r="M25" s="66" t="b">
        <v>0</v>
      </c>
      <c r="N25" cm="1">
        <f t="array" aca="1" ref="N25" ca="1">fn_GetDaysSinceSkiMaintProc($A$2,tbl_2025_2026_Days[[#This Row],[Day]],N24,O24,2,"W",tbl_2025_2026_Days[[#This Row],[Ski]])</f>
        <v>1</v>
      </c>
      <c r="O25" s="66" t="b">
        <v>0</v>
      </c>
      <c r="P25" cm="1">
        <f t="array" aca="1" ref="P25" ca="1">fn_GetDaysSinceSkiMaintProc($A$2,tbl_2025_2026_Days[[#This Row],[Day]],P24,Q24,2,"E",tbl_2025_2026_Days[[#This Row],[Ski]])</f>
        <v>1</v>
      </c>
      <c r="Q25" s="66" t="b">
        <v>0</v>
      </c>
      <c r="R25" cm="1">
        <f t="array" aca="1" ref="R25" ca="1">fn_GetDaysSinceSkiMaintProc($A$2,tbl_2025_2026_Days[[#This Row],[Day]],R24,S24,2,"FT",tbl_2025_2026_Days[[#This Row],[Ski]])</f>
        <v>3</v>
      </c>
      <c r="S25" s="66" t="b">
        <v>0</v>
      </c>
      <c r="T25" cm="1">
        <f t="array" aca="1" ref="T25" ca="1">fn_GetDaysSinceSkiMaintProc($A$2,tbl_2025_2026_Days[[#This Row],[Day]],T24,U24,3,"W",tbl_2025_2026_Days[[#This Row],[Ski]])</f>
        <v>2</v>
      </c>
      <c r="U25" s="66" t="b">
        <v>0</v>
      </c>
      <c r="V25" cm="1">
        <f t="array" aca="1" ref="V25" ca="1">fn_GetDaysSinceSkiMaintProc($A$2,tbl_2025_2026_Days[[#This Row],[Day]],V24,W24,3,"E",tbl_2025_2026_Days[[#This Row],[Ski]])</f>
        <v>0</v>
      </c>
      <c r="W25" s="66" t="b">
        <v>0</v>
      </c>
      <c r="X25" cm="1">
        <f t="array" aca="1" ref="X25" ca="1">fn_GetDaysSinceSkiMaintProc($A$2,tbl_2025_2026_Days[[#This Row],[Day]],X24,Y24,3,"FT",tbl_2025_2026_Days[[#This Row],[Ski]])</f>
        <v>5</v>
      </c>
      <c r="Y25" s="66" t="b">
        <v>0</v>
      </c>
      <c r="Z25" s="68"/>
    </row>
    <row r="26" spans="1:26" ht="14.65" customHeight="1" x14ac:dyDescent="0.4">
      <c r="A26" cm="1">
        <f t="array" ref="A26">IF(fn_IsTableCellInFirstRow($A26,tbl_2025_2026_Days[]),1,$A25+1)</f>
        <v>8</v>
      </c>
      <c r="B26" s="67">
        <v>46001</v>
      </c>
      <c r="C26" s="68" t="s">
        <v>33</v>
      </c>
      <c r="D26" cm="1">
        <f t="array" ref="D26">fn_GET_UNIQUE_VALS_RUNNING_COUNTS(tbl_2025_2026_Days[Resort Name], tbl_2025_2026_Days[[#This Row],[Resort Name]])</f>
        <v>3</v>
      </c>
      <c r="E26" s="69">
        <v>4740</v>
      </c>
      <c r="F26" s="69">
        <v>657</v>
      </c>
      <c r="G26" s="68" t="s">
        <v>41</v>
      </c>
      <c r="H26" cm="1">
        <f t="array" aca="1" ref="H26" ca="1">fn_GetDaysSinceSkiMaintProc($A$2,tbl_2025_2026_Days[[#This Row],[Day]],H25,I25,1,"W",tbl_2025_2026_Days[[#This Row],[Ski]])</f>
        <v>3</v>
      </c>
      <c r="I26" s="66" t="b">
        <v>0</v>
      </c>
      <c r="J26" cm="1">
        <f t="array" aca="1" ref="J26" ca="1">fn_GetDaysSinceSkiMaintProc($A$2,tbl_2025_2026_Days[[#This Row],[Day]],J25,K25,1,"E",tbl_2025_2026_Days[[#This Row],[Ski]])</f>
        <v>3</v>
      </c>
      <c r="K26" s="66" t="b">
        <v>0</v>
      </c>
      <c r="L26" cm="1">
        <f t="array" aca="1" ref="L26" ca="1">fn_GetDaysSinceSkiMaintProc($A$2,tbl_2025_2026_Days[[#This Row],[Day]],L25,M25,1,"FT",tbl_2025_2026_Days[[#This Row],[Ski]])</f>
        <v>10</v>
      </c>
      <c r="M26" s="66" t="b">
        <v>0</v>
      </c>
      <c r="N26" cm="1">
        <f t="array" aca="1" ref="N26" ca="1">fn_GetDaysSinceSkiMaintProc($A$2,tbl_2025_2026_Days[[#This Row],[Day]],N25,O25,2,"W",tbl_2025_2026_Days[[#This Row],[Ski]])</f>
        <v>1</v>
      </c>
      <c r="O26" s="66" t="b">
        <v>0</v>
      </c>
      <c r="P26" cm="1">
        <f t="array" aca="1" ref="P26" ca="1">fn_GetDaysSinceSkiMaintProc($A$2,tbl_2025_2026_Days[[#This Row],[Day]],P25,Q25,2,"E",tbl_2025_2026_Days[[#This Row],[Ski]])</f>
        <v>1</v>
      </c>
      <c r="Q26" s="66" t="b">
        <v>0</v>
      </c>
      <c r="R26" cm="1">
        <f t="array" aca="1" ref="R26" ca="1">fn_GetDaysSinceSkiMaintProc($A$2,tbl_2025_2026_Days[[#This Row],[Day]],R25,S25,2,"FT",tbl_2025_2026_Days[[#This Row],[Ski]])</f>
        <v>3</v>
      </c>
      <c r="S26" s="66" t="b">
        <v>0</v>
      </c>
      <c r="T26" cm="1">
        <f t="array" aca="1" ref="T26" ca="1">fn_GetDaysSinceSkiMaintProc($A$2,tbl_2025_2026_Days[[#This Row],[Day]],T25,U25,3,"W",tbl_2025_2026_Days[[#This Row],[Ski]])</f>
        <v>2</v>
      </c>
      <c r="U26" s="66" t="b">
        <v>0</v>
      </c>
      <c r="V26" cm="1">
        <f t="array" aca="1" ref="V26" ca="1">fn_GetDaysSinceSkiMaintProc($A$2,tbl_2025_2026_Days[[#This Row],[Day]],V25,W25,3,"E",tbl_2025_2026_Days[[#This Row],[Ski]])</f>
        <v>0</v>
      </c>
      <c r="W26" s="66" t="b">
        <v>0</v>
      </c>
      <c r="X26" cm="1">
        <f t="array" aca="1" ref="X26" ca="1">fn_GetDaysSinceSkiMaintProc($A$2,tbl_2025_2026_Days[[#This Row],[Day]],X25,Y25,3,"FT",tbl_2025_2026_Days[[#This Row],[Ski]])</f>
        <v>5</v>
      </c>
      <c r="Y26" s="66" t="b">
        <v>0</v>
      </c>
      <c r="Z26" s="68"/>
    </row>
    <row r="27" spans="1:26" ht="14.65" customHeight="1" x14ac:dyDescent="0.4">
      <c r="A27" cm="1">
        <f t="array" ref="A27">IF(fn_IsTableCellInFirstRow($A27,tbl_2025_2026_Days[]),1,$A26+1)</f>
        <v>9</v>
      </c>
      <c r="B27" s="67">
        <v>46002</v>
      </c>
      <c r="C27" s="68" t="s">
        <v>33</v>
      </c>
      <c r="D27" cm="1">
        <f t="array" ref="D27">fn_GET_UNIQUE_VALS_RUNNING_COUNTS(tbl_2025_2026_Days[Resort Name], tbl_2025_2026_Days[[#This Row],[Resort Name]])</f>
        <v>4</v>
      </c>
      <c r="E27" s="69">
        <v>8060</v>
      </c>
      <c r="F27" s="69">
        <v>1170</v>
      </c>
      <c r="G27" s="68" t="s">
        <v>41</v>
      </c>
      <c r="H27" cm="1">
        <f t="array" aca="1" ref="H27" ca="1">fn_GetDaysSinceSkiMaintProc($A$2,tbl_2025_2026_Days[[#This Row],[Day]],H26,I26,1,"W",tbl_2025_2026_Days[[#This Row],[Ski]])</f>
        <v>4</v>
      </c>
      <c r="I27" s="66" t="b">
        <v>0</v>
      </c>
      <c r="J27" cm="1">
        <f t="array" aca="1" ref="J27" ca="1">fn_GetDaysSinceSkiMaintProc($A$2,tbl_2025_2026_Days[[#This Row],[Day]],J26,K26,1,"E",tbl_2025_2026_Days[[#This Row],[Ski]])</f>
        <v>4</v>
      </c>
      <c r="K27" s="66" t="b">
        <v>0</v>
      </c>
      <c r="L27" cm="1">
        <f t="array" aca="1" ref="L27" ca="1">fn_GetDaysSinceSkiMaintProc($A$2,tbl_2025_2026_Days[[#This Row],[Day]],L26,M26,1,"FT",tbl_2025_2026_Days[[#This Row],[Ski]])</f>
        <v>11</v>
      </c>
      <c r="M27" s="66" t="b">
        <v>0</v>
      </c>
      <c r="N27" cm="1">
        <f t="array" aca="1" ref="N27" ca="1">fn_GetDaysSinceSkiMaintProc($A$2,tbl_2025_2026_Days[[#This Row],[Day]],N26,O26,2,"W",tbl_2025_2026_Days[[#This Row],[Ski]])</f>
        <v>1</v>
      </c>
      <c r="O27" s="66" t="b">
        <v>0</v>
      </c>
      <c r="P27" cm="1">
        <f t="array" aca="1" ref="P27" ca="1">fn_GetDaysSinceSkiMaintProc($A$2,tbl_2025_2026_Days[[#This Row],[Day]],P26,Q26,2,"E",tbl_2025_2026_Days[[#This Row],[Ski]])</f>
        <v>1</v>
      </c>
      <c r="Q27" s="66" t="b">
        <v>0</v>
      </c>
      <c r="R27" cm="1">
        <f t="array" aca="1" ref="R27" ca="1">fn_GetDaysSinceSkiMaintProc($A$2,tbl_2025_2026_Days[[#This Row],[Day]],R26,S26,2,"FT",tbl_2025_2026_Days[[#This Row],[Ski]])</f>
        <v>3</v>
      </c>
      <c r="S27" s="66" t="b">
        <v>0</v>
      </c>
      <c r="T27" cm="1">
        <f t="array" aca="1" ref="T27" ca="1">fn_GetDaysSinceSkiMaintProc($A$2,tbl_2025_2026_Days[[#This Row],[Day]],T26,U26,3,"W",tbl_2025_2026_Days[[#This Row],[Ski]])</f>
        <v>2</v>
      </c>
      <c r="U27" s="66" t="b">
        <v>0</v>
      </c>
      <c r="V27" cm="1">
        <f t="array" aca="1" ref="V27" ca="1">fn_GetDaysSinceSkiMaintProc($A$2,tbl_2025_2026_Days[[#This Row],[Day]],V26,W26,3,"E",tbl_2025_2026_Days[[#This Row],[Ski]])</f>
        <v>0</v>
      </c>
      <c r="W27" s="66" t="b">
        <v>0</v>
      </c>
      <c r="X27" cm="1">
        <f t="array" aca="1" ref="X27" ca="1">fn_GetDaysSinceSkiMaintProc($A$2,tbl_2025_2026_Days[[#This Row],[Day]],X26,Y26,3,"FT",tbl_2025_2026_Days[[#This Row],[Ski]])</f>
        <v>5</v>
      </c>
      <c r="Y27" s="66" t="b">
        <v>0</v>
      </c>
      <c r="Z27" s="68"/>
    </row>
    <row r="28" spans="1:26" ht="14.65" customHeight="1" x14ac:dyDescent="0.4">
      <c r="A28" cm="1">
        <f t="array" ref="A28">IF(fn_IsTableCellInFirstRow($A28,tbl_2025_2026_Days[]),1,$A27+1)</f>
        <v>10</v>
      </c>
      <c r="B28" s="67">
        <v>46003</v>
      </c>
      <c r="C28" s="68" t="s">
        <v>33</v>
      </c>
      <c r="D28" cm="1">
        <f t="array" ref="D28">fn_GET_UNIQUE_VALS_RUNNING_COUNTS(tbl_2025_2026_Days[Resort Name], tbl_2025_2026_Days[[#This Row],[Resort Name]])</f>
        <v>5</v>
      </c>
      <c r="E28" s="69">
        <v>5820</v>
      </c>
      <c r="F28" s="69">
        <v>1037</v>
      </c>
      <c r="G28" s="68" t="s">
        <v>41</v>
      </c>
      <c r="H28" cm="1">
        <f t="array" aca="1" ref="H28" ca="1">fn_GetDaysSinceSkiMaintProc($A$2,tbl_2025_2026_Days[[#This Row],[Day]],H27,I27,1,"W",tbl_2025_2026_Days[[#This Row],[Ski]])</f>
        <v>5</v>
      </c>
      <c r="I28" s="66" t="b">
        <v>1</v>
      </c>
      <c r="J28" cm="1">
        <f t="array" aca="1" ref="J28" ca="1">fn_GetDaysSinceSkiMaintProc($A$2,tbl_2025_2026_Days[[#This Row],[Day]],J27,K27,1,"E",tbl_2025_2026_Days[[#This Row],[Ski]])</f>
        <v>5</v>
      </c>
      <c r="K28" s="66" t="b">
        <v>1</v>
      </c>
      <c r="L28" cm="1">
        <f t="array" aca="1" ref="L28" ca="1">fn_GetDaysSinceSkiMaintProc($A$2,tbl_2025_2026_Days[[#This Row],[Day]],L27,M27,1,"FT",tbl_2025_2026_Days[[#This Row],[Ski]])</f>
        <v>12</v>
      </c>
      <c r="M28" s="66" t="b">
        <v>0</v>
      </c>
      <c r="N28" cm="1">
        <f t="array" aca="1" ref="N28" ca="1">fn_GetDaysSinceSkiMaintProc($A$2,tbl_2025_2026_Days[[#This Row],[Day]],N27,O27,2,"W",tbl_2025_2026_Days[[#This Row],[Ski]])</f>
        <v>1</v>
      </c>
      <c r="O28" s="66" t="b">
        <v>0</v>
      </c>
      <c r="P28" cm="1">
        <f t="array" aca="1" ref="P28" ca="1">fn_GetDaysSinceSkiMaintProc($A$2,tbl_2025_2026_Days[[#This Row],[Day]],P27,Q27,2,"E",tbl_2025_2026_Days[[#This Row],[Ski]])</f>
        <v>1</v>
      </c>
      <c r="Q28" s="66" t="b">
        <v>0</v>
      </c>
      <c r="R28" cm="1">
        <f t="array" aca="1" ref="R28" ca="1">fn_GetDaysSinceSkiMaintProc($A$2,tbl_2025_2026_Days[[#This Row],[Day]],R27,S27,2,"FT",tbl_2025_2026_Days[[#This Row],[Ski]])</f>
        <v>3</v>
      </c>
      <c r="S28" s="66" t="b">
        <v>0</v>
      </c>
      <c r="T28" cm="1">
        <f t="array" aca="1" ref="T28" ca="1">fn_GetDaysSinceSkiMaintProc($A$2,tbl_2025_2026_Days[[#This Row],[Day]],T27,U27,3,"W",tbl_2025_2026_Days[[#This Row],[Ski]])</f>
        <v>2</v>
      </c>
      <c r="U28" s="66" t="b">
        <v>0</v>
      </c>
      <c r="V28" cm="1">
        <f t="array" aca="1" ref="V28" ca="1">fn_GetDaysSinceSkiMaintProc($A$2,tbl_2025_2026_Days[[#This Row],[Day]],V27,W27,3,"E",tbl_2025_2026_Days[[#This Row],[Ski]])</f>
        <v>0</v>
      </c>
      <c r="W28" s="66" t="b">
        <v>0</v>
      </c>
      <c r="X28" cm="1">
        <f t="array" aca="1" ref="X28" ca="1">fn_GetDaysSinceSkiMaintProc($A$2,tbl_2025_2026_Days[[#This Row],[Day]],X27,Y27,3,"FT",tbl_2025_2026_Days[[#This Row],[Ski]])</f>
        <v>5</v>
      </c>
      <c r="Y28" s="66" t="b">
        <v>0</v>
      </c>
      <c r="Z28" s="68"/>
    </row>
    <row r="29" spans="1:26" ht="14.65" customHeight="1" x14ac:dyDescent="0.4">
      <c r="A29" cm="1">
        <f t="array" ref="A29">IF(fn_IsTableCellInFirstRow($A29,tbl_2025_2026_Days[]),1,$A28+1)</f>
        <v>11</v>
      </c>
      <c r="B29" s="67">
        <v>46004</v>
      </c>
      <c r="C29" s="68" t="s">
        <v>33</v>
      </c>
      <c r="D29" cm="1">
        <f t="array" ref="D29">fn_GET_UNIQUE_VALS_RUNNING_COUNTS(tbl_2025_2026_Days[Resort Name], tbl_2025_2026_Days[[#This Row],[Resort Name]])</f>
        <v>6</v>
      </c>
      <c r="E29" s="69">
        <v>4275</v>
      </c>
      <c r="F29" s="69">
        <v>604</v>
      </c>
      <c r="G29" s="68" t="s">
        <v>41</v>
      </c>
      <c r="H29" cm="1">
        <f t="array" aca="1" ref="H29" ca="1">fn_GetDaysSinceSkiMaintProc($A$2,tbl_2025_2026_Days[[#This Row],[Day]],H28,I28,1,"W",tbl_2025_2026_Days[[#This Row],[Ski]])</f>
        <v>1</v>
      </c>
      <c r="I29" s="66" t="b">
        <v>0</v>
      </c>
      <c r="J29" cm="1">
        <f t="array" aca="1" ref="J29" ca="1">fn_GetDaysSinceSkiMaintProc($A$2,tbl_2025_2026_Days[[#This Row],[Day]],J28,K28,1,"E",tbl_2025_2026_Days[[#This Row],[Ski]])</f>
        <v>1</v>
      </c>
      <c r="K29" s="66" t="b">
        <v>0</v>
      </c>
      <c r="L29" cm="1">
        <f t="array" aca="1" ref="L29" ca="1">fn_GetDaysSinceSkiMaintProc($A$2,tbl_2025_2026_Days[[#This Row],[Day]],L28,M28,1,"FT",tbl_2025_2026_Days[[#This Row],[Ski]])</f>
        <v>13</v>
      </c>
      <c r="M29" s="66" t="b">
        <v>0</v>
      </c>
      <c r="N29" cm="1">
        <f t="array" aca="1" ref="N29" ca="1">fn_GetDaysSinceSkiMaintProc($A$2,tbl_2025_2026_Days[[#This Row],[Day]],N28,O28,2,"W",tbl_2025_2026_Days[[#This Row],[Ski]])</f>
        <v>1</v>
      </c>
      <c r="O29" s="66" t="b">
        <v>0</v>
      </c>
      <c r="P29" cm="1">
        <f t="array" aca="1" ref="P29" ca="1">fn_GetDaysSinceSkiMaintProc($A$2,tbl_2025_2026_Days[[#This Row],[Day]],P28,Q28,2,"E",tbl_2025_2026_Days[[#This Row],[Ski]])</f>
        <v>1</v>
      </c>
      <c r="Q29" s="66" t="b">
        <v>0</v>
      </c>
      <c r="R29" cm="1">
        <f t="array" aca="1" ref="R29" ca="1">fn_GetDaysSinceSkiMaintProc($A$2,tbl_2025_2026_Days[[#This Row],[Day]],R28,S28,2,"FT",tbl_2025_2026_Days[[#This Row],[Ski]])</f>
        <v>3</v>
      </c>
      <c r="S29" s="66" t="b">
        <v>0</v>
      </c>
      <c r="T29" cm="1">
        <f t="array" aca="1" ref="T29" ca="1">fn_GetDaysSinceSkiMaintProc($A$2,tbl_2025_2026_Days[[#This Row],[Day]],T28,U28,3,"W",tbl_2025_2026_Days[[#This Row],[Ski]])</f>
        <v>2</v>
      </c>
      <c r="U29" s="66" t="b">
        <v>0</v>
      </c>
      <c r="V29" cm="1">
        <f t="array" aca="1" ref="V29" ca="1">fn_GetDaysSinceSkiMaintProc($A$2,tbl_2025_2026_Days[[#This Row],[Day]],V28,W28,3,"E",tbl_2025_2026_Days[[#This Row],[Ski]])</f>
        <v>0</v>
      </c>
      <c r="W29" s="66" t="b">
        <v>0</v>
      </c>
      <c r="X29" cm="1">
        <f t="array" aca="1" ref="X29" ca="1">fn_GetDaysSinceSkiMaintProc($A$2,tbl_2025_2026_Days[[#This Row],[Day]],X28,Y28,3,"FT",tbl_2025_2026_Days[[#This Row],[Ski]])</f>
        <v>5</v>
      </c>
      <c r="Y29" s="66" t="b">
        <v>0</v>
      </c>
      <c r="Z29" s="68"/>
    </row>
    <row r="30" spans="1:26" ht="14.65" customHeight="1" x14ac:dyDescent="0.4">
      <c r="A30" cm="1">
        <f t="array" ref="A30">IF(fn_IsTableCellInFirstRow($A30,tbl_2025_2026_Days[]),1,$A29+1)</f>
        <v>12</v>
      </c>
      <c r="B30" s="67">
        <v>46005</v>
      </c>
      <c r="C30" s="68" t="s">
        <v>33</v>
      </c>
      <c r="D30" cm="1">
        <f t="array" ref="D30">fn_GET_UNIQUE_VALS_RUNNING_COUNTS(tbl_2025_2026_Days[Resort Name], tbl_2025_2026_Days[[#This Row],[Resort Name]])</f>
        <v>7</v>
      </c>
      <c r="E30" s="69">
        <v>6080</v>
      </c>
      <c r="F30" s="69">
        <v>763</v>
      </c>
      <c r="G30" s="68" t="s">
        <v>41</v>
      </c>
      <c r="H30" cm="1">
        <f t="array" aca="1" ref="H30" ca="1">fn_GetDaysSinceSkiMaintProc($A$2,tbl_2025_2026_Days[[#This Row],[Day]],H29,I29,1,"W",tbl_2025_2026_Days[[#This Row],[Ski]])</f>
        <v>2</v>
      </c>
      <c r="I30" s="66" t="b">
        <v>0</v>
      </c>
      <c r="J30" cm="1">
        <f t="array" aca="1" ref="J30" ca="1">fn_GetDaysSinceSkiMaintProc($A$2,tbl_2025_2026_Days[[#This Row],[Day]],J29,K29,1,"E",tbl_2025_2026_Days[[#This Row],[Ski]])</f>
        <v>2</v>
      </c>
      <c r="K30" s="66" t="b">
        <v>0</v>
      </c>
      <c r="L30" cm="1">
        <f t="array" aca="1" ref="L30" ca="1">fn_GetDaysSinceSkiMaintProc($A$2,tbl_2025_2026_Days[[#This Row],[Day]],L29,M29,1,"FT",tbl_2025_2026_Days[[#This Row],[Ski]])</f>
        <v>14</v>
      </c>
      <c r="M30" s="66" t="b">
        <v>0</v>
      </c>
      <c r="N30" cm="1">
        <f t="array" aca="1" ref="N30" ca="1">fn_GetDaysSinceSkiMaintProc($A$2,tbl_2025_2026_Days[[#This Row],[Day]],N29,O29,2,"W",tbl_2025_2026_Days[[#This Row],[Ski]])</f>
        <v>1</v>
      </c>
      <c r="O30" s="66" t="b">
        <v>0</v>
      </c>
      <c r="P30" cm="1">
        <f t="array" aca="1" ref="P30" ca="1">fn_GetDaysSinceSkiMaintProc($A$2,tbl_2025_2026_Days[[#This Row],[Day]],P29,Q29,2,"E",tbl_2025_2026_Days[[#This Row],[Ski]])</f>
        <v>1</v>
      </c>
      <c r="Q30" s="66" t="b">
        <v>0</v>
      </c>
      <c r="R30" cm="1">
        <f t="array" aca="1" ref="R30" ca="1">fn_GetDaysSinceSkiMaintProc($A$2,tbl_2025_2026_Days[[#This Row],[Day]],R29,S29,2,"FT",tbl_2025_2026_Days[[#This Row],[Ski]])</f>
        <v>3</v>
      </c>
      <c r="S30" s="66" t="b">
        <v>0</v>
      </c>
      <c r="T30" cm="1">
        <f t="array" aca="1" ref="T30" ca="1">fn_GetDaysSinceSkiMaintProc($A$2,tbl_2025_2026_Days[[#This Row],[Day]],T29,U29,3,"W",tbl_2025_2026_Days[[#This Row],[Ski]])</f>
        <v>2</v>
      </c>
      <c r="U30" s="66" t="b">
        <v>0</v>
      </c>
      <c r="V30" cm="1">
        <f t="array" aca="1" ref="V30" ca="1">fn_GetDaysSinceSkiMaintProc($A$2,tbl_2025_2026_Days[[#This Row],[Day]],V29,W29,3,"E",tbl_2025_2026_Days[[#This Row],[Ski]])</f>
        <v>0</v>
      </c>
      <c r="W30" s="66" t="b">
        <v>0</v>
      </c>
      <c r="X30" cm="1">
        <f t="array" aca="1" ref="X30" ca="1">fn_GetDaysSinceSkiMaintProc($A$2,tbl_2025_2026_Days[[#This Row],[Day]],X29,Y29,3,"FT",tbl_2025_2026_Days[[#This Row],[Ski]])</f>
        <v>5</v>
      </c>
      <c r="Y30" s="66" t="b">
        <v>0</v>
      </c>
      <c r="Z30" s="68"/>
    </row>
    <row r="31" spans="1:26" ht="14.65" customHeight="1" x14ac:dyDescent="0.4">
      <c r="A31" cm="1">
        <f t="array" ref="A31">IF(fn_IsTableCellInFirstRow($A31,tbl_2025_2026_Days[]),1,$A30+1)</f>
        <v>13</v>
      </c>
      <c r="B31" s="67">
        <v>46007</v>
      </c>
      <c r="C31" s="68" t="s">
        <v>52</v>
      </c>
      <c r="D31" cm="1">
        <f t="array" ref="D31">fn_GET_UNIQUE_VALS_RUNNING_COUNTS(tbl_2025_2026_Days[Resort Name], tbl_2025_2026_Days[[#This Row],[Resort Name]])</f>
        <v>1</v>
      </c>
      <c r="E31" s="69">
        <v>2680</v>
      </c>
      <c r="F31" s="69">
        <v>752</v>
      </c>
      <c r="G31" s="68" t="s">
        <v>41</v>
      </c>
      <c r="H31" cm="1">
        <f t="array" aca="1" ref="H31" ca="1">fn_GetDaysSinceSkiMaintProc($A$2,tbl_2025_2026_Days[[#This Row],[Day]],H30,I30,1,"W",tbl_2025_2026_Days[[#This Row],[Ski]])</f>
        <v>3</v>
      </c>
      <c r="I31" s="66" t="b">
        <v>0</v>
      </c>
      <c r="J31" cm="1">
        <f t="array" aca="1" ref="J31" ca="1">fn_GetDaysSinceSkiMaintProc($A$2,tbl_2025_2026_Days[[#This Row],[Day]],J30,K30,1,"E",tbl_2025_2026_Days[[#This Row],[Ski]])</f>
        <v>3</v>
      </c>
      <c r="K31" s="66" t="b">
        <v>0</v>
      </c>
      <c r="L31" cm="1">
        <f t="array" aca="1" ref="L31" ca="1">fn_GetDaysSinceSkiMaintProc($A$2,tbl_2025_2026_Days[[#This Row],[Day]],L30,M30,1,"FT",tbl_2025_2026_Days[[#This Row],[Ski]])</f>
        <v>15</v>
      </c>
      <c r="M31" s="66" t="b">
        <v>0</v>
      </c>
      <c r="N31" cm="1">
        <f t="array" aca="1" ref="N31" ca="1">fn_GetDaysSinceSkiMaintProc($A$2,tbl_2025_2026_Days[[#This Row],[Day]],N30,O30,2,"W",tbl_2025_2026_Days[[#This Row],[Ski]])</f>
        <v>1</v>
      </c>
      <c r="O31" s="66" t="b">
        <v>0</v>
      </c>
      <c r="P31" cm="1">
        <f t="array" aca="1" ref="P31" ca="1">fn_GetDaysSinceSkiMaintProc($A$2,tbl_2025_2026_Days[[#This Row],[Day]],P30,Q30,2,"E",tbl_2025_2026_Days[[#This Row],[Ski]])</f>
        <v>1</v>
      </c>
      <c r="Q31" s="66" t="b">
        <v>0</v>
      </c>
      <c r="R31" cm="1">
        <f t="array" aca="1" ref="R31" ca="1">fn_GetDaysSinceSkiMaintProc($A$2,tbl_2025_2026_Days[[#This Row],[Day]],R30,S30,2,"FT",tbl_2025_2026_Days[[#This Row],[Ski]])</f>
        <v>3</v>
      </c>
      <c r="S31" s="66" t="b">
        <v>0</v>
      </c>
      <c r="T31" cm="1">
        <f t="array" aca="1" ref="T31" ca="1">fn_GetDaysSinceSkiMaintProc($A$2,tbl_2025_2026_Days[[#This Row],[Day]],T30,U30,3,"W",tbl_2025_2026_Days[[#This Row],[Ski]])</f>
        <v>2</v>
      </c>
      <c r="U31" s="66" t="b">
        <v>0</v>
      </c>
      <c r="V31" cm="1">
        <f t="array" aca="1" ref="V31" ca="1">fn_GetDaysSinceSkiMaintProc($A$2,tbl_2025_2026_Days[[#This Row],[Day]],V30,W30,3,"E",tbl_2025_2026_Days[[#This Row],[Ski]])</f>
        <v>0</v>
      </c>
      <c r="W31" s="66" t="b">
        <v>0</v>
      </c>
      <c r="X31" cm="1">
        <f t="array" aca="1" ref="X31" ca="1">fn_GetDaysSinceSkiMaintProc($A$2,tbl_2025_2026_Days[[#This Row],[Day]],X30,Y30,3,"FT",tbl_2025_2026_Days[[#This Row],[Ski]])</f>
        <v>5</v>
      </c>
      <c r="Y31" s="66" t="b">
        <v>0</v>
      </c>
      <c r="Z31" s="68"/>
    </row>
    <row r="32" spans="1:26" ht="14.65" customHeight="1" x14ac:dyDescent="0.4">
      <c r="A32" cm="1">
        <f t="array" ref="A32">IF(fn_IsTableCellInFirstRow($A32,tbl_2025_2026_Days[]),1,$A31+1)</f>
        <v>14</v>
      </c>
      <c r="B32" s="67">
        <v>46029</v>
      </c>
      <c r="C32" s="68" t="s">
        <v>6</v>
      </c>
      <c r="D32" cm="1">
        <f t="array" ref="D32">fn_GET_UNIQUE_VALS_RUNNING_COUNTS(tbl_2025_2026_Days[Resort Name], tbl_2025_2026_Days[[#This Row],[Resort Name]])</f>
        <v>1</v>
      </c>
      <c r="E32" s="69">
        <v>8549</v>
      </c>
      <c r="F32" s="69">
        <v>2200</v>
      </c>
      <c r="G32" s="68" t="s">
        <v>42</v>
      </c>
      <c r="H32" cm="1">
        <f t="array" aca="1" ref="H32" ca="1">fn_GetDaysSinceSkiMaintProc($A$2,tbl_2025_2026_Days[[#This Row],[Day]],H31,I31,1,"W",tbl_2025_2026_Days[[#This Row],[Ski]])</f>
        <v>3</v>
      </c>
      <c r="I32" s="66" t="b">
        <v>0</v>
      </c>
      <c r="J32" cm="1">
        <f t="array" aca="1" ref="J32" ca="1">fn_GetDaysSinceSkiMaintProc($A$2,tbl_2025_2026_Days[[#This Row],[Day]],J31,K31,1,"E",tbl_2025_2026_Days[[#This Row],[Ski]])</f>
        <v>3</v>
      </c>
      <c r="K32" s="66" t="b">
        <v>0</v>
      </c>
      <c r="L32" cm="1">
        <f t="array" aca="1" ref="L32" ca="1">fn_GetDaysSinceSkiMaintProc($A$2,tbl_2025_2026_Days[[#This Row],[Day]],L31,M31,1,"FT",tbl_2025_2026_Days[[#This Row],[Ski]])</f>
        <v>15</v>
      </c>
      <c r="M32" s="66" t="b">
        <v>0</v>
      </c>
      <c r="N32" cm="1">
        <f t="array" aca="1" ref="N32" ca="1">fn_GetDaysSinceSkiMaintProc($A$2,tbl_2025_2026_Days[[#This Row],[Day]],N31,O31,2,"W",tbl_2025_2026_Days[[#This Row],[Ski]])</f>
        <v>2</v>
      </c>
      <c r="O32" s="66" t="b">
        <v>0</v>
      </c>
      <c r="P32" cm="1">
        <f t="array" aca="1" ref="P32" ca="1">fn_GetDaysSinceSkiMaintProc($A$2,tbl_2025_2026_Days[[#This Row],[Day]],P31,Q31,2,"E",tbl_2025_2026_Days[[#This Row],[Ski]])</f>
        <v>2</v>
      </c>
      <c r="Q32" s="66" t="b">
        <v>1</v>
      </c>
      <c r="R32" cm="1">
        <f t="array" aca="1" ref="R32" ca="1">fn_GetDaysSinceSkiMaintProc($A$2,tbl_2025_2026_Days[[#This Row],[Day]],R31,S31,2,"FT",tbl_2025_2026_Days[[#This Row],[Ski]])</f>
        <v>4</v>
      </c>
      <c r="S32" s="66" t="b">
        <v>0</v>
      </c>
      <c r="T32" cm="1">
        <f t="array" aca="1" ref="T32" ca="1">fn_GetDaysSinceSkiMaintProc($A$2,tbl_2025_2026_Days[[#This Row],[Day]],T31,U31,3,"W",tbl_2025_2026_Days[[#This Row],[Ski]])</f>
        <v>2</v>
      </c>
      <c r="U32" s="66" t="b">
        <v>0</v>
      </c>
      <c r="V32" cm="1">
        <f t="array" aca="1" ref="V32" ca="1">fn_GetDaysSinceSkiMaintProc($A$2,tbl_2025_2026_Days[[#This Row],[Day]],V31,W31,3,"E",tbl_2025_2026_Days[[#This Row],[Ski]])</f>
        <v>0</v>
      </c>
      <c r="W32" s="66" t="b">
        <v>0</v>
      </c>
      <c r="X32" cm="1">
        <f t="array" aca="1" ref="X32" ca="1">fn_GetDaysSinceSkiMaintProc($A$2,tbl_2025_2026_Days[[#This Row],[Day]],X31,Y31,3,"FT",tbl_2025_2026_Days[[#This Row],[Ski]])</f>
        <v>5</v>
      </c>
      <c r="Y32" s="66" t="b">
        <v>0</v>
      </c>
      <c r="Z32" s="68"/>
    </row>
    <row r="33" spans="1:26" ht="14.65" customHeight="1" x14ac:dyDescent="0.4">
      <c r="A33" cm="1">
        <f t="array" ref="A33">IF(fn_IsTableCellInFirstRow($A33,tbl_2025_2026_Days[]),1,$A32+1)</f>
        <v>15</v>
      </c>
      <c r="B33" s="67">
        <v>46030</v>
      </c>
      <c r="C33" s="68" t="s">
        <v>6</v>
      </c>
      <c r="D33" cm="1">
        <f t="array" ref="D33">fn_GET_UNIQUE_VALS_RUNNING_COUNTS(tbl_2025_2026_Days[Resort Name], tbl_2025_2026_Days[[#This Row],[Resort Name]])</f>
        <v>2</v>
      </c>
      <c r="E33" s="69">
        <v>7265</v>
      </c>
      <c r="F33" s="69">
        <v>1043</v>
      </c>
      <c r="G33" s="68" t="s">
        <v>41</v>
      </c>
      <c r="H33" cm="1">
        <f t="array" aca="1" ref="H33" ca="1">fn_GetDaysSinceSkiMaintProc($A$2,tbl_2025_2026_Days[[#This Row],[Day]],H32,I32,1,"W",tbl_2025_2026_Days[[#This Row],[Ski]])</f>
        <v>4</v>
      </c>
      <c r="I33" s="66" t="b">
        <v>0</v>
      </c>
      <c r="J33" cm="1">
        <f t="array" aca="1" ref="J33" ca="1">fn_GetDaysSinceSkiMaintProc($A$2,tbl_2025_2026_Days[[#This Row],[Day]],J32,K32,1,"E",tbl_2025_2026_Days[[#This Row],[Ski]])</f>
        <v>4</v>
      </c>
      <c r="K33" s="66" t="b">
        <v>0</v>
      </c>
      <c r="L33" cm="1">
        <f t="array" aca="1" ref="L33" ca="1">fn_GetDaysSinceSkiMaintProc($A$2,tbl_2025_2026_Days[[#This Row],[Day]],L32,M32,1,"FT",tbl_2025_2026_Days[[#This Row],[Ski]])</f>
        <v>16</v>
      </c>
      <c r="M33" s="66" t="b">
        <v>0</v>
      </c>
      <c r="N33" cm="1">
        <f t="array" aca="1" ref="N33" ca="1">fn_GetDaysSinceSkiMaintProc($A$2,tbl_2025_2026_Days[[#This Row],[Day]],N32,O32,2,"W",tbl_2025_2026_Days[[#This Row],[Ski]])</f>
        <v>2</v>
      </c>
      <c r="O33" s="66" t="b">
        <v>0</v>
      </c>
      <c r="P33" cm="1">
        <f t="array" aca="1" ref="P33" ca="1">fn_GetDaysSinceSkiMaintProc($A$2,tbl_2025_2026_Days[[#This Row],[Day]],P32,Q32,2,"E",tbl_2025_2026_Days[[#This Row],[Ski]])</f>
        <v>0</v>
      </c>
      <c r="Q33" s="66" t="b">
        <v>0</v>
      </c>
      <c r="R33" cm="1">
        <f t="array" aca="1" ref="R33" ca="1">fn_GetDaysSinceSkiMaintProc($A$2,tbl_2025_2026_Days[[#This Row],[Day]],R32,S32,2,"FT",tbl_2025_2026_Days[[#This Row],[Ski]])</f>
        <v>4</v>
      </c>
      <c r="S33" s="66" t="b">
        <v>0</v>
      </c>
      <c r="T33" cm="1">
        <f t="array" aca="1" ref="T33" ca="1">fn_GetDaysSinceSkiMaintProc($A$2,tbl_2025_2026_Days[[#This Row],[Day]],T32,U32,3,"W",tbl_2025_2026_Days[[#This Row],[Ski]])</f>
        <v>2</v>
      </c>
      <c r="U33" s="66" t="b">
        <v>0</v>
      </c>
      <c r="V33" cm="1">
        <f t="array" aca="1" ref="V33" ca="1">fn_GetDaysSinceSkiMaintProc($A$2,tbl_2025_2026_Days[[#This Row],[Day]],V32,W32,3,"E",tbl_2025_2026_Days[[#This Row],[Ski]])</f>
        <v>0</v>
      </c>
      <c r="W33" s="66" t="b">
        <v>0</v>
      </c>
      <c r="X33" cm="1">
        <f t="array" aca="1" ref="X33" ca="1">fn_GetDaysSinceSkiMaintProc($A$2,tbl_2025_2026_Days[[#This Row],[Day]],X32,Y32,3,"FT",tbl_2025_2026_Days[[#This Row],[Ski]])</f>
        <v>5</v>
      </c>
      <c r="Y33" s="66" t="b">
        <v>0</v>
      </c>
      <c r="Z33" s="68"/>
    </row>
    <row r="34" spans="1:26" ht="14.65" customHeight="1" x14ac:dyDescent="0.4">
      <c r="A34" cm="1">
        <f t="array" ref="A34">IF(fn_IsTableCellInFirstRow($A34,tbl_2025_2026_Days[]),1,$A33+1)</f>
        <v>16</v>
      </c>
      <c r="B34" s="67">
        <v>46032</v>
      </c>
      <c r="C34" s="68" t="s">
        <v>53</v>
      </c>
      <c r="D34" cm="1">
        <f t="array" ref="D34">fn_GET_UNIQUE_VALS_RUNNING_COUNTS(tbl_2025_2026_Days[Resort Name], tbl_2025_2026_Days[[#This Row],[Resort Name]])</f>
        <v>1</v>
      </c>
      <c r="E34" s="69">
        <v>8520</v>
      </c>
      <c r="F34" s="69">
        <v>1427</v>
      </c>
      <c r="G34" s="68" t="s">
        <v>41</v>
      </c>
      <c r="H34" cm="1">
        <f t="array" aca="1" ref="H34" ca="1">fn_GetDaysSinceSkiMaintProc($A$2,tbl_2025_2026_Days[[#This Row],[Day]],H33,I33,1,"W",tbl_2025_2026_Days[[#This Row],[Ski]])</f>
        <v>5</v>
      </c>
      <c r="I34" s="66" t="b">
        <v>0</v>
      </c>
      <c r="J34" cm="1">
        <f t="array" aca="1" ref="J34" ca="1">fn_GetDaysSinceSkiMaintProc($A$2,tbl_2025_2026_Days[[#This Row],[Day]],J33,K33,1,"E",tbl_2025_2026_Days[[#This Row],[Ski]])</f>
        <v>5</v>
      </c>
      <c r="K34" s="66" t="b">
        <v>0</v>
      </c>
      <c r="L34" cm="1">
        <f t="array" aca="1" ref="L34" ca="1">fn_GetDaysSinceSkiMaintProc($A$2,tbl_2025_2026_Days[[#This Row],[Day]],L33,M33,1,"FT",tbl_2025_2026_Days[[#This Row],[Ski]])</f>
        <v>17</v>
      </c>
      <c r="M34" s="66" t="b">
        <v>0</v>
      </c>
      <c r="N34" cm="1">
        <f t="array" aca="1" ref="N34" ca="1">fn_GetDaysSinceSkiMaintProc($A$2,tbl_2025_2026_Days[[#This Row],[Day]],N33,O33,2,"W",tbl_2025_2026_Days[[#This Row],[Ski]])</f>
        <v>2</v>
      </c>
      <c r="O34" s="66" t="b">
        <v>0</v>
      </c>
      <c r="P34" cm="1">
        <f t="array" aca="1" ref="P34" ca="1">fn_GetDaysSinceSkiMaintProc($A$2,tbl_2025_2026_Days[[#This Row],[Day]],P33,Q33,2,"E",tbl_2025_2026_Days[[#This Row],[Ski]])</f>
        <v>0</v>
      </c>
      <c r="Q34" s="66" t="b">
        <v>0</v>
      </c>
      <c r="R34" cm="1">
        <f t="array" aca="1" ref="R34" ca="1">fn_GetDaysSinceSkiMaintProc($A$2,tbl_2025_2026_Days[[#This Row],[Day]],R33,S33,2,"FT",tbl_2025_2026_Days[[#This Row],[Ski]])</f>
        <v>4</v>
      </c>
      <c r="S34" s="66" t="b">
        <v>0</v>
      </c>
      <c r="T34" cm="1">
        <f t="array" aca="1" ref="T34" ca="1">fn_GetDaysSinceSkiMaintProc($A$2,tbl_2025_2026_Days[[#This Row],[Day]],T33,U33,3,"W",tbl_2025_2026_Days[[#This Row],[Ski]])</f>
        <v>2</v>
      </c>
      <c r="U34" s="66" t="b">
        <v>0</v>
      </c>
      <c r="V34" cm="1">
        <f t="array" aca="1" ref="V34" ca="1">fn_GetDaysSinceSkiMaintProc($A$2,tbl_2025_2026_Days[[#This Row],[Day]],V33,W33,3,"E",tbl_2025_2026_Days[[#This Row],[Ski]])</f>
        <v>0</v>
      </c>
      <c r="W34" s="66" t="b">
        <v>0</v>
      </c>
      <c r="X34" cm="1">
        <f t="array" aca="1" ref="X34" ca="1">fn_GetDaysSinceSkiMaintProc($A$2,tbl_2025_2026_Days[[#This Row],[Day]],X33,Y33,3,"FT",tbl_2025_2026_Days[[#This Row],[Ski]])</f>
        <v>5</v>
      </c>
      <c r="Y34" s="66" t="b">
        <v>0</v>
      </c>
      <c r="Z34" s="68"/>
    </row>
    <row r="35" spans="1:26" ht="14.65" customHeight="1" x14ac:dyDescent="0.4">
      <c r="A35" cm="1">
        <f t="array" ref="A35">IF(fn_IsTableCellInFirstRow($A35,tbl_2025_2026_Days[]),1,$A34+1)</f>
        <v>17</v>
      </c>
      <c r="B35" s="67">
        <v>46033</v>
      </c>
      <c r="C35" s="68" t="s">
        <v>53</v>
      </c>
      <c r="D35" cm="1">
        <f t="array" ref="D35">fn_GET_UNIQUE_VALS_RUNNING_COUNTS(tbl_2025_2026_Days[Resort Name], tbl_2025_2026_Days[[#This Row],[Resort Name]])</f>
        <v>2</v>
      </c>
      <c r="E35" s="69">
        <v>11905</v>
      </c>
      <c r="F35" s="69">
        <v>1927</v>
      </c>
      <c r="G35" s="68" t="s">
        <v>42</v>
      </c>
      <c r="H35" cm="1">
        <f t="array" aca="1" ref="H35" ca="1">fn_GetDaysSinceSkiMaintProc($A$2,tbl_2025_2026_Days[[#This Row],[Day]],H34,I34,1,"W",tbl_2025_2026_Days[[#This Row],[Ski]])</f>
        <v>5</v>
      </c>
      <c r="I35" s="66" t="b">
        <v>0</v>
      </c>
      <c r="J35" cm="1">
        <f t="array" aca="1" ref="J35" ca="1">fn_GetDaysSinceSkiMaintProc($A$2,tbl_2025_2026_Days[[#This Row],[Day]],J34,K34,1,"E",tbl_2025_2026_Days[[#This Row],[Ski]])</f>
        <v>5</v>
      </c>
      <c r="K35" s="66" t="b">
        <v>0</v>
      </c>
      <c r="L35" cm="1">
        <f t="array" aca="1" ref="L35" ca="1">fn_GetDaysSinceSkiMaintProc($A$2,tbl_2025_2026_Days[[#This Row],[Day]],L34,M34,1,"FT",tbl_2025_2026_Days[[#This Row],[Ski]])</f>
        <v>17</v>
      </c>
      <c r="M35" s="66" t="b">
        <v>0</v>
      </c>
      <c r="N35" cm="1">
        <f t="array" aca="1" ref="N35" ca="1">fn_GetDaysSinceSkiMaintProc($A$2,tbl_2025_2026_Days[[#This Row],[Day]],N34,O34,2,"W",tbl_2025_2026_Days[[#This Row],[Ski]])</f>
        <v>3</v>
      </c>
      <c r="O35" s="66" t="b">
        <v>0</v>
      </c>
      <c r="P35" cm="1">
        <f t="array" aca="1" ref="P35" ca="1">fn_GetDaysSinceSkiMaintProc($A$2,tbl_2025_2026_Days[[#This Row],[Day]],P34,Q34,2,"E",tbl_2025_2026_Days[[#This Row],[Ski]])</f>
        <v>1</v>
      </c>
      <c r="Q35" s="66" t="b">
        <v>0</v>
      </c>
      <c r="R35" cm="1">
        <f t="array" aca="1" ref="R35" ca="1">fn_GetDaysSinceSkiMaintProc($A$2,tbl_2025_2026_Days[[#This Row],[Day]],R34,S34,2,"FT",tbl_2025_2026_Days[[#This Row],[Ski]])</f>
        <v>5</v>
      </c>
      <c r="S35" s="66" t="b">
        <v>0</v>
      </c>
      <c r="T35" cm="1">
        <f t="array" aca="1" ref="T35" ca="1">fn_GetDaysSinceSkiMaintProc($A$2,tbl_2025_2026_Days[[#This Row],[Day]],T34,U34,3,"W",tbl_2025_2026_Days[[#This Row],[Ski]])</f>
        <v>2</v>
      </c>
      <c r="U35" s="66" t="b">
        <v>0</v>
      </c>
      <c r="V35" cm="1">
        <f t="array" aca="1" ref="V35" ca="1">fn_GetDaysSinceSkiMaintProc($A$2,tbl_2025_2026_Days[[#This Row],[Day]],V34,W34,3,"E",tbl_2025_2026_Days[[#This Row],[Ski]])</f>
        <v>0</v>
      </c>
      <c r="W35" s="66" t="b">
        <v>0</v>
      </c>
      <c r="X35" cm="1">
        <f t="array" aca="1" ref="X35" ca="1">fn_GetDaysSinceSkiMaintProc($A$2,tbl_2025_2026_Days[[#This Row],[Day]],X34,Y34,3,"FT",tbl_2025_2026_Days[[#This Row],[Ski]])</f>
        <v>5</v>
      </c>
      <c r="Y35" s="66" t="b">
        <v>0</v>
      </c>
      <c r="Z35" s="68"/>
    </row>
    <row r="36" spans="1:26" ht="14.65" customHeight="1" x14ac:dyDescent="0.4">
      <c r="A36" cm="1">
        <f t="array" ref="A36">IF(fn_IsTableCellInFirstRow($A36,tbl_2025_2026_Days[]),1,$A35+1)</f>
        <v>18</v>
      </c>
      <c r="B36" s="67">
        <v>46034</v>
      </c>
      <c r="C36" s="68" t="s">
        <v>53</v>
      </c>
      <c r="D36" cm="1">
        <f t="array" ref="D36">fn_GET_UNIQUE_VALS_RUNNING_COUNTS(tbl_2025_2026_Days[Resort Name], tbl_2025_2026_Days[[#This Row],[Resort Name]])</f>
        <v>3</v>
      </c>
      <c r="E36" s="69">
        <v>6165</v>
      </c>
      <c r="F36" s="69">
        <v>753</v>
      </c>
      <c r="G36" s="68" t="s">
        <v>42</v>
      </c>
      <c r="H36" cm="1">
        <f t="array" aca="1" ref="H36" ca="1">fn_GetDaysSinceSkiMaintProc($A$2,tbl_2025_2026_Days[[#This Row],[Day]],H35,I35,1,"W",tbl_2025_2026_Days[[#This Row],[Ski]])</f>
        <v>5</v>
      </c>
      <c r="I36" s="66" t="b">
        <v>0</v>
      </c>
      <c r="J36" cm="1">
        <f t="array" aca="1" ref="J36" ca="1">fn_GetDaysSinceSkiMaintProc($A$2,tbl_2025_2026_Days[[#This Row],[Day]],J35,K35,1,"E",tbl_2025_2026_Days[[#This Row],[Ski]])</f>
        <v>5</v>
      </c>
      <c r="K36" s="66" t="b">
        <v>0</v>
      </c>
      <c r="L36" cm="1">
        <f t="array" aca="1" ref="L36" ca="1">fn_GetDaysSinceSkiMaintProc($A$2,tbl_2025_2026_Days[[#This Row],[Day]],L35,M35,1,"FT",tbl_2025_2026_Days[[#This Row],[Ski]])</f>
        <v>17</v>
      </c>
      <c r="M36" s="66" t="b">
        <v>0</v>
      </c>
      <c r="N36" cm="1">
        <f t="array" aca="1" ref="N36" ca="1">fn_GetDaysSinceSkiMaintProc($A$2,tbl_2025_2026_Days[[#This Row],[Day]],N35,O35,2,"W",tbl_2025_2026_Days[[#This Row],[Ski]])</f>
        <v>4</v>
      </c>
      <c r="O36" s="66" t="b">
        <v>0</v>
      </c>
      <c r="P36" cm="1">
        <f t="array" aca="1" ref="P36" ca="1">fn_GetDaysSinceSkiMaintProc($A$2,tbl_2025_2026_Days[[#This Row],[Day]],P35,Q35,2,"E",tbl_2025_2026_Days[[#This Row],[Ski]])</f>
        <v>2</v>
      </c>
      <c r="Q36" s="66" t="b">
        <v>0</v>
      </c>
      <c r="R36" cm="1">
        <f t="array" aca="1" ref="R36" ca="1">fn_GetDaysSinceSkiMaintProc($A$2,tbl_2025_2026_Days[[#This Row],[Day]],R35,S35,2,"FT",tbl_2025_2026_Days[[#This Row],[Ski]])</f>
        <v>6</v>
      </c>
      <c r="S36" s="66" t="b">
        <v>0</v>
      </c>
      <c r="T36" cm="1">
        <f t="array" aca="1" ref="T36" ca="1">fn_GetDaysSinceSkiMaintProc($A$2,tbl_2025_2026_Days[[#This Row],[Day]],T35,U35,3,"W",tbl_2025_2026_Days[[#This Row],[Ski]])</f>
        <v>2</v>
      </c>
      <c r="U36" s="66" t="b">
        <v>0</v>
      </c>
      <c r="V36" cm="1">
        <f t="array" aca="1" ref="V36" ca="1">fn_GetDaysSinceSkiMaintProc($A$2,tbl_2025_2026_Days[[#This Row],[Day]],V35,W35,3,"E",tbl_2025_2026_Days[[#This Row],[Ski]])</f>
        <v>0</v>
      </c>
      <c r="W36" s="66" t="b">
        <v>0</v>
      </c>
      <c r="X36" cm="1">
        <f t="array" aca="1" ref="X36" ca="1">fn_GetDaysSinceSkiMaintProc($A$2,tbl_2025_2026_Days[[#This Row],[Day]],X35,Y35,3,"FT",tbl_2025_2026_Days[[#This Row],[Ski]])</f>
        <v>5</v>
      </c>
      <c r="Y36" s="66" t="b">
        <v>0</v>
      </c>
      <c r="Z36" s="68"/>
    </row>
    <row r="37" spans="1:26" ht="14.65" customHeight="1" x14ac:dyDescent="0.4">
      <c r="A37" cm="1">
        <f t="array" ref="A37">IF(fn_IsTableCellInFirstRow($A37,tbl_2025_2026_Days[]),1,$A36+1)</f>
        <v>19</v>
      </c>
      <c r="B37" s="67">
        <v>46035</v>
      </c>
      <c r="C37" s="68" t="s">
        <v>53</v>
      </c>
      <c r="D37" cm="1">
        <f t="array" ref="D37">fn_GET_UNIQUE_VALS_RUNNING_COUNTS(tbl_2025_2026_Days[Resort Name], tbl_2025_2026_Days[[#This Row],[Resort Name]])</f>
        <v>4</v>
      </c>
      <c r="E37" s="69">
        <v>9835</v>
      </c>
      <c r="F37" s="69">
        <v>1061</v>
      </c>
      <c r="G37" s="68" t="s">
        <v>42</v>
      </c>
      <c r="H37" cm="1">
        <f t="array" aca="1" ref="H37" ca="1">fn_GetDaysSinceSkiMaintProc($A$2,tbl_2025_2026_Days[[#This Row],[Day]],H36,I36,1,"W",tbl_2025_2026_Days[[#This Row],[Ski]])</f>
        <v>5</v>
      </c>
      <c r="I37" s="66" t="b">
        <v>1</v>
      </c>
      <c r="J37" cm="1">
        <f t="array" aca="1" ref="J37" ca="1">fn_GetDaysSinceSkiMaintProc($A$2,tbl_2025_2026_Days[[#This Row],[Day]],J36,K36,1,"E",tbl_2025_2026_Days[[#This Row],[Ski]])</f>
        <v>5</v>
      </c>
      <c r="K37" s="66" t="b">
        <v>1</v>
      </c>
      <c r="L37" cm="1">
        <f t="array" aca="1" ref="L37" ca="1">fn_GetDaysSinceSkiMaintProc($A$2,tbl_2025_2026_Days[[#This Row],[Day]],L36,M36,1,"FT",tbl_2025_2026_Days[[#This Row],[Ski]])</f>
        <v>17</v>
      </c>
      <c r="M37" s="66" t="b">
        <v>0</v>
      </c>
      <c r="N37" cm="1">
        <f t="array" aca="1" ref="N37" ca="1">fn_GetDaysSinceSkiMaintProc($A$2,tbl_2025_2026_Days[[#This Row],[Day]],N36,O36,2,"W",tbl_2025_2026_Days[[#This Row],[Ski]])</f>
        <v>5</v>
      </c>
      <c r="O37" s="66" t="b">
        <v>1</v>
      </c>
      <c r="P37" cm="1">
        <f t="array" aca="1" ref="P37" ca="1">fn_GetDaysSinceSkiMaintProc($A$2,tbl_2025_2026_Days[[#This Row],[Day]],P36,Q36,2,"E",tbl_2025_2026_Days[[#This Row],[Ski]])</f>
        <v>3</v>
      </c>
      <c r="Q37" s="66" t="b">
        <v>1</v>
      </c>
      <c r="R37" cm="1">
        <f t="array" aca="1" ref="R37" ca="1">fn_GetDaysSinceSkiMaintProc($A$2,tbl_2025_2026_Days[[#This Row],[Day]],R36,S36,2,"FT",tbl_2025_2026_Days[[#This Row],[Ski]])</f>
        <v>7</v>
      </c>
      <c r="S37" s="66" t="b">
        <v>0</v>
      </c>
      <c r="T37" cm="1">
        <f t="array" aca="1" ref="T37" ca="1">fn_GetDaysSinceSkiMaintProc($A$2,tbl_2025_2026_Days[[#This Row],[Day]],T36,U36,3,"W",tbl_2025_2026_Days[[#This Row],[Ski]])</f>
        <v>2</v>
      </c>
      <c r="U37" s="66" t="b">
        <v>0</v>
      </c>
      <c r="V37" cm="1">
        <f t="array" aca="1" ref="V37" ca="1">fn_GetDaysSinceSkiMaintProc($A$2,tbl_2025_2026_Days[[#This Row],[Day]],V36,W36,3,"E",tbl_2025_2026_Days[[#This Row],[Ski]])</f>
        <v>0</v>
      </c>
      <c r="W37" s="66" t="b">
        <v>0</v>
      </c>
      <c r="X37" cm="1">
        <f t="array" aca="1" ref="X37" ca="1">fn_GetDaysSinceSkiMaintProc($A$2,tbl_2025_2026_Days[[#This Row],[Day]],X36,Y36,3,"FT",tbl_2025_2026_Days[[#This Row],[Ski]])</f>
        <v>5</v>
      </c>
      <c r="Y37" s="66" t="b">
        <v>0</v>
      </c>
      <c r="Z37" s="68"/>
    </row>
    <row r="38" spans="1:26" ht="14.65" customHeight="1" x14ac:dyDescent="0.4">
      <c r="A38" cm="1">
        <f t="array" ref="A38">IF(fn_IsTableCellInFirstRow($A38,tbl_2025_2026_Days[]),1,$A37+1)</f>
        <v>20</v>
      </c>
      <c r="B38" s="67">
        <v>46036</v>
      </c>
      <c r="C38" s="68" t="s">
        <v>53</v>
      </c>
      <c r="D38" cm="1">
        <f t="array" ref="D38">fn_GET_UNIQUE_VALS_RUNNING_COUNTS(tbl_2025_2026_Days[Resort Name], tbl_2025_2026_Days[[#This Row],[Resort Name]])</f>
        <v>5</v>
      </c>
      <c r="E38" s="69">
        <v>16355</v>
      </c>
      <c r="F38" s="69">
        <v>1665</v>
      </c>
      <c r="G38" s="68" t="s">
        <v>42</v>
      </c>
      <c r="H38" cm="1">
        <f t="array" aca="1" ref="H38" ca="1">fn_GetDaysSinceSkiMaintProc($A$2,tbl_2025_2026_Days[[#This Row],[Day]],H37,I37,1,"W",tbl_2025_2026_Days[[#This Row],[Ski]])</f>
        <v>0</v>
      </c>
      <c r="I38" s="66" t="b">
        <v>0</v>
      </c>
      <c r="J38" cm="1">
        <f t="array" aca="1" ref="J38" ca="1">fn_GetDaysSinceSkiMaintProc($A$2,tbl_2025_2026_Days[[#This Row],[Day]],J37,K37,1,"E",tbl_2025_2026_Days[[#This Row],[Ski]])</f>
        <v>0</v>
      </c>
      <c r="K38" s="66" t="b">
        <v>0</v>
      </c>
      <c r="L38" cm="1">
        <f t="array" aca="1" ref="L38" ca="1">fn_GetDaysSinceSkiMaintProc($A$2,tbl_2025_2026_Days[[#This Row],[Day]],L37,M37,1,"FT",tbl_2025_2026_Days[[#This Row],[Ski]])</f>
        <v>17</v>
      </c>
      <c r="M38" s="66" t="b">
        <v>0</v>
      </c>
      <c r="N38" cm="1">
        <f t="array" aca="1" ref="N38" ca="1">fn_GetDaysSinceSkiMaintProc($A$2,tbl_2025_2026_Days[[#This Row],[Day]],N37,O37,2,"W",tbl_2025_2026_Days[[#This Row],[Ski]])</f>
        <v>1</v>
      </c>
      <c r="O38" s="66" t="b">
        <v>0</v>
      </c>
      <c r="P38" cm="1">
        <f t="array" aca="1" ref="P38" ca="1">fn_GetDaysSinceSkiMaintProc($A$2,tbl_2025_2026_Days[[#This Row],[Day]],P37,Q37,2,"E",tbl_2025_2026_Days[[#This Row],[Ski]])</f>
        <v>1</v>
      </c>
      <c r="Q38" s="66" t="b">
        <v>0</v>
      </c>
      <c r="R38" cm="1">
        <f t="array" aca="1" ref="R38" ca="1">fn_GetDaysSinceSkiMaintProc($A$2,tbl_2025_2026_Days[[#This Row],[Day]],R37,S37,2,"FT",tbl_2025_2026_Days[[#This Row],[Ski]])</f>
        <v>8</v>
      </c>
      <c r="S38" s="66" t="b">
        <v>0</v>
      </c>
      <c r="T38" cm="1">
        <f t="array" aca="1" ref="T38" ca="1">fn_GetDaysSinceSkiMaintProc($A$2,tbl_2025_2026_Days[[#This Row],[Day]],T37,U37,3,"W",tbl_2025_2026_Days[[#This Row],[Ski]])</f>
        <v>2</v>
      </c>
      <c r="U38" s="66" t="b">
        <v>0</v>
      </c>
      <c r="V38" cm="1">
        <f t="array" aca="1" ref="V38" ca="1">fn_GetDaysSinceSkiMaintProc($A$2,tbl_2025_2026_Days[[#This Row],[Day]],V37,W37,3,"E",tbl_2025_2026_Days[[#This Row],[Ski]])</f>
        <v>0</v>
      </c>
      <c r="W38" s="66" t="b">
        <v>0</v>
      </c>
      <c r="X38" cm="1">
        <f t="array" aca="1" ref="X38" ca="1">fn_GetDaysSinceSkiMaintProc($A$2,tbl_2025_2026_Days[[#This Row],[Day]],X37,Y37,3,"FT",tbl_2025_2026_Days[[#This Row],[Ski]])</f>
        <v>5</v>
      </c>
      <c r="Y38" s="66" t="b">
        <v>0</v>
      </c>
      <c r="Z38" s="68"/>
    </row>
    <row r="39" spans="1:26" ht="14.65" customHeight="1" x14ac:dyDescent="0.4">
      <c r="A39" cm="1">
        <f t="array" ref="A39">IF(fn_IsTableCellInFirstRow($A39,tbl_2025_2026_Days[]),1,$A38+1)</f>
        <v>21</v>
      </c>
      <c r="B39" s="67">
        <v>46038</v>
      </c>
      <c r="C39" s="68" t="s">
        <v>38</v>
      </c>
      <c r="D39" cm="1">
        <f t="array" ref="D39">fn_GET_UNIQUE_VALS_RUNNING_COUNTS(tbl_2025_2026_Days[Resort Name], tbl_2025_2026_Days[[#This Row],[Resort Name]])</f>
        <v>1</v>
      </c>
      <c r="E39" s="69">
        <v>4380</v>
      </c>
      <c r="F39" s="69">
        <v>470</v>
      </c>
      <c r="G39" s="68" t="s">
        <v>42</v>
      </c>
      <c r="H39" cm="1">
        <f t="array" aca="1" ref="H39" ca="1">fn_GetDaysSinceSkiMaintProc($A$2,tbl_2025_2026_Days[[#This Row],[Day]],H38,I38,1,"W",tbl_2025_2026_Days[[#This Row],[Ski]])</f>
        <v>0</v>
      </c>
      <c r="I39" s="66" t="b">
        <v>0</v>
      </c>
      <c r="J39" cm="1">
        <f t="array" aca="1" ref="J39" ca="1">fn_GetDaysSinceSkiMaintProc($A$2,tbl_2025_2026_Days[[#This Row],[Day]],J38,K38,1,"E",tbl_2025_2026_Days[[#This Row],[Ski]])</f>
        <v>0</v>
      </c>
      <c r="K39" s="66" t="b">
        <v>0</v>
      </c>
      <c r="L39" cm="1">
        <f t="array" aca="1" ref="L39" ca="1">fn_GetDaysSinceSkiMaintProc($A$2,tbl_2025_2026_Days[[#This Row],[Day]],L38,M38,1,"FT",tbl_2025_2026_Days[[#This Row],[Ski]])</f>
        <v>17</v>
      </c>
      <c r="M39" s="66" t="b">
        <v>0</v>
      </c>
      <c r="N39" cm="1">
        <f t="array" aca="1" ref="N39" ca="1">fn_GetDaysSinceSkiMaintProc($A$2,tbl_2025_2026_Days[[#This Row],[Day]],N38,O38,2,"W",tbl_2025_2026_Days[[#This Row],[Ski]])</f>
        <v>2</v>
      </c>
      <c r="O39" s="66" t="b">
        <v>0</v>
      </c>
      <c r="P39" cm="1">
        <f t="array" aca="1" ref="P39" ca="1">fn_GetDaysSinceSkiMaintProc($A$2,tbl_2025_2026_Days[[#This Row],[Day]],P38,Q38,2,"E",tbl_2025_2026_Days[[#This Row],[Ski]])</f>
        <v>2</v>
      </c>
      <c r="Q39" s="66" t="b">
        <v>0</v>
      </c>
      <c r="R39" cm="1">
        <f t="array" aca="1" ref="R39" ca="1">fn_GetDaysSinceSkiMaintProc($A$2,tbl_2025_2026_Days[[#This Row],[Day]],R38,S38,2,"FT",tbl_2025_2026_Days[[#This Row],[Ski]])</f>
        <v>9</v>
      </c>
      <c r="S39" s="66" t="b">
        <v>0</v>
      </c>
      <c r="T39" cm="1">
        <f t="array" aca="1" ref="T39" ca="1">fn_GetDaysSinceSkiMaintProc($A$2,tbl_2025_2026_Days[[#This Row],[Day]],T38,U38,3,"W",tbl_2025_2026_Days[[#This Row],[Ski]])</f>
        <v>2</v>
      </c>
      <c r="U39" s="66" t="b">
        <v>0</v>
      </c>
      <c r="V39" cm="1">
        <f t="array" aca="1" ref="V39" ca="1">fn_GetDaysSinceSkiMaintProc($A$2,tbl_2025_2026_Days[[#This Row],[Day]],V38,W38,3,"E",tbl_2025_2026_Days[[#This Row],[Ski]])</f>
        <v>0</v>
      </c>
      <c r="W39" s="66" t="b">
        <v>0</v>
      </c>
      <c r="X39" cm="1">
        <f t="array" aca="1" ref="X39" ca="1">fn_GetDaysSinceSkiMaintProc($A$2,tbl_2025_2026_Days[[#This Row],[Day]],X38,Y38,3,"FT",tbl_2025_2026_Days[[#This Row],[Ski]])</f>
        <v>5</v>
      </c>
      <c r="Y39" s="66" t="b">
        <v>0</v>
      </c>
      <c r="Z39" s="68"/>
    </row>
    <row r="40" spans="1:26" ht="14.65" customHeight="1" x14ac:dyDescent="0.4">
      <c r="A40" cm="1">
        <f t="array" ref="A40">IF(fn_IsTableCellInFirstRow($A40,tbl_2025_2026_Days[]),1,$A39+1)</f>
        <v>22</v>
      </c>
      <c r="B40" s="67">
        <v>46039</v>
      </c>
      <c r="C40" s="68" t="s">
        <v>11</v>
      </c>
      <c r="D40" cm="1">
        <f t="array" ref="D40">fn_GET_UNIQUE_VALS_RUNNING_COUNTS(tbl_2025_2026_Days[Resort Name], tbl_2025_2026_Days[[#This Row],[Resort Name]])</f>
        <v>1</v>
      </c>
      <c r="E40" s="69">
        <v>7340</v>
      </c>
      <c r="F40" s="69">
        <v>1230</v>
      </c>
      <c r="G40" s="68" t="s">
        <v>42</v>
      </c>
      <c r="H40" cm="1">
        <f t="array" aca="1" ref="H40" ca="1">fn_GetDaysSinceSkiMaintProc($A$2,tbl_2025_2026_Days[[#This Row],[Day]],H39,I39,1,"W",tbl_2025_2026_Days[[#This Row],[Ski]])</f>
        <v>0</v>
      </c>
      <c r="I40" s="66" t="b">
        <v>0</v>
      </c>
      <c r="J40" cm="1">
        <f t="array" aca="1" ref="J40" ca="1">fn_GetDaysSinceSkiMaintProc($A$2,tbl_2025_2026_Days[[#This Row],[Day]],J39,K39,1,"E",tbl_2025_2026_Days[[#This Row],[Ski]])</f>
        <v>0</v>
      </c>
      <c r="K40" s="66" t="b">
        <v>0</v>
      </c>
      <c r="L40" cm="1">
        <f t="array" aca="1" ref="L40" ca="1">fn_GetDaysSinceSkiMaintProc($A$2,tbl_2025_2026_Days[[#This Row],[Day]],L39,M39,1,"FT",tbl_2025_2026_Days[[#This Row],[Ski]])</f>
        <v>17</v>
      </c>
      <c r="M40" s="66" t="b">
        <v>0</v>
      </c>
      <c r="N40" cm="1">
        <f t="array" aca="1" ref="N40" ca="1">fn_GetDaysSinceSkiMaintProc($A$2,tbl_2025_2026_Days[[#This Row],[Day]],N39,O39,2,"W",tbl_2025_2026_Days[[#This Row],[Ski]])</f>
        <v>3</v>
      </c>
      <c r="O40" s="66" t="b">
        <v>0</v>
      </c>
      <c r="P40" cm="1">
        <f t="array" aca="1" ref="P40" ca="1">fn_GetDaysSinceSkiMaintProc($A$2,tbl_2025_2026_Days[[#This Row],[Day]],P39,Q39,2,"E",tbl_2025_2026_Days[[#This Row],[Ski]])</f>
        <v>3</v>
      </c>
      <c r="Q40" s="66" t="b">
        <v>0</v>
      </c>
      <c r="R40" cm="1">
        <f t="array" aca="1" ref="R40" ca="1">fn_GetDaysSinceSkiMaintProc($A$2,tbl_2025_2026_Days[[#This Row],[Day]],R39,S39,2,"FT",tbl_2025_2026_Days[[#This Row],[Ski]])</f>
        <v>10</v>
      </c>
      <c r="S40" s="66" t="b">
        <v>0</v>
      </c>
      <c r="T40" cm="1">
        <f t="array" aca="1" ref="T40" ca="1">fn_GetDaysSinceSkiMaintProc($A$2,tbl_2025_2026_Days[[#This Row],[Day]],T39,U39,3,"W",tbl_2025_2026_Days[[#This Row],[Ski]])</f>
        <v>2</v>
      </c>
      <c r="U40" s="66" t="b">
        <v>0</v>
      </c>
      <c r="V40" cm="1">
        <f t="array" aca="1" ref="V40" ca="1">fn_GetDaysSinceSkiMaintProc($A$2,tbl_2025_2026_Days[[#This Row],[Day]],V39,W39,3,"E",tbl_2025_2026_Days[[#This Row],[Ski]])</f>
        <v>0</v>
      </c>
      <c r="W40" s="66" t="b">
        <v>0</v>
      </c>
      <c r="X40" cm="1">
        <f t="array" aca="1" ref="X40" ca="1">fn_GetDaysSinceSkiMaintProc($A$2,tbl_2025_2026_Days[[#This Row],[Day]],X39,Y39,3,"FT",tbl_2025_2026_Days[[#This Row],[Ski]])</f>
        <v>5</v>
      </c>
      <c r="Y40" s="66" t="b">
        <v>0</v>
      </c>
      <c r="Z40" s="68"/>
    </row>
    <row r="41" spans="1:26" ht="14.65" customHeight="1" x14ac:dyDescent="0.4">
      <c r="A41" cm="1">
        <f t="array" ref="A41">IF(fn_IsTableCellInFirstRow($A41,tbl_2025_2026_Days[]),1,$A40+1)</f>
        <v>23</v>
      </c>
      <c r="B41" s="67">
        <v>46041</v>
      </c>
      <c r="C41" s="68" t="s">
        <v>54</v>
      </c>
      <c r="D41" cm="1">
        <f t="array" ref="D41">fn_GET_UNIQUE_VALS_RUNNING_COUNTS(tbl_2025_2026_Days[Resort Name], tbl_2025_2026_Days[[#This Row],[Resort Name]])</f>
        <v>1</v>
      </c>
      <c r="E41" s="69">
        <v>9935</v>
      </c>
      <c r="F41" s="69">
        <v>1442</v>
      </c>
      <c r="G41" s="68" t="s">
        <v>42</v>
      </c>
      <c r="H41" cm="1">
        <f t="array" aca="1" ref="H41" ca="1">fn_GetDaysSinceSkiMaintProc($A$2,tbl_2025_2026_Days[[#This Row],[Day]],H40,I40,1,"W",tbl_2025_2026_Days[[#This Row],[Ski]])</f>
        <v>0</v>
      </c>
      <c r="I41" s="66" t="b">
        <v>0</v>
      </c>
      <c r="J41" cm="1">
        <f t="array" aca="1" ref="J41" ca="1">fn_GetDaysSinceSkiMaintProc($A$2,tbl_2025_2026_Days[[#This Row],[Day]],J40,K40,1,"E",tbl_2025_2026_Days[[#This Row],[Ski]])</f>
        <v>0</v>
      </c>
      <c r="K41" s="66" t="b">
        <v>0</v>
      </c>
      <c r="L41" cm="1">
        <f t="array" aca="1" ref="L41" ca="1">fn_GetDaysSinceSkiMaintProc($A$2,tbl_2025_2026_Days[[#This Row],[Day]],L40,M40,1,"FT",tbl_2025_2026_Days[[#This Row],[Ski]])</f>
        <v>17</v>
      </c>
      <c r="M41" s="66" t="b">
        <v>0</v>
      </c>
      <c r="N41" cm="1">
        <f t="array" aca="1" ref="N41" ca="1">fn_GetDaysSinceSkiMaintProc($A$2,tbl_2025_2026_Days[[#This Row],[Day]],N40,O40,2,"W",tbl_2025_2026_Days[[#This Row],[Ski]])</f>
        <v>4</v>
      </c>
      <c r="O41" s="66" t="b">
        <v>0</v>
      </c>
      <c r="P41" cm="1">
        <f t="array" aca="1" ref="P41" ca="1">fn_GetDaysSinceSkiMaintProc($A$2,tbl_2025_2026_Days[[#This Row],[Day]],P40,Q40,2,"E",tbl_2025_2026_Days[[#This Row],[Ski]])</f>
        <v>4</v>
      </c>
      <c r="Q41" s="66" t="b">
        <v>0</v>
      </c>
      <c r="R41" cm="1">
        <f t="array" aca="1" ref="R41" ca="1">fn_GetDaysSinceSkiMaintProc($A$2,tbl_2025_2026_Days[[#This Row],[Day]],R40,S40,2,"FT",tbl_2025_2026_Days[[#This Row],[Ski]])</f>
        <v>11</v>
      </c>
      <c r="S41" s="66" t="b">
        <v>0</v>
      </c>
      <c r="T41" cm="1">
        <f t="array" aca="1" ref="T41" ca="1">fn_GetDaysSinceSkiMaintProc($A$2,tbl_2025_2026_Days[[#This Row],[Day]],T40,U40,3,"W",tbl_2025_2026_Days[[#This Row],[Ski]])</f>
        <v>2</v>
      </c>
      <c r="U41" s="66" t="b">
        <v>0</v>
      </c>
      <c r="V41" cm="1">
        <f t="array" aca="1" ref="V41" ca="1">fn_GetDaysSinceSkiMaintProc($A$2,tbl_2025_2026_Days[[#This Row],[Day]],V40,W40,3,"E",tbl_2025_2026_Days[[#This Row],[Ski]])</f>
        <v>0</v>
      </c>
      <c r="W41" s="66" t="b">
        <v>0</v>
      </c>
      <c r="X41" cm="1">
        <f t="array" aca="1" ref="X41" ca="1">fn_GetDaysSinceSkiMaintProc($A$2,tbl_2025_2026_Days[[#This Row],[Day]],X40,Y40,3,"FT",tbl_2025_2026_Days[[#This Row],[Ski]])</f>
        <v>5</v>
      </c>
      <c r="Y41" s="66" t="b">
        <v>0</v>
      </c>
      <c r="Z41" s="78"/>
    </row>
    <row r="42" spans="1:26" ht="14.65" customHeight="1" x14ac:dyDescent="0.4">
      <c r="A42" cm="1">
        <f t="array" ref="A42">IF(fn_IsTableCellInFirstRow($A42,tbl_2025_2026_Days[]),1,$A41+1)</f>
        <v>24</v>
      </c>
      <c r="B42" s="67">
        <v>46042</v>
      </c>
      <c r="C42" s="68" t="s">
        <v>8</v>
      </c>
      <c r="D42" cm="1">
        <f t="array" ref="D42">fn_GET_UNIQUE_VALS_RUNNING_COUNTS(tbl_2025_2026_Days[Resort Name], tbl_2025_2026_Days[[#This Row],[Resort Name]])</f>
        <v>1</v>
      </c>
      <c r="E42" s="69">
        <v>7085</v>
      </c>
      <c r="F42" s="69">
        <v>1366</v>
      </c>
      <c r="G42" s="68" t="s">
        <v>42</v>
      </c>
      <c r="H42" cm="1">
        <f t="array" aca="1" ref="H42" ca="1">fn_GetDaysSinceSkiMaintProc($A$2,tbl_2025_2026_Days[[#This Row],[Day]],H41,I41,1,"W",tbl_2025_2026_Days[[#This Row],[Ski]])</f>
        <v>0</v>
      </c>
      <c r="I42" s="66" t="b">
        <v>0</v>
      </c>
      <c r="J42" cm="1">
        <f t="array" aca="1" ref="J42" ca="1">fn_GetDaysSinceSkiMaintProc($A$2,tbl_2025_2026_Days[[#This Row],[Day]],J41,K41,1,"E",tbl_2025_2026_Days[[#This Row],[Ski]])</f>
        <v>0</v>
      </c>
      <c r="K42" s="66" t="b">
        <v>0</v>
      </c>
      <c r="L42" cm="1">
        <f t="array" aca="1" ref="L42" ca="1">fn_GetDaysSinceSkiMaintProc($A$2,tbl_2025_2026_Days[[#This Row],[Day]],L41,M41,1,"FT",tbl_2025_2026_Days[[#This Row],[Ski]])</f>
        <v>17</v>
      </c>
      <c r="M42" s="66" t="b">
        <v>0</v>
      </c>
      <c r="N42" cm="1">
        <f t="array" aca="1" ref="N42" ca="1">fn_GetDaysSinceSkiMaintProc($A$2,tbl_2025_2026_Days[[#This Row],[Day]],N41,O41,2,"W",tbl_2025_2026_Days[[#This Row],[Ski]])</f>
        <v>5</v>
      </c>
      <c r="O42" s="66" t="b">
        <v>0</v>
      </c>
      <c r="P42" cm="1">
        <f t="array" aca="1" ref="P42" ca="1">fn_GetDaysSinceSkiMaintProc($A$2,tbl_2025_2026_Days[[#This Row],[Day]],P41,Q41,2,"E",tbl_2025_2026_Days[[#This Row],[Ski]])</f>
        <v>5</v>
      </c>
      <c r="Q42" s="66" t="b">
        <v>0</v>
      </c>
      <c r="R42" cm="1">
        <f t="array" aca="1" ref="R42" ca="1">fn_GetDaysSinceSkiMaintProc($A$2,tbl_2025_2026_Days[[#This Row],[Day]],R41,S41,2,"FT",tbl_2025_2026_Days[[#This Row],[Ski]])</f>
        <v>12</v>
      </c>
      <c r="S42" s="66" t="b">
        <v>0</v>
      </c>
      <c r="T42" cm="1">
        <f t="array" aca="1" ref="T42" ca="1">fn_GetDaysSinceSkiMaintProc($A$2,tbl_2025_2026_Days[[#This Row],[Day]],T41,U41,3,"W",tbl_2025_2026_Days[[#This Row],[Ski]])</f>
        <v>2</v>
      </c>
      <c r="U42" s="66" t="b">
        <v>0</v>
      </c>
      <c r="V42" cm="1">
        <f t="array" aca="1" ref="V42" ca="1">fn_GetDaysSinceSkiMaintProc($A$2,tbl_2025_2026_Days[[#This Row],[Day]],V41,W41,3,"E",tbl_2025_2026_Days[[#This Row],[Ski]])</f>
        <v>0</v>
      </c>
      <c r="W42" s="66" t="b">
        <v>0</v>
      </c>
      <c r="X42" cm="1">
        <f t="array" aca="1" ref="X42" ca="1">fn_GetDaysSinceSkiMaintProc($A$2,tbl_2025_2026_Days[[#This Row],[Day]],X41,Y41,3,"FT",tbl_2025_2026_Days[[#This Row],[Ski]])</f>
        <v>5</v>
      </c>
      <c r="Y42" s="66" t="b">
        <v>0</v>
      </c>
      <c r="Z42" s="68"/>
    </row>
    <row r="43" spans="1:26" ht="14.65" customHeight="1" x14ac:dyDescent="0.4">
      <c r="A43" cm="1">
        <f t="array" ref="A43">IF(fn_IsTableCellInFirstRow($A43,tbl_2025_2026_Days[]),1,$A42+1)</f>
        <v>25</v>
      </c>
      <c r="B43" s="67">
        <v>46043</v>
      </c>
      <c r="C43" s="68" t="s">
        <v>38</v>
      </c>
      <c r="D43" cm="1">
        <f t="array" ref="D43">fn_GET_UNIQUE_VALS_RUNNING_COUNTS(tbl_2025_2026_Days[Resort Name], tbl_2025_2026_Days[[#This Row],[Resort Name]])</f>
        <v>2</v>
      </c>
      <c r="E43" s="69"/>
      <c r="F43" s="69"/>
      <c r="G43" s="68" t="s">
        <v>42</v>
      </c>
      <c r="H43" cm="1">
        <f t="array" aca="1" ref="H43" ca="1">fn_GetDaysSinceSkiMaintProc($A$2,tbl_2025_2026_Days[[#This Row],[Day]],H42,I42,1,"W",tbl_2025_2026_Days[[#This Row],[Ski]])</f>
        <v>0</v>
      </c>
      <c r="I43" s="66" t="b">
        <v>0</v>
      </c>
      <c r="J43" cm="1">
        <f t="array" aca="1" ref="J43" ca="1">fn_GetDaysSinceSkiMaintProc($A$2,tbl_2025_2026_Days[[#This Row],[Day]],J42,K42,1,"E",tbl_2025_2026_Days[[#This Row],[Ski]])</f>
        <v>0</v>
      </c>
      <c r="K43" s="66" t="b">
        <v>0</v>
      </c>
      <c r="L43" cm="1">
        <f t="array" aca="1" ref="L43" ca="1">fn_GetDaysSinceSkiMaintProc($A$2,tbl_2025_2026_Days[[#This Row],[Day]],L42,M42,1,"FT",tbl_2025_2026_Days[[#This Row],[Ski]])</f>
        <v>17</v>
      </c>
      <c r="M43" s="66" t="b">
        <v>0</v>
      </c>
      <c r="N43" cm="1">
        <f t="array" aca="1" ref="N43" ca="1">fn_GetDaysSinceSkiMaintProc($A$2,tbl_2025_2026_Days[[#This Row],[Day]],N42,O42,2,"W",tbl_2025_2026_Days[[#This Row],[Ski]])</f>
        <v>6</v>
      </c>
      <c r="O43" s="66" t="b">
        <v>1</v>
      </c>
      <c r="P43" cm="1">
        <f t="array" aca="1" ref="P43" ca="1">fn_GetDaysSinceSkiMaintProc($A$2,tbl_2025_2026_Days[[#This Row],[Day]],P42,Q42,2,"E",tbl_2025_2026_Days[[#This Row],[Ski]])</f>
        <v>6</v>
      </c>
      <c r="Q43" s="66" t="b">
        <v>1</v>
      </c>
      <c r="R43" cm="1">
        <f t="array" aca="1" ref="R43" ca="1">fn_GetDaysSinceSkiMaintProc($A$2,tbl_2025_2026_Days[[#This Row],[Day]],R42,S42,2,"FT",tbl_2025_2026_Days[[#This Row],[Ski]])</f>
        <v>13</v>
      </c>
      <c r="S43" s="66" t="b">
        <v>0</v>
      </c>
      <c r="T43" cm="1">
        <f t="array" aca="1" ref="T43" ca="1">fn_GetDaysSinceSkiMaintProc($A$2,tbl_2025_2026_Days[[#This Row],[Day]],T42,U42,3,"W",tbl_2025_2026_Days[[#This Row],[Ski]])</f>
        <v>2</v>
      </c>
      <c r="U43" s="66" t="b">
        <v>0</v>
      </c>
      <c r="V43" cm="1">
        <f t="array" aca="1" ref="V43" ca="1">fn_GetDaysSinceSkiMaintProc($A$2,tbl_2025_2026_Days[[#This Row],[Day]],V42,W42,3,"E",tbl_2025_2026_Days[[#This Row],[Ski]])</f>
        <v>0</v>
      </c>
      <c r="W43" s="66" t="b">
        <v>0</v>
      </c>
      <c r="X43" cm="1">
        <f t="array" aca="1" ref="X43" ca="1">fn_GetDaysSinceSkiMaintProc($A$2,tbl_2025_2026_Days[[#This Row],[Day]],X42,Y42,3,"FT",tbl_2025_2026_Days[[#This Row],[Ski]])</f>
        <v>5</v>
      </c>
      <c r="Y43" s="66" t="b">
        <v>0</v>
      </c>
      <c r="Z43" s="68"/>
    </row>
    <row r="44" spans="1:26" ht="14.65" customHeight="1" x14ac:dyDescent="0.4">
      <c r="A44" cm="1">
        <f t="array" ref="A44">IF(fn_IsTableCellInFirstRow($A44,tbl_2025_2026_Days[]),1,$A43+1)</f>
        <v>26</v>
      </c>
      <c r="B44" s="67">
        <v>46044</v>
      </c>
      <c r="C44" s="68" t="s">
        <v>38</v>
      </c>
      <c r="D44" cm="1">
        <f t="array" ref="D44">fn_GET_UNIQUE_VALS_RUNNING_COUNTS(tbl_2025_2026_Days[Resort Name], tbl_2025_2026_Days[[#This Row],[Resort Name]])</f>
        <v>3</v>
      </c>
      <c r="E44" s="69">
        <v>5095</v>
      </c>
      <c r="F44" s="69">
        <v>804</v>
      </c>
      <c r="G44" s="68" t="s">
        <v>42</v>
      </c>
      <c r="H44" cm="1">
        <f t="array" aca="1" ref="H44" ca="1">fn_GetDaysSinceSkiMaintProc($A$2,tbl_2025_2026_Days[[#This Row],[Day]],H43,I43,1,"W",tbl_2025_2026_Days[[#This Row],[Ski]])</f>
        <v>0</v>
      </c>
      <c r="I44" s="66" t="b">
        <v>0</v>
      </c>
      <c r="J44" cm="1">
        <f t="array" aca="1" ref="J44" ca="1">fn_GetDaysSinceSkiMaintProc($A$2,tbl_2025_2026_Days[[#This Row],[Day]],J43,K43,1,"E",tbl_2025_2026_Days[[#This Row],[Ski]])</f>
        <v>0</v>
      </c>
      <c r="K44" s="66" t="b">
        <v>0</v>
      </c>
      <c r="L44" cm="1">
        <f t="array" aca="1" ref="L44" ca="1">fn_GetDaysSinceSkiMaintProc($A$2,tbl_2025_2026_Days[[#This Row],[Day]],L43,M43,1,"FT",tbl_2025_2026_Days[[#This Row],[Ski]])</f>
        <v>17</v>
      </c>
      <c r="M44" s="66" t="b">
        <v>0</v>
      </c>
      <c r="N44" cm="1">
        <f t="array" aca="1" ref="N44" ca="1">fn_GetDaysSinceSkiMaintProc($A$2,tbl_2025_2026_Days[[#This Row],[Day]],N43,O43,2,"W",tbl_2025_2026_Days[[#This Row],[Ski]])</f>
        <v>1</v>
      </c>
      <c r="O44" s="66" t="b">
        <v>0</v>
      </c>
      <c r="P44" cm="1">
        <f t="array" aca="1" ref="P44" ca="1">fn_GetDaysSinceSkiMaintProc($A$2,tbl_2025_2026_Days[[#This Row],[Day]],P43,Q43,2,"E",tbl_2025_2026_Days[[#This Row],[Ski]])</f>
        <v>1</v>
      </c>
      <c r="Q44" s="66" t="b">
        <v>0</v>
      </c>
      <c r="R44" cm="1">
        <f t="array" aca="1" ref="R44" ca="1">fn_GetDaysSinceSkiMaintProc($A$2,tbl_2025_2026_Days[[#This Row],[Day]],R43,S43,2,"FT",tbl_2025_2026_Days[[#This Row],[Ski]])</f>
        <v>14</v>
      </c>
      <c r="S44" s="66" t="b">
        <v>0</v>
      </c>
      <c r="T44" cm="1">
        <f t="array" aca="1" ref="T44" ca="1">fn_GetDaysSinceSkiMaintProc($A$2,tbl_2025_2026_Days[[#This Row],[Day]],T43,U43,3,"W",tbl_2025_2026_Days[[#This Row],[Ski]])</f>
        <v>2</v>
      </c>
      <c r="U44" s="66" t="b">
        <v>0</v>
      </c>
      <c r="V44" cm="1">
        <f t="array" aca="1" ref="V44" ca="1">fn_GetDaysSinceSkiMaintProc($A$2,tbl_2025_2026_Days[[#This Row],[Day]],V43,W43,3,"E",tbl_2025_2026_Days[[#This Row],[Ski]])</f>
        <v>0</v>
      </c>
      <c r="W44" s="66" t="b">
        <v>0</v>
      </c>
      <c r="X44" cm="1">
        <f t="array" aca="1" ref="X44" ca="1">fn_GetDaysSinceSkiMaintProc($A$2,tbl_2025_2026_Days[[#This Row],[Day]],X43,Y43,3,"FT",tbl_2025_2026_Days[[#This Row],[Ski]])</f>
        <v>5</v>
      </c>
      <c r="Y44" s="66" t="b">
        <v>0</v>
      </c>
      <c r="Z44" s="68"/>
    </row>
    <row r="45" spans="1:26" ht="14.65" customHeight="1" x14ac:dyDescent="0.4">
      <c r="A45" cm="1">
        <f t="array" ref="A45">IF(fn_IsTableCellInFirstRow($A45,tbl_2025_2026_Days[]),1,$A44+1)</f>
        <v>27</v>
      </c>
      <c r="B45" s="67">
        <v>46047</v>
      </c>
      <c r="C45" s="68" t="s">
        <v>10</v>
      </c>
      <c r="D45" cm="1">
        <f t="array" ref="D45">fn_GET_UNIQUE_VALS_RUNNING_COUNTS(tbl_2025_2026_Days[Resort Name], tbl_2025_2026_Days[[#This Row],[Resort Name]])</f>
        <v>1</v>
      </c>
      <c r="E45" s="69">
        <v>6255</v>
      </c>
      <c r="F45" s="69">
        <v>914</v>
      </c>
      <c r="G45" s="68" t="s">
        <v>42</v>
      </c>
      <c r="H45" cm="1">
        <f t="array" aca="1" ref="H45" ca="1">fn_GetDaysSinceSkiMaintProc($A$2,tbl_2025_2026_Days[[#This Row],[Day]],H44,I44,1,"W",tbl_2025_2026_Days[[#This Row],[Ski]])</f>
        <v>0</v>
      </c>
      <c r="I45" s="66" t="b">
        <v>0</v>
      </c>
      <c r="J45" cm="1">
        <f t="array" aca="1" ref="J45" ca="1">fn_GetDaysSinceSkiMaintProc($A$2,tbl_2025_2026_Days[[#This Row],[Day]],J44,K44,1,"E",tbl_2025_2026_Days[[#This Row],[Ski]])</f>
        <v>0</v>
      </c>
      <c r="K45" s="66" t="b">
        <v>0</v>
      </c>
      <c r="L45" cm="1">
        <f t="array" aca="1" ref="L45" ca="1">fn_GetDaysSinceSkiMaintProc($A$2,tbl_2025_2026_Days[[#This Row],[Day]],L44,M44,1,"FT",tbl_2025_2026_Days[[#This Row],[Ski]])</f>
        <v>17</v>
      </c>
      <c r="M45" s="66" t="b">
        <v>0</v>
      </c>
      <c r="N45" cm="1">
        <f t="array" aca="1" ref="N45" ca="1">fn_GetDaysSinceSkiMaintProc($A$2,tbl_2025_2026_Days[[#This Row],[Day]],N44,O44,2,"W",tbl_2025_2026_Days[[#This Row],[Ski]])</f>
        <v>2</v>
      </c>
      <c r="O45" s="66" t="b">
        <v>0</v>
      </c>
      <c r="P45" cm="1">
        <f t="array" aca="1" ref="P45" ca="1">fn_GetDaysSinceSkiMaintProc($A$2,tbl_2025_2026_Days[[#This Row],[Day]],P44,Q44,2,"E",tbl_2025_2026_Days[[#This Row],[Ski]])</f>
        <v>2</v>
      </c>
      <c r="Q45" s="66" t="b">
        <v>0</v>
      </c>
      <c r="R45" cm="1">
        <f t="array" aca="1" ref="R45" ca="1">fn_GetDaysSinceSkiMaintProc($A$2,tbl_2025_2026_Days[[#This Row],[Day]],R44,S44,2,"FT",tbl_2025_2026_Days[[#This Row],[Ski]])</f>
        <v>15</v>
      </c>
      <c r="S45" s="66" t="b">
        <v>0</v>
      </c>
      <c r="T45" cm="1">
        <f t="array" aca="1" ref="T45" ca="1">fn_GetDaysSinceSkiMaintProc($A$2,tbl_2025_2026_Days[[#This Row],[Day]],T44,U44,3,"W",tbl_2025_2026_Days[[#This Row],[Ski]])</f>
        <v>2</v>
      </c>
      <c r="U45" s="66" t="b">
        <v>0</v>
      </c>
      <c r="V45" cm="1">
        <f t="array" aca="1" ref="V45" ca="1">fn_GetDaysSinceSkiMaintProc($A$2,tbl_2025_2026_Days[[#This Row],[Day]],V44,W44,3,"E",tbl_2025_2026_Days[[#This Row],[Ski]])</f>
        <v>0</v>
      </c>
      <c r="W45" s="66" t="b">
        <v>0</v>
      </c>
      <c r="X45" cm="1">
        <f t="array" aca="1" ref="X45" ca="1">fn_GetDaysSinceSkiMaintProc($A$2,tbl_2025_2026_Days[[#This Row],[Day]],X44,Y44,3,"FT",tbl_2025_2026_Days[[#This Row],[Ski]])</f>
        <v>5</v>
      </c>
      <c r="Y45" s="66" t="b">
        <v>0</v>
      </c>
      <c r="Z45" s="68"/>
    </row>
    <row r="46" spans="1:26" ht="14.65" customHeight="1" x14ac:dyDescent="0.4">
      <c r="A46" cm="1">
        <f t="array" ref="A46">IF(fn_IsTableCellInFirstRow($A46,tbl_2025_2026_Days[]),1,$A45+1)</f>
        <v>28</v>
      </c>
      <c r="B46" s="67">
        <v>46048</v>
      </c>
      <c r="C46" s="68" t="s">
        <v>17</v>
      </c>
      <c r="D46" cm="1">
        <f t="array" ref="D46">fn_GET_UNIQUE_VALS_RUNNING_COUNTS(tbl_2025_2026_Days[Resort Name], tbl_2025_2026_Days[[#This Row],[Resort Name]])</f>
        <v>1</v>
      </c>
      <c r="E46" s="69">
        <v>9065</v>
      </c>
      <c r="F46" s="69">
        <v>819</v>
      </c>
      <c r="G46" s="68" t="s">
        <v>42</v>
      </c>
      <c r="H46" cm="1">
        <f t="array" aca="1" ref="H46" ca="1">fn_GetDaysSinceSkiMaintProc($A$2,tbl_2025_2026_Days[[#This Row],[Day]],H45,I45,1,"W",tbl_2025_2026_Days[[#This Row],[Ski]])</f>
        <v>0</v>
      </c>
      <c r="I46" s="66" t="b">
        <v>0</v>
      </c>
      <c r="J46" cm="1">
        <f t="array" aca="1" ref="J46" ca="1">fn_GetDaysSinceSkiMaintProc($A$2,tbl_2025_2026_Days[[#This Row],[Day]],J45,K45,1,"E",tbl_2025_2026_Days[[#This Row],[Ski]])</f>
        <v>0</v>
      </c>
      <c r="K46" s="66" t="b">
        <v>0</v>
      </c>
      <c r="L46" cm="1">
        <f t="array" aca="1" ref="L46" ca="1">fn_GetDaysSinceSkiMaintProc($A$2,tbl_2025_2026_Days[[#This Row],[Day]],L45,M45,1,"FT",tbl_2025_2026_Days[[#This Row],[Ski]])</f>
        <v>17</v>
      </c>
      <c r="M46" s="66" t="b">
        <v>0</v>
      </c>
      <c r="N46" cm="1">
        <f t="array" aca="1" ref="N46" ca="1">fn_GetDaysSinceSkiMaintProc($A$2,tbl_2025_2026_Days[[#This Row],[Day]],N45,O45,2,"W",tbl_2025_2026_Days[[#This Row],[Ski]])</f>
        <v>3</v>
      </c>
      <c r="O46" s="66" t="b">
        <v>0</v>
      </c>
      <c r="P46" cm="1">
        <f t="array" aca="1" ref="P46" ca="1">fn_GetDaysSinceSkiMaintProc($A$2,tbl_2025_2026_Days[[#This Row],[Day]],P45,Q45,2,"E",tbl_2025_2026_Days[[#This Row],[Ski]])</f>
        <v>3</v>
      </c>
      <c r="Q46" s="66" t="b">
        <v>0</v>
      </c>
      <c r="R46" cm="1">
        <f t="array" aca="1" ref="R46" ca="1">fn_GetDaysSinceSkiMaintProc($A$2,tbl_2025_2026_Days[[#This Row],[Day]],R45,S45,2,"FT",tbl_2025_2026_Days[[#This Row],[Ski]])</f>
        <v>16</v>
      </c>
      <c r="S46" s="66" t="b">
        <v>0</v>
      </c>
      <c r="T46" cm="1">
        <f t="array" aca="1" ref="T46" ca="1">fn_GetDaysSinceSkiMaintProc($A$2,tbl_2025_2026_Days[[#This Row],[Day]],T45,U45,3,"W",tbl_2025_2026_Days[[#This Row],[Ski]])</f>
        <v>2</v>
      </c>
      <c r="U46" s="66" t="b">
        <v>0</v>
      </c>
      <c r="V46" cm="1">
        <f t="array" aca="1" ref="V46" ca="1">fn_GetDaysSinceSkiMaintProc($A$2,tbl_2025_2026_Days[[#This Row],[Day]],V45,W45,3,"E",tbl_2025_2026_Days[[#This Row],[Ski]])</f>
        <v>0</v>
      </c>
      <c r="W46" s="66" t="b">
        <v>0</v>
      </c>
      <c r="X46" cm="1">
        <f t="array" aca="1" ref="X46" ca="1">fn_GetDaysSinceSkiMaintProc($A$2,tbl_2025_2026_Days[[#This Row],[Day]],X45,Y45,3,"FT",tbl_2025_2026_Days[[#This Row],[Ski]])</f>
        <v>5</v>
      </c>
      <c r="Y46" s="66" t="b">
        <v>0</v>
      </c>
      <c r="Z46" s="68"/>
    </row>
    <row r="47" spans="1:26" ht="14.65" customHeight="1" x14ac:dyDescent="0.4">
      <c r="A47" cm="1">
        <f t="array" ref="A47">IF(fn_IsTableCellInFirstRow($A47,tbl_2025_2026_Days[]),1,$A46+1)</f>
        <v>29</v>
      </c>
      <c r="B47" s="67">
        <v>46049</v>
      </c>
      <c r="C47" s="68" t="s">
        <v>17</v>
      </c>
      <c r="D47" cm="1">
        <f t="array" ref="D47">fn_GET_UNIQUE_VALS_RUNNING_COUNTS(tbl_2025_2026_Days[Resort Name], tbl_2025_2026_Days[[#This Row],[Resort Name]])</f>
        <v>2</v>
      </c>
      <c r="E47" s="69">
        <v>2340</v>
      </c>
      <c r="F47" s="69">
        <v>443</v>
      </c>
      <c r="G47" s="68" t="s">
        <v>42</v>
      </c>
      <c r="H47" cm="1">
        <f t="array" aca="1" ref="H47" ca="1">fn_GetDaysSinceSkiMaintProc($A$2,tbl_2025_2026_Days[[#This Row],[Day]],H46,I46,1,"W",tbl_2025_2026_Days[[#This Row],[Ski]])</f>
        <v>0</v>
      </c>
      <c r="I47" s="66" t="b">
        <v>1</v>
      </c>
      <c r="J47" cm="1">
        <f t="array" aca="1" ref="J47" ca="1">fn_GetDaysSinceSkiMaintProc($A$2,tbl_2025_2026_Days[[#This Row],[Day]],J46,K46,1,"E",tbl_2025_2026_Days[[#This Row],[Ski]])</f>
        <v>0</v>
      </c>
      <c r="K47" s="66" t="b">
        <v>0</v>
      </c>
      <c r="L47" cm="1">
        <f t="array" aca="1" ref="L47" ca="1">fn_GetDaysSinceSkiMaintProc($A$2,tbl_2025_2026_Days[[#This Row],[Day]],L46,M46,1,"FT",tbl_2025_2026_Days[[#This Row],[Ski]])</f>
        <v>17</v>
      </c>
      <c r="M47" s="66" t="b">
        <v>0</v>
      </c>
      <c r="N47" cm="1">
        <f t="array" aca="1" ref="N47" ca="1">fn_GetDaysSinceSkiMaintProc($A$2,tbl_2025_2026_Days[[#This Row],[Day]],N46,O46,2,"W",tbl_2025_2026_Days[[#This Row],[Ski]])</f>
        <v>4</v>
      </c>
      <c r="O47" s="66" t="b">
        <v>1</v>
      </c>
      <c r="P47" cm="1">
        <f t="array" aca="1" ref="P47" ca="1">fn_GetDaysSinceSkiMaintProc($A$2,tbl_2025_2026_Days[[#This Row],[Day]],P46,Q46,2,"E",tbl_2025_2026_Days[[#This Row],[Ski]])</f>
        <v>4</v>
      </c>
      <c r="Q47" s="66" t="b">
        <v>1</v>
      </c>
      <c r="R47" cm="1">
        <f t="array" aca="1" ref="R47" ca="1">fn_GetDaysSinceSkiMaintProc($A$2,tbl_2025_2026_Days[[#This Row],[Day]],R46,S46,2,"FT",tbl_2025_2026_Days[[#This Row],[Ski]])</f>
        <v>17</v>
      </c>
      <c r="S47" s="66" t="b">
        <v>0</v>
      </c>
      <c r="T47" cm="1">
        <f t="array" aca="1" ref="T47" ca="1">fn_GetDaysSinceSkiMaintProc($A$2,tbl_2025_2026_Days[[#This Row],[Day]],T46,U46,3,"W",tbl_2025_2026_Days[[#This Row],[Ski]])</f>
        <v>2</v>
      </c>
      <c r="U47" s="66" t="b">
        <v>0</v>
      </c>
      <c r="V47" cm="1">
        <f t="array" aca="1" ref="V47" ca="1">fn_GetDaysSinceSkiMaintProc($A$2,tbl_2025_2026_Days[[#This Row],[Day]],V46,W46,3,"E",tbl_2025_2026_Days[[#This Row],[Ski]])</f>
        <v>0</v>
      </c>
      <c r="W47" s="66" t="b">
        <v>0</v>
      </c>
      <c r="X47" cm="1">
        <f t="array" aca="1" ref="X47" ca="1">fn_GetDaysSinceSkiMaintProc($A$2,tbl_2025_2026_Days[[#This Row],[Day]],X46,Y46,3,"FT",tbl_2025_2026_Days[[#This Row],[Ski]])</f>
        <v>5</v>
      </c>
      <c r="Y47" s="66" t="b">
        <v>0</v>
      </c>
      <c r="Z47" s="68" t="s">
        <v>55</v>
      </c>
    </row>
    <row r="48" spans="1:26" ht="14.65" customHeight="1" x14ac:dyDescent="0.4">
      <c r="A48" cm="1">
        <f t="array" ref="A48">IF(fn_IsTableCellInFirstRow($A48,tbl_2025_2026_Days[]),1,$A47+1)</f>
        <v>30</v>
      </c>
      <c r="B48" s="67">
        <v>46050</v>
      </c>
      <c r="C48" s="68" t="s">
        <v>17</v>
      </c>
      <c r="D48" cm="1">
        <f t="array" ref="D48">fn_GET_UNIQUE_VALS_RUNNING_COUNTS(tbl_2025_2026_Days[Resort Name], tbl_2025_2026_Days[[#This Row],[Resort Name]])</f>
        <v>3</v>
      </c>
      <c r="E48" s="69">
        <v>12345</v>
      </c>
      <c r="F48" s="69">
        <v>968</v>
      </c>
      <c r="G48" s="68" t="s">
        <v>42</v>
      </c>
      <c r="H48" cm="1">
        <f t="array" aca="1" ref="H48" ca="1">fn_GetDaysSinceSkiMaintProc($A$2,tbl_2025_2026_Days[[#This Row],[Day]],H47,I47,1,"W",tbl_2025_2026_Days[[#This Row],[Ski]])</f>
        <v>0</v>
      </c>
      <c r="I48" s="66" t="b">
        <v>0</v>
      </c>
      <c r="J48" cm="1">
        <f t="array" aca="1" ref="J48" ca="1">fn_GetDaysSinceSkiMaintProc($A$2,tbl_2025_2026_Days[[#This Row],[Day]],J47,K47,1,"E",tbl_2025_2026_Days[[#This Row],[Ski]])</f>
        <v>0</v>
      </c>
      <c r="K48" s="66" t="b">
        <v>0</v>
      </c>
      <c r="L48" cm="1">
        <f t="array" aca="1" ref="L48" ca="1">fn_GetDaysSinceSkiMaintProc($A$2,tbl_2025_2026_Days[[#This Row],[Day]],L47,M47,1,"FT",tbl_2025_2026_Days[[#This Row],[Ski]])</f>
        <v>17</v>
      </c>
      <c r="M48" s="66" t="b">
        <v>0</v>
      </c>
      <c r="N48" cm="1">
        <f t="array" aca="1" ref="N48" ca="1">fn_GetDaysSinceSkiMaintProc($A$2,tbl_2025_2026_Days[[#This Row],[Day]],N47,O47,2,"W",tbl_2025_2026_Days[[#This Row],[Ski]])</f>
        <v>1</v>
      </c>
      <c r="O48" s="66" t="b">
        <v>0</v>
      </c>
      <c r="P48" cm="1">
        <f t="array" aca="1" ref="P48" ca="1">fn_GetDaysSinceSkiMaintProc($A$2,tbl_2025_2026_Days[[#This Row],[Day]],P47,Q47,2,"E",tbl_2025_2026_Days[[#This Row],[Ski]])</f>
        <v>1</v>
      </c>
      <c r="Q48" s="66" t="b">
        <v>0</v>
      </c>
      <c r="R48" cm="1">
        <f t="array" aca="1" ref="R48" ca="1">fn_GetDaysSinceSkiMaintProc($A$2,tbl_2025_2026_Days[[#This Row],[Day]],R47,S47,2,"FT",tbl_2025_2026_Days[[#This Row],[Ski]])</f>
        <v>18</v>
      </c>
      <c r="S48" s="66" t="b">
        <v>0</v>
      </c>
      <c r="T48" cm="1">
        <f t="array" aca="1" ref="T48" ca="1">fn_GetDaysSinceSkiMaintProc($A$2,tbl_2025_2026_Days[[#This Row],[Day]],T47,U47,3,"W",tbl_2025_2026_Days[[#This Row],[Ski]])</f>
        <v>2</v>
      </c>
      <c r="U48" s="66" t="b">
        <v>0</v>
      </c>
      <c r="V48" cm="1">
        <f t="array" aca="1" ref="V48" ca="1">fn_GetDaysSinceSkiMaintProc($A$2,tbl_2025_2026_Days[[#This Row],[Day]],V47,W47,3,"E",tbl_2025_2026_Days[[#This Row],[Ski]])</f>
        <v>0</v>
      </c>
      <c r="W48" s="66" t="b">
        <v>0</v>
      </c>
      <c r="X48" cm="1">
        <f t="array" aca="1" ref="X48" ca="1">fn_GetDaysSinceSkiMaintProc($A$2,tbl_2025_2026_Days[[#This Row],[Day]],X47,Y47,3,"FT",tbl_2025_2026_Days[[#This Row],[Ski]])</f>
        <v>5</v>
      </c>
      <c r="Y48" s="66" t="b">
        <v>0</v>
      </c>
      <c r="Z48" s="68"/>
    </row>
    <row r="49" spans="1:26" ht="14.65" customHeight="1" x14ac:dyDescent="0.4">
      <c r="A49" cm="1">
        <f t="array" ref="A49">IF(fn_IsTableCellInFirstRow($A49,tbl_2025_2026_Days[]),1,$A48+1)</f>
        <v>31</v>
      </c>
      <c r="B49" s="67">
        <v>46051</v>
      </c>
      <c r="C49" s="68" t="s">
        <v>17</v>
      </c>
      <c r="D49" cm="1">
        <f t="array" ref="D49">fn_GET_UNIQUE_VALS_RUNNING_COUNTS(tbl_2025_2026_Days[Resort Name], tbl_2025_2026_Days[[#This Row],[Resort Name]])</f>
        <v>4</v>
      </c>
      <c r="E49" s="69">
        <v>5335</v>
      </c>
      <c r="F49" s="69">
        <v>635</v>
      </c>
      <c r="G49" s="68" t="s">
        <v>42</v>
      </c>
      <c r="H49" cm="1">
        <f t="array" aca="1" ref="H49" ca="1">fn_GetDaysSinceSkiMaintProc($A$2,tbl_2025_2026_Days[[#This Row],[Day]],H48,I48,1,"W",tbl_2025_2026_Days[[#This Row],[Ski]])</f>
        <v>0</v>
      </c>
      <c r="I49" s="66" t="b">
        <v>0</v>
      </c>
      <c r="J49" cm="1">
        <f t="array" aca="1" ref="J49" ca="1">fn_GetDaysSinceSkiMaintProc($A$2,tbl_2025_2026_Days[[#This Row],[Day]],J48,K48,1,"E",tbl_2025_2026_Days[[#This Row],[Ski]])</f>
        <v>0</v>
      </c>
      <c r="K49" s="66" t="b">
        <v>0</v>
      </c>
      <c r="L49" cm="1">
        <f t="array" aca="1" ref="L49" ca="1">fn_GetDaysSinceSkiMaintProc($A$2,tbl_2025_2026_Days[[#This Row],[Day]],L48,M48,1,"FT",tbl_2025_2026_Days[[#This Row],[Ski]])</f>
        <v>17</v>
      </c>
      <c r="M49" s="66" t="b">
        <v>0</v>
      </c>
      <c r="N49" cm="1">
        <f t="array" aca="1" ref="N49" ca="1">fn_GetDaysSinceSkiMaintProc($A$2,tbl_2025_2026_Days[[#This Row],[Day]],N48,O48,2,"W",tbl_2025_2026_Days[[#This Row],[Ski]])</f>
        <v>2</v>
      </c>
      <c r="O49" s="66" t="b">
        <v>0</v>
      </c>
      <c r="P49" cm="1">
        <f t="array" aca="1" ref="P49" ca="1">fn_GetDaysSinceSkiMaintProc($A$2,tbl_2025_2026_Days[[#This Row],[Day]],P48,Q48,2,"E",tbl_2025_2026_Days[[#This Row],[Ski]])</f>
        <v>2</v>
      </c>
      <c r="Q49" s="66" t="b">
        <v>0</v>
      </c>
      <c r="R49" cm="1">
        <f t="array" aca="1" ref="R49" ca="1">fn_GetDaysSinceSkiMaintProc($A$2,tbl_2025_2026_Days[[#This Row],[Day]],R48,S48,2,"FT",tbl_2025_2026_Days[[#This Row],[Ski]])</f>
        <v>19</v>
      </c>
      <c r="S49" s="66" t="b">
        <v>0</v>
      </c>
      <c r="T49" cm="1">
        <f t="array" aca="1" ref="T49" ca="1">fn_GetDaysSinceSkiMaintProc($A$2,tbl_2025_2026_Days[[#This Row],[Day]],T48,U48,3,"W",tbl_2025_2026_Days[[#This Row],[Ski]])</f>
        <v>2</v>
      </c>
      <c r="U49" s="66" t="b">
        <v>0</v>
      </c>
      <c r="V49" cm="1">
        <f t="array" aca="1" ref="V49" ca="1">fn_GetDaysSinceSkiMaintProc($A$2,tbl_2025_2026_Days[[#This Row],[Day]],V48,W48,3,"E",tbl_2025_2026_Days[[#This Row],[Ski]])</f>
        <v>0</v>
      </c>
      <c r="W49" s="66" t="b">
        <v>0</v>
      </c>
      <c r="X49" cm="1">
        <f t="array" aca="1" ref="X49" ca="1">fn_GetDaysSinceSkiMaintProc($A$2,tbl_2025_2026_Days[[#This Row],[Day]],X48,Y48,3,"FT",tbl_2025_2026_Days[[#This Row],[Ski]])</f>
        <v>5</v>
      </c>
      <c r="Y49" s="66" t="b">
        <v>0</v>
      </c>
      <c r="Z49" s="68"/>
    </row>
    <row r="50" spans="1:26" ht="14.65" customHeight="1" x14ac:dyDescent="0.4">
      <c r="A50" cm="1">
        <f t="array" ref="A50">IF(fn_IsTableCellInFirstRow($A50,tbl_2025_2026_Days[]),1,$A49+1)</f>
        <v>32</v>
      </c>
      <c r="B50" s="67">
        <v>46061</v>
      </c>
      <c r="C50" s="68" t="s">
        <v>12</v>
      </c>
      <c r="D50" cm="1">
        <f t="array" ref="D50">fn_GET_UNIQUE_VALS_RUNNING_COUNTS(tbl_2025_2026_Days[Resort Name], tbl_2025_2026_Days[[#This Row],[Resort Name]])</f>
        <v>1</v>
      </c>
      <c r="E50" s="69">
        <v>10160</v>
      </c>
      <c r="F50" s="69">
        <v>1834</v>
      </c>
      <c r="G50" s="68" t="s">
        <v>42</v>
      </c>
      <c r="H50" cm="1">
        <f t="array" aca="1" ref="H50" ca="1">fn_GetDaysSinceSkiMaintProc($A$2,tbl_2025_2026_Days[[#This Row],[Day]],H49,I49,1,"W",tbl_2025_2026_Days[[#This Row],[Ski]])</f>
        <v>0</v>
      </c>
      <c r="I50" s="66" t="b">
        <v>0</v>
      </c>
      <c r="J50" cm="1">
        <f t="array" aca="1" ref="J50" ca="1">fn_GetDaysSinceSkiMaintProc($A$2,tbl_2025_2026_Days[[#This Row],[Day]],J49,K49,1,"E",tbl_2025_2026_Days[[#This Row],[Ski]])</f>
        <v>0</v>
      </c>
      <c r="K50" s="66" t="b">
        <v>0</v>
      </c>
      <c r="L50" cm="1">
        <f t="array" aca="1" ref="L50" ca="1">fn_GetDaysSinceSkiMaintProc($A$2,tbl_2025_2026_Days[[#This Row],[Day]],L49,M49,1,"FT",tbl_2025_2026_Days[[#This Row],[Ski]])</f>
        <v>17</v>
      </c>
      <c r="M50" s="66" t="b">
        <v>0</v>
      </c>
      <c r="N50" cm="1">
        <f t="array" aca="1" ref="N50" ca="1">fn_GetDaysSinceSkiMaintProc($A$2,tbl_2025_2026_Days[[#This Row],[Day]],N49,O49,2,"W",tbl_2025_2026_Days[[#This Row],[Ski]])</f>
        <v>3</v>
      </c>
      <c r="O50" s="66" t="b">
        <v>0</v>
      </c>
      <c r="P50" cm="1">
        <f t="array" aca="1" ref="P50" ca="1">fn_GetDaysSinceSkiMaintProc($A$2,tbl_2025_2026_Days[[#This Row],[Day]],P49,Q49,2,"E",tbl_2025_2026_Days[[#This Row],[Ski]])</f>
        <v>3</v>
      </c>
      <c r="Q50" s="66" t="b">
        <v>0</v>
      </c>
      <c r="R50" cm="1">
        <f t="array" aca="1" ref="R50" ca="1">fn_GetDaysSinceSkiMaintProc($A$2,tbl_2025_2026_Days[[#This Row],[Day]],R49,S49,2,"FT",tbl_2025_2026_Days[[#This Row],[Ski]])</f>
        <v>20</v>
      </c>
      <c r="S50" s="66" t="b">
        <v>0</v>
      </c>
      <c r="T50" cm="1">
        <f t="array" aca="1" ref="T50" ca="1">fn_GetDaysSinceSkiMaintProc($A$2,tbl_2025_2026_Days[[#This Row],[Day]],T49,U49,3,"W",tbl_2025_2026_Days[[#This Row],[Ski]])</f>
        <v>2</v>
      </c>
      <c r="U50" s="66" t="b">
        <v>0</v>
      </c>
      <c r="V50" cm="1">
        <f t="array" aca="1" ref="V50" ca="1">fn_GetDaysSinceSkiMaintProc($A$2,tbl_2025_2026_Days[[#This Row],[Day]],V49,W49,3,"E",tbl_2025_2026_Days[[#This Row],[Ski]])</f>
        <v>0</v>
      </c>
      <c r="W50" s="66" t="b">
        <v>0</v>
      </c>
      <c r="X50" cm="1">
        <f t="array" aca="1" ref="X50" ca="1">fn_GetDaysSinceSkiMaintProc($A$2,tbl_2025_2026_Days[[#This Row],[Day]],X49,Y49,3,"FT",tbl_2025_2026_Days[[#This Row],[Ski]])</f>
        <v>5</v>
      </c>
      <c r="Y50" s="66" t="b">
        <v>0</v>
      </c>
      <c r="Z50" s="68"/>
    </row>
    <row r="51" spans="1:26" ht="14.65" customHeight="1" x14ac:dyDescent="0.4">
      <c r="A51" cm="1">
        <f t="array" ref="A51">IF(fn_IsTableCellInFirstRow($A51,tbl_2025_2026_Days[]),1,$A50+1)</f>
        <v>33</v>
      </c>
      <c r="B51" s="67">
        <v>46062</v>
      </c>
      <c r="C51" s="68" t="s">
        <v>12</v>
      </c>
      <c r="D51" cm="1">
        <f t="array" ref="D51">fn_GET_UNIQUE_VALS_RUNNING_COUNTS(tbl_2025_2026_Days[Resort Name], tbl_2025_2026_Days[[#This Row],[Resort Name]])</f>
        <v>2</v>
      </c>
      <c r="E51" s="69">
        <v>11070</v>
      </c>
      <c r="F51" s="69">
        <v>1639</v>
      </c>
      <c r="G51" s="68" t="s">
        <v>42</v>
      </c>
      <c r="H51" cm="1">
        <f t="array" aca="1" ref="H51" ca="1">fn_GetDaysSinceSkiMaintProc($A$2,tbl_2025_2026_Days[[#This Row],[Day]],H50,I50,1,"W",tbl_2025_2026_Days[[#This Row],[Ski]])</f>
        <v>0</v>
      </c>
      <c r="I51" s="66" t="b">
        <v>0</v>
      </c>
      <c r="J51" cm="1">
        <f t="array" aca="1" ref="J51" ca="1">fn_GetDaysSinceSkiMaintProc($A$2,tbl_2025_2026_Days[[#This Row],[Day]],J50,K50,1,"E",tbl_2025_2026_Days[[#This Row],[Ski]])</f>
        <v>0</v>
      </c>
      <c r="K51" s="66" t="b">
        <v>0</v>
      </c>
      <c r="L51" cm="1">
        <f t="array" aca="1" ref="L51" ca="1">fn_GetDaysSinceSkiMaintProc($A$2,tbl_2025_2026_Days[[#This Row],[Day]],L50,M50,1,"FT",tbl_2025_2026_Days[[#This Row],[Ski]])</f>
        <v>17</v>
      </c>
      <c r="M51" s="66" t="b">
        <v>0</v>
      </c>
      <c r="N51" cm="1">
        <f t="array" aca="1" ref="N51" ca="1">fn_GetDaysSinceSkiMaintProc($A$2,tbl_2025_2026_Days[[#This Row],[Day]],N50,O50,2,"W",tbl_2025_2026_Days[[#This Row],[Ski]])</f>
        <v>4</v>
      </c>
      <c r="O51" s="66" t="b">
        <v>0</v>
      </c>
      <c r="P51" cm="1">
        <f t="array" aca="1" ref="P51" ca="1">fn_GetDaysSinceSkiMaintProc($A$2,tbl_2025_2026_Days[[#This Row],[Day]],P50,Q50,2,"E",tbl_2025_2026_Days[[#This Row],[Ski]])</f>
        <v>4</v>
      </c>
      <c r="Q51" s="66" t="b">
        <v>0</v>
      </c>
      <c r="R51" cm="1">
        <f t="array" aca="1" ref="R51" ca="1">fn_GetDaysSinceSkiMaintProc($A$2,tbl_2025_2026_Days[[#This Row],[Day]],R50,S50,2,"FT",tbl_2025_2026_Days[[#This Row],[Ski]])</f>
        <v>21</v>
      </c>
      <c r="S51" s="66" t="b">
        <v>0</v>
      </c>
      <c r="T51" cm="1">
        <f t="array" aca="1" ref="T51" ca="1">fn_GetDaysSinceSkiMaintProc($A$2,tbl_2025_2026_Days[[#This Row],[Day]],T50,U50,3,"W",tbl_2025_2026_Days[[#This Row],[Ski]])</f>
        <v>2</v>
      </c>
      <c r="U51" s="66" t="b">
        <v>0</v>
      </c>
      <c r="V51" cm="1">
        <f t="array" aca="1" ref="V51" ca="1">fn_GetDaysSinceSkiMaintProc($A$2,tbl_2025_2026_Days[[#This Row],[Day]],V50,W50,3,"E",tbl_2025_2026_Days[[#This Row],[Ski]])</f>
        <v>0</v>
      </c>
      <c r="W51" s="66" t="b">
        <v>0</v>
      </c>
      <c r="X51" cm="1">
        <f t="array" aca="1" ref="X51" ca="1">fn_GetDaysSinceSkiMaintProc($A$2,tbl_2025_2026_Days[[#This Row],[Day]],X50,Y50,3,"FT",tbl_2025_2026_Days[[#This Row],[Ski]])</f>
        <v>5</v>
      </c>
      <c r="Y51" s="66" t="b">
        <v>0</v>
      </c>
      <c r="Z51" s="68"/>
    </row>
    <row r="52" spans="1:26" ht="14.65" customHeight="1" x14ac:dyDescent="0.4">
      <c r="A52" cm="1">
        <f t="array" ref="A52">IF(fn_IsTableCellInFirstRow($A52,tbl_2025_2026_Days[]),1,$A51+1)</f>
        <v>34</v>
      </c>
      <c r="B52" s="67">
        <v>46063</v>
      </c>
      <c r="C52" s="68" t="s">
        <v>12</v>
      </c>
      <c r="D52" cm="1">
        <f t="array" ref="D52">fn_GET_UNIQUE_VALS_RUNNING_COUNTS(tbl_2025_2026_Days[Resort Name], tbl_2025_2026_Days[[#This Row],[Resort Name]])</f>
        <v>3</v>
      </c>
      <c r="E52" s="69">
        <v>10410</v>
      </c>
      <c r="F52" s="69">
        <v>1800</v>
      </c>
      <c r="G52" s="68" t="s">
        <v>42</v>
      </c>
      <c r="H52" cm="1">
        <f t="array" aca="1" ref="H52" ca="1">fn_GetDaysSinceSkiMaintProc($A$2,tbl_2025_2026_Days[[#This Row],[Day]],H51,I51,1,"W",tbl_2025_2026_Days[[#This Row],[Ski]])</f>
        <v>0</v>
      </c>
      <c r="I52" s="66" t="b">
        <v>0</v>
      </c>
      <c r="J52" cm="1">
        <f t="array" aca="1" ref="J52" ca="1">fn_GetDaysSinceSkiMaintProc($A$2,tbl_2025_2026_Days[[#This Row],[Day]],J51,K51,1,"E",tbl_2025_2026_Days[[#This Row],[Ski]])</f>
        <v>0</v>
      </c>
      <c r="K52" s="66" t="b">
        <v>0</v>
      </c>
      <c r="L52" cm="1">
        <f t="array" aca="1" ref="L52" ca="1">fn_GetDaysSinceSkiMaintProc($A$2,tbl_2025_2026_Days[[#This Row],[Day]],L51,M51,1,"FT",tbl_2025_2026_Days[[#This Row],[Ski]])</f>
        <v>17</v>
      </c>
      <c r="M52" s="66" t="b">
        <v>0</v>
      </c>
      <c r="N52" cm="1">
        <f t="array" aca="1" ref="N52" ca="1">fn_GetDaysSinceSkiMaintProc($A$2,tbl_2025_2026_Days[[#This Row],[Day]],N51,O51,2,"W",tbl_2025_2026_Days[[#This Row],[Ski]])</f>
        <v>5</v>
      </c>
      <c r="O52" s="66" t="b">
        <v>0</v>
      </c>
      <c r="P52" cm="1">
        <f t="array" aca="1" ref="P52" ca="1">fn_GetDaysSinceSkiMaintProc($A$2,tbl_2025_2026_Days[[#This Row],[Day]],P51,Q51,2,"E",tbl_2025_2026_Days[[#This Row],[Ski]])</f>
        <v>5</v>
      </c>
      <c r="Q52" s="66" t="b">
        <v>0</v>
      </c>
      <c r="R52" cm="1">
        <f t="array" aca="1" ref="R52" ca="1">fn_GetDaysSinceSkiMaintProc($A$2,tbl_2025_2026_Days[[#This Row],[Day]],R51,S51,2,"FT",tbl_2025_2026_Days[[#This Row],[Ski]])</f>
        <v>22</v>
      </c>
      <c r="S52" s="66" t="b">
        <v>0</v>
      </c>
      <c r="T52" cm="1">
        <f t="array" aca="1" ref="T52" ca="1">fn_GetDaysSinceSkiMaintProc($A$2,tbl_2025_2026_Days[[#This Row],[Day]],T51,U51,3,"W",tbl_2025_2026_Days[[#This Row],[Ski]])</f>
        <v>2</v>
      </c>
      <c r="U52" s="66" t="b">
        <v>0</v>
      </c>
      <c r="V52" cm="1">
        <f t="array" aca="1" ref="V52" ca="1">fn_GetDaysSinceSkiMaintProc($A$2,tbl_2025_2026_Days[[#This Row],[Day]],V51,W51,3,"E",tbl_2025_2026_Days[[#This Row],[Ski]])</f>
        <v>0</v>
      </c>
      <c r="W52" s="66" t="b">
        <v>0</v>
      </c>
      <c r="X52" cm="1">
        <f t="array" aca="1" ref="X52" ca="1">fn_GetDaysSinceSkiMaintProc($A$2,tbl_2025_2026_Days[[#This Row],[Day]],X51,Y51,3,"FT",tbl_2025_2026_Days[[#This Row],[Ski]])</f>
        <v>5</v>
      </c>
      <c r="Y52" s="66" t="b">
        <v>0</v>
      </c>
      <c r="Z52" s="68"/>
    </row>
    <row r="53" spans="1:26" ht="14.65" customHeight="1" x14ac:dyDescent="0.4">
      <c r="A53" cm="1">
        <f t="array" ref="A53">IF(fn_IsTableCellInFirstRow($A53,tbl_2025_2026_Days[]),1,$A52+1)</f>
        <v>35</v>
      </c>
      <c r="B53" s="67">
        <v>46064</v>
      </c>
      <c r="C53" s="68" t="s">
        <v>12</v>
      </c>
      <c r="D53" cm="1">
        <f t="array" ref="D53">fn_GET_UNIQUE_VALS_RUNNING_COUNTS(tbl_2025_2026_Days[Resort Name], tbl_2025_2026_Days[[#This Row],[Resort Name]])</f>
        <v>4</v>
      </c>
      <c r="E53" s="69">
        <v>10810</v>
      </c>
      <c r="F53" s="69">
        <v>1467</v>
      </c>
      <c r="G53" s="68" t="s">
        <v>42</v>
      </c>
      <c r="H53" cm="1">
        <f t="array" aca="1" ref="H53" ca="1">fn_GetDaysSinceSkiMaintProc($A$2,tbl_2025_2026_Days[[#This Row],[Day]],H52,I52,1,"W",tbl_2025_2026_Days[[#This Row],[Ski]])</f>
        <v>0</v>
      </c>
      <c r="I53" s="66" t="b">
        <v>0</v>
      </c>
      <c r="J53" cm="1">
        <f t="array" aca="1" ref="J53" ca="1">fn_GetDaysSinceSkiMaintProc($A$2,tbl_2025_2026_Days[[#This Row],[Day]],J52,K52,1,"E",tbl_2025_2026_Days[[#This Row],[Ski]])</f>
        <v>0</v>
      </c>
      <c r="K53" s="66" t="b">
        <v>0</v>
      </c>
      <c r="L53" cm="1">
        <f t="array" aca="1" ref="L53" ca="1">fn_GetDaysSinceSkiMaintProc($A$2,tbl_2025_2026_Days[[#This Row],[Day]],L52,M52,1,"FT",tbl_2025_2026_Days[[#This Row],[Ski]])</f>
        <v>17</v>
      </c>
      <c r="M53" s="66" t="b">
        <v>0</v>
      </c>
      <c r="N53" cm="1">
        <f t="array" aca="1" ref="N53" ca="1">fn_GetDaysSinceSkiMaintProc($A$2,tbl_2025_2026_Days[[#This Row],[Day]],N52,O52,2,"W",tbl_2025_2026_Days[[#This Row],[Ski]])</f>
        <v>6</v>
      </c>
      <c r="O53" s="66" t="b">
        <v>1</v>
      </c>
      <c r="P53" cm="1">
        <f t="array" aca="1" ref="P53" ca="1">fn_GetDaysSinceSkiMaintProc($A$2,tbl_2025_2026_Days[[#This Row],[Day]],P52,Q52,2,"E",tbl_2025_2026_Days[[#This Row],[Ski]])</f>
        <v>6</v>
      </c>
      <c r="Q53" s="66" t="b">
        <v>1</v>
      </c>
      <c r="R53" cm="1">
        <f t="array" aca="1" ref="R53" ca="1">fn_GetDaysSinceSkiMaintProc($A$2,tbl_2025_2026_Days[[#This Row],[Day]],R52,S52,2,"FT",tbl_2025_2026_Days[[#This Row],[Ski]])</f>
        <v>23</v>
      </c>
      <c r="S53" s="66" t="b">
        <v>0</v>
      </c>
      <c r="T53" cm="1">
        <f t="array" aca="1" ref="T53" ca="1">fn_GetDaysSinceSkiMaintProc($A$2,tbl_2025_2026_Days[[#This Row],[Day]],T52,U52,3,"W",tbl_2025_2026_Days[[#This Row],[Ski]])</f>
        <v>2</v>
      </c>
      <c r="U53" s="66" t="b">
        <v>0</v>
      </c>
      <c r="V53" cm="1">
        <f t="array" aca="1" ref="V53" ca="1">fn_GetDaysSinceSkiMaintProc($A$2,tbl_2025_2026_Days[[#This Row],[Day]],V52,W52,3,"E",tbl_2025_2026_Days[[#This Row],[Ski]])</f>
        <v>0</v>
      </c>
      <c r="W53" s="66" t="b">
        <v>0</v>
      </c>
      <c r="X53" cm="1">
        <f t="array" aca="1" ref="X53" ca="1">fn_GetDaysSinceSkiMaintProc($A$2,tbl_2025_2026_Days[[#This Row],[Day]],X52,Y52,3,"FT",tbl_2025_2026_Days[[#This Row],[Ski]])</f>
        <v>5</v>
      </c>
      <c r="Y53" s="66" t="b">
        <v>0</v>
      </c>
      <c r="Z53" s="68"/>
    </row>
    <row r="54" spans="1:26" ht="14.65" customHeight="1" x14ac:dyDescent="0.4">
      <c r="A54" cm="1">
        <f t="array" ref="A54">IF(fn_IsTableCellInFirstRow($A54,tbl_2025_2026_Days[]),1,$A53+1)</f>
        <v>36</v>
      </c>
      <c r="B54" s="67">
        <v>46065</v>
      </c>
      <c r="C54" s="68" t="s">
        <v>12</v>
      </c>
      <c r="D54" cm="1">
        <f t="array" ref="D54">fn_GET_UNIQUE_VALS_RUNNING_COUNTS(tbl_2025_2026_Days[Resort Name], tbl_2025_2026_Days[[#This Row],[Resort Name]])</f>
        <v>5</v>
      </c>
      <c r="E54" s="69">
        <v>11570</v>
      </c>
      <c r="F54" s="69">
        <v>1303</v>
      </c>
      <c r="G54" s="68" t="s">
        <v>42</v>
      </c>
      <c r="H54" cm="1">
        <f t="array" aca="1" ref="H54" ca="1">fn_GetDaysSinceSkiMaintProc($A$2,tbl_2025_2026_Days[[#This Row],[Day]],H53,I53,1,"W",tbl_2025_2026_Days[[#This Row],[Ski]])</f>
        <v>0</v>
      </c>
      <c r="I54" s="66" t="b">
        <v>0</v>
      </c>
      <c r="J54" cm="1">
        <f t="array" aca="1" ref="J54" ca="1">fn_GetDaysSinceSkiMaintProc($A$2,tbl_2025_2026_Days[[#This Row],[Day]],J53,K53,1,"E",tbl_2025_2026_Days[[#This Row],[Ski]])</f>
        <v>0</v>
      </c>
      <c r="K54" s="66" t="b">
        <v>0</v>
      </c>
      <c r="L54" cm="1">
        <f t="array" aca="1" ref="L54" ca="1">fn_GetDaysSinceSkiMaintProc($A$2,tbl_2025_2026_Days[[#This Row],[Day]],L53,M53,1,"FT",tbl_2025_2026_Days[[#This Row],[Ski]])</f>
        <v>17</v>
      </c>
      <c r="M54" s="66" t="b">
        <v>0</v>
      </c>
      <c r="N54" cm="1">
        <f t="array" aca="1" ref="N54" ca="1">fn_GetDaysSinceSkiMaintProc($A$2,tbl_2025_2026_Days[[#This Row],[Day]],N53,O53,2,"W",tbl_2025_2026_Days[[#This Row],[Ski]])</f>
        <v>1</v>
      </c>
      <c r="O54" s="66" t="b">
        <v>0</v>
      </c>
      <c r="P54" cm="1">
        <f t="array" aca="1" ref="P54" ca="1">fn_GetDaysSinceSkiMaintProc($A$2,tbl_2025_2026_Days[[#This Row],[Day]],P53,Q53,2,"E",tbl_2025_2026_Days[[#This Row],[Ski]])</f>
        <v>1</v>
      </c>
      <c r="Q54" s="66" t="b">
        <v>0</v>
      </c>
      <c r="R54" cm="1">
        <f t="array" aca="1" ref="R54" ca="1">fn_GetDaysSinceSkiMaintProc($A$2,tbl_2025_2026_Days[[#This Row],[Day]],R53,S53,2,"FT",tbl_2025_2026_Days[[#This Row],[Ski]])</f>
        <v>24</v>
      </c>
      <c r="S54" s="66" t="b">
        <v>0</v>
      </c>
      <c r="T54" cm="1">
        <f t="array" aca="1" ref="T54" ca="1">fn_GetDaysSinceSkiMaintProc($A$2,tbl_2025_2026_Days[[#This Row],[Day]],T53,U53,3,"W",tbl_2025_2026_Days[[#This Row],[Ski]])</f>
        <v>2</v>
      </c>
      <c r="U54" s="66" t="b">
        <v>0</v>
      </c>
      <c r="V54" cm="1">
        <f t="array" aca="1" ref="V54" ca="1">fn_GetDaysSinceSkiMaintProc($A$2,tbl_2025_2026_Days[[#This Row],[Day]],V53,W53,3,"E",tbl_2025_2026_Days[[#This Row],[Ski]])</f>
        <v>0</v>
      </c>
      <c r="W54" s="66" t="b">
        <v>0</v>
      </c>
      <c r="X54" cm="1">
        <f t="array" aca="1" ref="X54" ca="1">fn_GetDaysSinceSkiMaintProc($A$2,tbl_2025_2026_Days[[#This Row],[Day]],X53,Y53,3,"FT",tbl_2025_2026_Days[[#This Row],[Ski]])</f>
        <v>5</v>
      </c>
      <c r="Y54" s="66" t="b">
        <v>0</v>
      </c>
      <c r="Z54" s="68"/>
    </row>
    <row r="55" spans="1:26" ht="14.65" customHeight="1" x14ac:dyDescent="0.4">
      <c r="A55" cm="1">
        <f t="array" ref="A55">IF(fn_IsTableCellInFirstRow($A55,tbl_2025_2026_Days[]),1,$A54+1)</f>
        <v>37</v>
      </c>
      <c r="B55" s="67">
        <v>46066</v>
      </c>
      <c r="C55" s="68" t="s">
        <v>12</v>
      </c>
      <c r="D55" cm="1">
        <f t="array" ref="D55">fn_GET_UNIQUE_VALS_RUNNING_COUNTS(tbl_2025_2026_Days[Resort Name], tbl_2025_2026_Days[[#This Row],[Resort Name]])</f>
        <v>6</v>
      </c>
      <c r="E55" s="69">
        <v>10585</v>
      </c>
      <c r="F55" s="69">
        <v>2244</v>
      </c>
      <c r="G55" s="68" t="s">
        <v>42</v>
      </c>
      <c r="H55" cm="1">
        <f t="array" aca="1" ref="H55" ca="1">fn_GetDaysSinceSkiMaintProc($A$2,tbl_2025_2026_Days[[#This Row],[Day]],H54,I54,1,"W",tbl_2025_2026_Days[[#This Row],[Ski]])</f>
        <v>0</v>
      </c>
      <c r="I55" s="66" t="b">
        <v>0</v>
      </c>
      <c r="J55" cm="1">
        <f t="array" aca="1" ref="J55" ca="1">fn_GetDaysSinceSkiMaintProc($A$2,tbl_2025_2026_Days[[#This Row],[Day]],J54,K54,1,"E",tbl_2025_2026_Days[[#This Row],[Ski]])</f>
        <v>0</v>
      </c>
      <c r="K55" s="66" t="b">
        <v>0</v>
      </c>
      <c r="L55" cm="1">
        <f t="array" aca="1" ref="L55" ca="1">fn_GetDaysSinceSkiMaintProc($A$2,tbl_2025_2026_Days[[#This Row],[Day]],L54,M54,1,"FT",tbl_2025_2026_Days[[#This Row],[Ski]])</f>
        <v>17</v>
      </c>
      <c r="M55" s="66" t="b">
        <v>0</v>
      </c>
      <c r="N55" cm="1">
        <f t="array" aca="1" ref="N55" ca="1">fn_GetDaysSinceSkiMaintProc($A$2,tbl_2025_2026_Days[[#This Row],[Day]],N54,O54,2,"W",tbl_2025_2026_Days[[#This Row],[Ski]])</f>
        <v>2</v>
      </c>
      <c r="O55" s="66" t="b">
        <v>0</v>
      </c>
      <c r="P55" cm="1">
        <f t="array" aca="1" ref="P55" ca="1">fn_GetDaysSinceSkiMaintProc($A$2,tbl_2025_2026_Days[[#This Row],[Day]],P54,Q54,2,"E",tbl_2025_2026_Days[[#This Row],[Ski]])</f>
        <v>2</v>
      </c>
      <c r="Q55" s="66" t="b">
        <v>0</v>
      </c>
      <c r="R55" cm="1">
        <f t="array" aca="1" ref="R55" ca="1">fn_GetDaysSinceSkiMaintProc($A$2,tbl_2025_2026_Days[[#This Row],[Day]],R54,S54,2,"FT",tbl_2025_2026_Days[[#This Row],[Ski]])</f>
        <v>25</v>
      </c>
      <c r="S55" s="66" t="b">
        <v>0</v>
      </c>
      <c r="T55" cm="1">
        <f t="array" aca="1" ref="T55" ca="1">fn_GetDaysSinceSkiMaintProc($A$2,tbl_2025_2026_Days[[#This Row],[Day]],T54,U54,3,"W",tbl_2025_2026_Days[[#This Row],[Ski]])</f>
        <v>2</v>
      </c>
      <c r="U55" s="66" t="b">
        <v>0</v>
      </c>
      <c r="V55" cm="1">
        <f t="array" aca="1" ref="V55" ca="1">fn_GetDaysSinceSkiMaintProc($A$2,tbl_2025_2026_Days[[#This Row],[Day]],V54,W54,3,"E",tbl_2025_2026_Days[[#This Row],[Ski]])</f>
        <v>0</v>
      </c>
      <c r="W55" s="66" t="b">
        <v>0</v>
      </c>
      <c r="X55" cm="1">
        <f t="array" aca="1" ref="X55" ca="1">fn_GetDaysSinceSkiMaintProc($A$2,tbl_2025_2026_Days[[#This Row],[Day]],X54,Y54,3,"FT",tbl_2025_2026_Days[[#This Row],[Ski]])</f>
        <v>5</v>
      </c>
      <c r="Y55" s="66" t="b">
        <v>0</v>
      </c>
      <c r="Z55" s="68"/>
    </row>
    <row r="56" spans="1:26" ht="14.65" customHeight="1" x14ac:dyDescent="0.4">
      <c r="A56" cm="1">
        <f t="array" ref="A56">IF(fn_IsTableCellInFirstRow($A56,tbl_2025_2026_Days[]),1,$A55+1)</f>
        <v>38</v>
      </c>
      <c r="B56" s="67">
        <v>46067</v>
      </c>
      <c r="C56" s="68" t="s">
        <v>12</v>
      </c>
      <c r="D56" cm="1">
        <f t="array" ref="D56">fn_GET_UNIQUE_VALS_RUNNING_COUNTS(tbl_2025_2026_Days[Resort Name], tbl_2025_2026_Days[[#This Row],[Resort Name]])</f>
        <v>7</v>
      </c>
      <c r="E56" s="69">
        <v>6605</v>
      </c>
      <c r="F56" s="69">
        <v>1302</v>
      </c>
      <c r="G56" s="68" t="s">
        <v>41</v>
      </c>
      <c r="H56" cm="1">
        <f t="array" aca="1" ref="H56" ca="1">fn_GetDaysSinceSkiMaintProc($A$2,tbl_2025_2026_Days[[#This Row],[Day]],H55,I55,1,"W",tbl_2025_2026_Days[[#This Row],[Ski]])</f>
        <v>1</v>
      </c>
      <c r="I56" s="66" t="b">
        <v>0</v>
      </c>
      <c r="J56" cm="1">
        <f t="array" aca="1" ref="J56" ca="1">fn_GetDaysSinceSkiMaintProc($A$2,tbl_2025_2026_Days[[#This Row],[Day]],J55,K55,1,"E",tbl_2025_2026_Days[[#This Row],[Ski]])</f>
        <v>1</v>
      </c>
      <c r="K56" s="66" t="b">
        <v>0</v>
      </c>
      <c r="L56" cm="1">
        <f t="array" aca="1" ref="L56" ca="1">fn_GetDaysSinceSkiMaintProc($A$2,tbl_2025_2026_Days[[#This Row],[Day]],L55,M55,1,"FT",tbl_2025_2026_Days[[#This Row],[Ski]])</f>
        <v>18</v>
      </c>
      <c r="M56" s="66" t="b">
        <v>0</v>
      </c>
      <c r="N56" cm="1">
        <f t="array" aca="1" ref="N56" ca="1">fn_GetDaysSinceSkiMaintProc($A$2,tbl_2025_2026_Days[[#This Row],[Day]],N55,O55,2,"W",tbl_2025_2026_Days[[#This Row],[Ski]])</f>
        <v>2</v>
      </c>
      <c r="O56" s="66" t="b">
        <v>0</v>
      </c>
      <c r="P56" cm="1">
        <f t="array" aca="1" ref="P56" ca="1">fn_GetDaysSinceSkiMaintProc($A$2,tbl_2025_2026_Days[[#This Row],[Day]],P55,Q55,2,"E",tbl_2025_2026_Days[[#This Row],[Ski]])</f>
        <v>2</v>
      </c>
      <c r="Q56" s="66" t="b">
        <v>0</v>
      </c>
      <c r="R56" cm="1">
        <f t="array" aca="1" ref="R56" ca="1">fn_GetDaysSinceSkiMaintProc($A$2,tbl_2025_2026_Days[[#This Row],[Day]],R55,S55,2,"FT",tbl_2025_2026_Days[[#This Row],[Ski]])</f>
        <v>25</v>
      </c>
      <c r="S56" s="66" t="b">
        <v>0</v>
      </c>
      <c r="T56" cm="1">
        <f t="array" aca="1" ref="T56" ca="1">fn_GetDaysSinceSkiMaintProc($A$2,tbl_2025_2026_Days[[#This Row],[Day]],T55,U55,3,"W",tbl_2025_2026_Days[[#This Row],[Ski]])</f>
        <v>2</v>
      </c>
      <c r="U56" s="66" t="b">
        <v>0</v>
      </c>
      <c r="V56" cm="1">
        <f t="array" aca="1" ref="V56" ca="1">fn_GetDaysSinceSkiMaintProc($A$2,tbl_2025_2026_Days[[#This Row],[Day]],V55,W55,3,"E",tbl_2025_2026_Days[[#This Row],[Ski]])</f>
        <v>0</v>
      </c>
      <c r="W56" s="66" t="b">
        <v>0</v>
      </c>
      <c r="X56" cm="1">
        <f t="array" aca="1" ref="X56" ca="1">fn_GetDaysSinceSkiMaintProc($A$2,tbl_2025_2026_Days[[#This Row],[Day]],X55,Y55,3,"FT",tbl_2025_2026_Days[[#This Row],[Ski]])</f>
        <v>5</v>
      </c>
      <c r="Y56" s="66" t="b">
        <v>0</v>
      </c>
      <c r="Z56" s="68"/>
    </row>
    <row r="57" spans="1:26" ht="14.75" customHeight="1" x14ac:dyDescent="0.4">
      <c r="A57" cm="1">
        <f t="array" ref="A57">IF(fn_IsTableCellInFirstRow($A57,tbl_2025_2026_Days[]),1,$A56+1)</f>
        <v>39</v>
      </c>
      <c r="B57" s="67">
        <v>46069</v>
      </c>
      <c r="C57" s="68" t="s">
        <v>12</v>
      </c>
      <c r="D57" cm="1">
        <f t="array" ref="D57">fn_GET_UNIQUE_VALS_RUNNING_COUNTS(tbl_2025_2026_Days[Resort Name], tbl_2025_2026_Days[[#This Row],[Resort Name]])</f>
        <v>8</v>
      </c>
      <c r="E57" s="69">
        <v>10780</v>
      </c>
      <c r="F57" s="69">
        <v>2064</v>
      </c>
      <c r="G57" s="68" t="s">
        <v>42</v>
      </c>
      <c r="H57" cm="1">
        <f t="array" aca="1" ref="H57" ca="1">fn_GetDaysSinceSkiMaintProc($A$2,tbl_2025_2026_Days[[#This Row],[Day]],H56,I56,1,"W",tbl_2025_2026_Days[[#This Row],[Ski]])</f>
        <v>1</v>
      </c>
      <c r="I57" s="66" t="b">
        <v>1</v>
      </c>
      <c r="J57" cm="1">
        <f t="array" aca="1" ref="J57" ca="1">fn_GetDaysSinceSkiMaintProc($A$2,tbl_2025_2026_Days[[#This Row],[Day]],J56,K56,1,"E",tbl_2025_2026_Days[[#This Row],[Ski]])</f>
        <v>1</v>
      </c>
      <c r="K57" s="66" t="b">
        <v>1</v>
      </c>
      <c r="L57" cm="1">
        <f t="array" aca="1" ref="L57" ca="1">fn_GetDaysSinceSkiMaintProc($A$2,tbl_2025_2026_Days[[#This Row],[Day]],L56,M56,1,"FT",tbl_2025_2026_Days[[#This Row],[Ski]])</f>
        <v>18</v>
      </c>
      <c r="M57" s="66" t="b">
        <v>0</v>
      </c>
      <c r="N57" cm="1">
        <f t="array" aca="1" ref="N57" ca="1">fn_GetDaysSinceSkiMaintProc($A$2,tbl_2025_2026_Days[[#This Row],[Day]],N56,O56,2,"W",tbl_2025_2026_Days[[#This Row],[Ski]])</f>
        <v>3</v>
      </c>
      <c r="O57" s="66" t="b">
        <v>1</v>
      </c>
      <c r="P57" cm="1">
        <f t="array" aca="1" ref="P57" ca="1">fn_GetDaysSinceSkiMaintProc($A$2,tbl_2025_2026_Days[[#This Row],[Day]],P56,Q56,2,"E",tbl_2025_2026_Days[[#This Row],[Ski]])</f>
        <v>3</v>
      </c>
      <c r="Q57" s="66" t="b">
        <v>1</v>
      </c>
      <c r="R57" cm="1">
        <f t="array" aca="1" ref="R57" ca="1">fn_GetDaysSinceSkiMaintProc($A$2,tbl_2025_2026_Days[[#This Row],[Day]],R56,S56,2,"FT",tbl_2025_2026_Days[[#This Row],[Ski]])</f>
        <v>26</v>
      </c>
      <c r="S57" s="66" t="b">
        <v>0</v>
      </c>
      <c r="T57" cm="1">
        <f t="array" aca="1" ref="T57" ca="1">fn_GetDaysSinceSkiMaintProc($A$2,tbl_2025_2026_Days[[#This Row],[Day]],T56,U56,3,"W",tbl_2025_2026_Days[[#This Row],[Ski]])</f>
        <v>2</v>
      </c>
      <c r="U57" s="66" t="b">
        <v>0</v>
      </c>
      <c r="V57" cm="1">
        <f t="array" aca="1" ref="V57" ca="1">fn_GetDaysSinceSkiMaintProc($A$2,tbl_2025_2026_Days[[#This Row],[Day]],V56,W56,3,"E",tbl_2025_2026_Days[[#This Row],[Ski]])</f>
        <v>0</v>
      </c>
      <c r="W57" s="66" t="b">
        <v>0</v>
      </c>
      <c r="X57" cm="1">
        <f t="array" aca="1" ref="X57" ca="1">fn_GetDaysSinceSkiMaintProc($A$2,tbl_2025_2026_Days[[#This Row],[Day]],X56,Y56,3,"FT",tbl_2025_2026_Days[[#This Row],[Ski]])</f>
        <v>5</v>
      </c>
      <c r="Y57" s="66" t="b">
        <v>0</v>
      </c>
      <c r="Z57" s="68"/>
    </row>
    <row r="58" spans="1:26" ht="14.5" customHeight="1" x14ac:dyDescent="0.4">
      <c r="A58" cm="1">
        <f t="array" ref="A58">IF(fn_IsTableCellInFirstRow($A58,tbl_2025_2026_Days[]),1,$A57+1)</f>
        <v>40</v>
      </c>
      <c r="B58" s="67">
        <v>46076</v>
      </c>
      <c r="C58" s="68" t="s">
        <v>52</v>
      </c>
      <c r="D58" cm="1">
        <f t="array" ref="D58">fn_GET_UNIQUE_VALS_RUNNING_COUNTS(tbl_2025_2026_Days[Resort Name], tbl_2025_2026_Days[[#This Row],[Resort Name]])</f>
        <v>2</v>
      </c>
      <c r="E58" s="79">
        <v>5825</v>
      </c>
      <c r="F58" s="79">
        <v>1269</v>
      </c>
      <c r="G58" s="68" t="s">
        <v>41</v>
      </c>
      <c r="H58" cm="1">
        <f t="array" aca="1" ref="H58" ca="1">fn_GetDaysSinceSkiMaintProc($A$2,tbl_2025_2026_Days[[#This Row],[Day]],H57,I57,1,"W",tbl_2025_2026_Days[[#This Row],[Ski]])</f>
        <v>1</v>
      </c>
      <c r="I58" s="66" t="b">
        <v>0</v>
      </c>
      <c r="J58" cm="1">
        <f t="array" aca="1" ref="J58" ca="1">fn_GetDaysSinceSkiMaintProc($A$2,tbl_2025_2026_Days[[#This Row],[Day]],J57,K57,1,"E",tbl_2025_2026_Days[[#This Row],[Ski]])</f>
        <v>1</v>
      </c>
      <c r="K58" s="66" t="b">
        <v>0</v>
      </c>
      <c r="L58" cm="1">
        <f t="array" aca="1" ref="L58" ca="1">fn_GetDaysSinceSkiMaintProc($A$2,tbl_2025_2026_Days[[#This Row],[Day]],L57,M57,1,"FT",tbl_2025_2026_Days[[#This Row],[Ski]])</f>
        <v>19</v>
      </c>
      <c r="M58" s="66" t="b">
        <v>0</v>
      </c>
      <c r="N58" cm="1">
        <f t="array" aca="1" ref="N58" ca="1">fn_GetDaysSinceSkiMaintProc($A$2,tbl_2025_2026_Days[[#This Row],[Day]],N57,O57,2,"W",tbl_2025_2026_Days[[#This Row],[Ski]])</f>
        <v>0</v>
      </c>
      <c r="O58" s="66" t="b">
        <v>0</v>
      </c>
      <c r="P58" cm="1">
        <f t="array" aca="1" ref="P58" ca="1">fn_GetDaysSinceSkiMaintProc($A$2,tbl_2025_2026_Days[[#This Row],[Day]],P57,Q57,2,"E",tbl_2025_2026_Days[[#This Row],[Ski]])</f>
        <v>0</v>
      </c>
      <c r="Q58" s="66" t="b">
        <v>0</v>
      </c>
      <c r="R58" cm="1">
        <f t="array" aca="1" ref="R58" ca="1">fn_GetDaysSinceSkiMaintProc($A$2,tbl_2025_2026_Days[[#This Row],[Day]],R57,S57,2,"FT",tbl_2025_2026_Days[[#This Row],[Ski]])</f>
        <v>26</v>
      </c>
      <c r="S58" s="66" t="b">
        <v>0</v>
      </c>
      <c r="T58" cm="1">
        <f t="array" aca="1" ref="T58" ca="1">fn_GetDaysSinceSkiMaintProc($A$2,tbl_2025_2026_Days[[#This Row],[Day]],T57,U57,3,"W",tbl_2025_2026_Days[[#This Row],[Ski]])</f>
        <v>2</v>
      </c>
      <c r="U58" s="66" t="b">
        <v>0</v>
      </c>
      <c r="V58" cm="1">
        <f t="array" aca="1" ref="V58" ca="1">fn_GetDaysSinceSkiMaintProc($A$2,tbl_2025_2026_Days[[#This Row],[Day]],V57,W57,3,"E",tbl_2025_2026_Days[[#This Row],[Ski]])</f>
        <v>0</v>
      </c>
      <c r="W58" s="66" t="b">
        <v>0</v>
      </c>
      <c r="X58" cm="1">
        <f t="array" aca="1" ref="X58" ca="1">fn_GetDaysSinceSkiMaintProc($A$2,tbl_2025_2026_Days[[#This Row],[Day]],X57,Y57,3,"FT",tbl_2025_2026_Days[[#This Row],[Ski]])</f>
        <v>5</v>
      </c>
      <c r="Y58" s="66" t="b">
        <v>0</v>
      </c>
      <c r="Z58" s="68"/>
    </row>
    <row r="59" spans="1:26" ht="14.75" customHeight="1" x14ac:dyDescent="0.4">
      <c r="A59" cm="1">
        <f t="array" ref="A59">IF(fn_IsTableCellInFirstRow($A59,tbl_2025_2026_Days[]),1,$A58+1)</f>
        <v>41</v>
      </c>
      <c r="B59" s="67">
        <v>46077</v>
      </c>
      <c r="C59" s="68" t="s">
        <v>51</v>
      </c>
      <c r="D59" cm="1">
        <f t="array" ref="D59">fn_GET_UNIQUE_VALS_RUNNING_COUNTS(tbl_2025_2026_Days[Resort Name], tbl_2025_2026_Days[[#This Row],[Resort Name]])</f>
        <v>1</v>
      </c>
      <c r="E59" s="79">
        <v>8370</v>
      </c>
      <c r="F59" s="79">
        <v>1245</v>
      </c>
      <c r="G59" s="68" t="s">
        <v>41</v>
      </c>
      <c r="H59" cm="1">
        <f t="array" aca="1" ref="H59" ca="1">fn_GetDaysSinceSkiMaintProc($A$2,tbl_2025_2026_Days[[#This Row],[Day]],H58,I58,1,"W",tbl_2025_2026_Days[[#This Row],[Ski]])</f>
        <v>2</v>
      </c>
      <c r="I59" s="66" t="b">
        <v>0</v>
      </c>
      <c r="J59" cm="1">
        <f t="array" aca="1" ref="J59" ca="1">fn_GetDaysSinceSkiMaintProc($A$2,tbl_2025_2026_Days[[#This Row],[Day]],J58,K58,1,"E",tbl_2025_2026_Days[[#This Row],[Ski]])</f>
        <v>2</v>
      </c>
      <c r="K59" s="66" t="b">
        <v>0</v>
      </c>
      <c r="L59" cm="1">
        <f t="array" aca="1" ref="L59" ca="1">fn_GetDaysSinceSkiMaintProc($A$2,tbl_2025_2026_Days[[#This Row],[Day]],L58,M58,1,"FT",tbl_2025_2026_Days[[#This Row],[Ski]])</f>
        <v>20</v>
      </c>
      <c r="M59" s="66" t="b">
        <v>0</v>
      </c>
      <c r="N59" cm="1">
        <f t="array" aca="1" ref="N59" ca="1">fn_GetDaysSinceSkiMaintProc($A$2,tbl_2025_2026_Days[[#This Row],[Day]],N58,O58,2,"W",tbl_2025_2026_Days[[#This Row],[Ski]])</f>
        <v>0</v>
      </c>
      <c r="O59" s="66" t="b">
        <v>0</v>
      </c>
      <c r="P59" cm="1">
        <f t="array" aca="1" ref="P59" ca="1">fn_GetDaysSinceSkiMaintProc($A$2,tbl_2025_2026_Days[[#This Row],[Day]],P58,Q58,2,"E",tbl_2025_2026_Days[[#This Row],[Ski]])</f>
        <v>0</v>
      </c>
      <c r="Q59" s="66" t="b">
        <v>0</v>
      </c>
      <c r="R59" cm="1">
        <f t="array" aca="1" ref="R59" ca="1">fn_GetDaysSinceSkiMaintProc($A$2,tbl_2025_2026_Days[[#This Row],[Day]],R58,S58,2,"FT",tbl_2025_2026_Days[[#This Row],[Ski]])</f>
        <v>26</v>
      </c>
      <c r="S59" s="66" t="b">
        <v>0</v>
      </c>
      <c r="T59" cm="1">
        <f t="array" aca="1" ref="T59" ca="1">fn_GetDaysSinceSkiMaintProc($A$2,tbl_2025_2026_Days[[#This Row],[Day]],T58,U58,3,"W",tbl_2025_2026_Days[[#This Row],[Ski]])</f>
        <v>2</v>
      </c>
      <c r="U59" s="66" t="b">
        <v>0</v>
      </c>
      <c r="V59" cm="1">
        <f t="array" aca="1" ref="V59" ca="1">fn_GetDaysSinceSkiMaintProc($A$2,tbl_2025_2026_Days[[#This Row],[Day]],V58,W58,3,"E",tbl_2025_2026_Days[[#This Row],[Ski]])</f>
        <v>0</v>
      </c>
      <c r="W59" s="66" t="b">
        <v>0</v>
      </c>
      <c r="X59" cm="1">
        <f t="array" aca="1" ref="X59" ca="1">fn_GetDaysSinceSkiMaintProc($A$2,tbl_2025_2026_Days[[#This Row],[Day]],X58,Y58,3,"FT",tbl_2025_2026_Days[[#This Row],[Ski]])</f>
        <v>5</v>
      </c>
      <c r="Y59" s="66" t="b">
        <v>0</v>
      </c>
      <c r="Z59" s="68"/>
    </row>
    <row r="60" spans="1:26" ht="14.65" customHeight="1" x14ac:dyDescent="0.4">
      <c r="A60" cm="1">
        <f t="array" ref="A60">IF(fn_IsTableCellInFirstRow($A60,tbl_2025_2026_Days[]),1,$A59+1)</f>
        <v>42</v>
      </c>
      <c r="B60" s="67">
        <v>46078</v>
      </c>
      <c r="C60" s="68" t="s">
        <v>51</v>
      </c>
      <c r="D60" cm="1">
        <f t="array" ref="D60">fn_GET_UNIQUE_VALS_RUNNING_COUNTS(tbl_2025_2026_Days[Resort Name], tbl_2025_2026_Days[[#This Row],[Resort Name]])</f>
        <v>2</v>
      </c>
      <c r="E60" s="79">
        <v>13311</v>
      </c>
      <c r="F60" s="79">
        <v>1546</v>
      </c>
      <c r="G60" s="68" t="s">
        <v>42</v>
      </c>
      <c r="H60" cm="1">
        <f t="array" aca="1" ref="H60" ca="1">fn_GetDaysSinceSkiMaintProc($A$2,tbl_2025_2026_Days[[#This Row],[Day]],H59,I59,1,"W",tbl_2025_2026_Days[[#This Row],[Ski]])</f>
        <v>2</v>
      </c>
      <c r="I60" s="66" t="b">
        <v>0</v>
      </c>
      <c r="J60" cm="1">
        <f t="array" aca="1" ref="J60" ca="1">fn_GetDaysSinceSkiMaintProc($A$2,tbl_2025_2026_Days[[#This Row],[Day]],J59,K59,1,"E",tbl_2025_2026_Days[[#This Row],[Ski]])</f>
        <v>2</v>
      </c>
      <c r="K60" s="66" t="b">
        <v>0</v>
      </c>
      <c r="L60" cm="1">
        <f t="array" aca="1" ref="L60" ca="1">fn_GetDaysSinceSkiMaintProc($A$2,tbl_2025_2026_Days[[#This Row],[Day]],L59,M59,1,"FT",tbl_2025_2026_Days[[#This Row],[Ski]])</f>
        <v>20</v>
      </c>
      <c r="M60" s="66" t="b">
        <v>0</v>
      </c>
      <c r="N60" cm="1">
        <f t="array" aca="1" ref="N60" ca="1">fn_GetDaysSinceSkiMaintProc($A$2,tbl_2025_2026_Days[[#This Row],[Day]],N59,O59,2,"W",tbl_2025_2026_Days[[#This Row],[Ski]])</f>
        <v>1</v>
      </c>
      <c r="O60" s="66" t="b">
        <v>0</v>
      </c>
      <c r="P60" cm="1">
        <f t="array" aca="1" ref="P60" ca="1">fn_GetDaysSinceSkiMaintProc($A$2,tbl_2025_2026_Days[[#This Row],[Day]],P59,Q59,2,"E",tbl_2025_2026_Days[[#This Row],[Ski]])</f>
        <v>1</v>
      </c>
      <c r="Q60" s="66" t="b">
        <v>0</v>
      </c>
      <c r="R60" cm="1">
        <f t="array" aca="1" ref="R60" ca="1">fn_GetDaysSinceSkiMaintProc($A$2,tbl_2025_2026_Days[[#This Row],[Day]],R59,S59,2,"FT",tbl_2025_2026_Days[[#This Row],[Ski]])</f>
        <v>27</v>
      </c>
      <c r="S60" s="66" t="b">
        <v>0</v>
      </c>
      <c r="T60" cm="1">
        <f t="array" aca="1" ref="T60" ca="1">fn_GetDaysSinceSkiMaintProc($A$2,tbl_2025_2026_Days[[#This Row],[Day]],T59,U59,3,"W",tbl_2025_2026_Days[[#This Row],[Ski]])</f>
        <v>2</v>
      </c>
      <c r="U60" s="66" t="b">
        <v>0</v>
      </c>
      <c r="V60" cm="1">
        <f t="array" aca="1" ref="V60" ca="1">fn_GetDaysSinceSkiMaintProc($A$2,tbl_2025_2026_Days[[#This Row],[Day]],V59,W59,3,"E",tbl_2025_2026_Days[[#This Row],[Ski]])</f>
        <v>0</v>
      </c>
      <c r="W60" s="66" t="b">
        <v>0</v>
      </c>
      <c r="X60" cm="1">
        <f t="array" aca="1" ref="X60" ca="1">fn_GetDaysSinceSkiMaintProc($A$2,tbl_2025_2026_Days[[#This Row],[Day]],X59,Y59,3,"FT",tbl_2025_2026_Days[[#This Row],[Ski]])</f>
        <v>5</v>
      </c>
      <c r="Y60" s="66" t="b">
        <v>0</v>
      </c>
      <c r="Z60" s="68"/>
    </row>
    <row r="61" spans="1:26" ht="14.75" customHeight="1" x14ac:dyDescent="0.4">
      <c r="A61" cm="1">
        <f t="array" ref="A61">IF(fn_IsTableCellInFirstRow($A61,tbl_2025_2026_Days[]),1,$A60+1)</f>
        <v>43</v>
      </c>
      <c r="B61" s="67">
        <v>46079</v>
      </c>
      <c r="C61" s="68" t="s">
        <v>51</v>
      </c>
      <c r="D61" cm="1">
        <f t="array" ref="D61">fn_GET_UNIQUE_VALS_RUNNING_COUNTS(tbl_2025_2026_Days[Resort Name], tbl_2025_2026_Days[[#This Row],[Resort Name]])</f>
        <v>3</v>
      </c>
      <c r="E61" s="79">
        <v>9160</v>
      </c>
      <c r="F61" s="79">
        <v>961</v>
      </c>
      <c r="G61" s="68" t="s">
        <v>42</v>
      </c>
      <c r="H61" cm="1">
        <f t="array" aca="1" ref="H61" ca="1">fn_GetDaysSinceSkiMaintProc($A$2,tbl_2025_2026_Days[[#This Row],[Day]],H60,I60,1,"W",tbl_2025_2026_Days[[#This Row],[Ski]])</f>
        <v>2</v>
      </c>
      <c r="I61" s="66" t="b">
        <v>0</v>
      </c>
      <c r="J61" cm="1">
        <f t="array" aca="1" ref="J61" ca="1">fn_GetDaysSinceSkiMaintProc($A$2,tbl_2025_2026_Days[[#This Row],[Day]],J60,K60,1,"E",tbl_2025_2026_Days[[#This Row],[Ski]])</f>
        <v>2</v>
      </c>
      <c r="K61" s="66" t="b">
        <v>0</v>
      </c>
      <c r="L61" cm="1">
        <f t="array" aca="1" ref="L61" ca="1">fn_GetDaysSinceSkiMaintProc($A$2,tbl_2025_2026_Days[[#This Row],[Day]],L60,M60,1,"FT",tbl_2025_2026_Days[[#This Row],[Ski]])</f>
        <v>20</v>
      </c>
      <c r="M61" s="66" t="b">
        <v>0</v>
      </c>
      <c r="N61" cm="1">
        <f t="array" aca="1" ref="N61" ca="1">fn_GetDaysSinceSkiMaintProc($A$2,tbl_2025_2026_Days[[#This Row],[Day]],N60,O60,2,"W",tbl_2025_2026_Days[[#This Row],[Ski]])</f>
        <v>2</v>
      </c>
      <c r="O61" s="66" t="b">
        <v>0</v>
      </c>
      <c r="P61" cm="1">
        <f t="array" aca="1" ref="P61" ca="1">fn_GetDaysSinceSkiMaintProc($A$2,tbl_2025_2026_Days[[#This Row],[Day]],P60,Q60,2,"E",tbl_2025_2026_Days[[#This Row],[Ski]])</f>
        <v>2</v>
      </c>
      <c r="Q61" s="66" t="b">
        <v>0</v>
      </c>
      <c r="R61" cm="1">
        <f t="array" aca="1" ref="R61" ca="1">fn_GetDaysSinceSkiMaintProc($A$2,tbl_2025_2026_Days[[#This Row],[Day]],R60,S60,2,"FT",tbl_2025_2026_Days[[#This Row],[Ski]])</f>
        <v>28</v>
      </c>
      <c r="S61" s="66" t="b">
        <v>0</v>
      </c>
      <c r="T61" cm="1">
        <f t="array" aca="1" ref="T61" ca="1">fn_GetDaysSinceSkiMaintProc($A$2,tbl_2025_2026_Days[[#This Row],[Day]],T60,U60,3,"W",tbl_2025_2026_Days[[#This Row],[Ski]])</f>
        <v>2</v>
      </c>
      <c r="U61" s="66" t="b">
        <v>0</v>
      </c>
      <c r="V61" cm="1">
        <f t="array" aca="1" ref="V61" ca="1">fn_GetDaysSinceSkiMaintProc($A$2,tbl_2025_2026_Days[[#This Row],[Day]],V60,W60,3,"E",tbl_2025_2026_Days[[#This Row],[Ski]])</f>
        <v>0</v>
      </c>
      <c r="W61" s="66" t="b">
        <v>0</v>
      </c>
      <c r="X61" cm="1">
        <f t="array" aca="1" ref="X61" ca="1">fn_GetDaysSinceSkiMaintProc($A$2,tbl_2025_2026_Days[[#This Row],[Day]],X60,Y60,3,"FT",tbl_2025_2026_Days[[#This Row],[Ski]])</f>
        <v>5</v>
      </c>
      <c r="Y61" s="66" t="b">
        <v>0</v>
      </c>
      <c r="Z61" s="68"/>
    </row>
    <row r="62" spans="1:26" ht="14.75" customHeight="1" x14ac:dyDescent="0.4">
      <c r="A62" cm="1">
        <f t="array" ref="A62">IF(fn_IsTableCellInFirstRow($A62,tbl_2025_2026_Days[]),1,$A61+1)</f>
        <v>44</v>
      </c>
      <c r="B62" s="67">
        <v>46080</v>
      </c>
      <c r="C62" s="68" t="s">
        <v>51</v>
      </c>
      <c r="D62" cm="1">
        <f t="array" ref="D62">fn_GET_UNIQUE_VALS_RUNNING_COUNTS(tbl_2025_2026_Days[Resort Name], tbl_2025_2026_Days[[#This Row],[Resort Name]])</f>
        <v>4</v>
      </c>
      <c r="E62" s="79">
        <v>9520</v>
      </c>
      <c r="F62" s="79">
        <v>1328</v>
      </c>
      <c r="G62" s="68" t="s">
        <v>41</v>
      </c>
      <c r="H62" cm="1">
        <f t="array" aca="1" ref="H62" ca="1">fn_GetDaysSinceSkiMaintProc($A$2,tbl_2025_2026_Days[[#This Row],[Day]],H61,I61,1,"W",tbl_2025_2026_Days[[#This Row],[Ski]])</f>
        <v>3</v>
      </c>
      <c r="I62" s="66" t="b">
        <v>0</v>
      </c>
      <c r="J62" cm="1">
        <f t="array" aca="1" ref="J62" ca="1">fn_GetDaysSinceSkiMaintProc($A$2,tbl_2025_2026_Days[[#This Row],[Day]],J61,K61,1,"E",tbl_2025_2026_Days[[#This Row],[Ski]])</f>
        <v>3</v>
      </c>
      <c r="K62" s="66" t="b">
        <v>0</v>
      </c>
      <c r="L62" cm="1">
        <f t="array" aca="1" ref="L62" ca="1">fn_GetDaysSinceSkiMaintProc($A$2,tbl_2025_2026_Days[[#This Row],[Day]],L61,M61,1,"FT",tbl_2025_2026_Days[[#This Row],[Ski]])</f>
        <v>21</v>
      </c>
      <c r="M62" s="66" t="b">
        <v>0</v>
      </c>
      <c r="N62" cm="1">
        <f t="array" aca="1" ref="N62" ca="1">fn_GetDaysSinceSkiMaintProc($A$2,tbl_2025_2026_Days[[#This Row],[Day]],N61,O61,2,"W",tbl_2025_2026_Days[[#This Row],[Ski]])</f>
        <v>2</v>
      </c>
      <c r="O62" s="66" t="b">
        <v>0</v>
      </c>
      <c r="P62" cm="1">
        <f t="array" aca="1" ref="P62" ca="1">fn_GetDaysSinceSkiMaintProc($A$2,tbl_2025_2026_Days[[#This Row],[Day]],P61,Q61,2,"E",tbl_2025_2026_Days[[#This Row],[Ski]])</f>
        <v>2</v>
      </c>
      <c r="Q62" s="66" t="b">
        <v>0</v>
      </c>
      <c r="R62" cm="1">
        <f t="array" aca="1" ref="R62" ca="1">fn_GetDaysSinceSkiMaintProc($A$2,tbl_2025_2026_Days[[#This Row],[Day]],R61,S61,2,"FT",tbl_2025_2026_Days[[#This Row],[Ski]])</f>
        <v>28</v>
      </c>
      <c r="S62" s="66" t="b">
        <v>0</v>
      </c>
      <c r="T62" cm="1">
        <f t="array" aca="1" ref="T62" ca="1">fn_GetDaysSinceSkiMaintProc($A$2,tbl_2025_2026_Days[[#This Row],[Day]],T61,U61,3,"W",tbl_2025_2026_Days[[#This Row],[Ski]])</f>
        <v>2</v>
      </c>
      <c r="U62" s="66" t="b">
        <v>0</v>
      </c>
      <c r="V62" cm="1">
        <f t="array" aca="1" ref="V62" ca="1">fn_GetDaysSinceSkiMaintProc($A$2,tbl_2025_2026_Days[[#This Row],[Day]],V61,W61,3,"E",tbl_2025_2026_Days[[#This Row],[Ski]])</f>
        <v>0</v>
      </c>
      <c r="W62" s="66" t="b">
        <v>0</v>
      </c>
      <c r="X62" cm="1">
        <f t="array" aca="1" ref="X62" ca="1">fn_GetDaysSinceSkiMaintProc($A$2,tbl_2025_2026_Days[[#This Row],[Day]],X61,Y61,3,"FT",tbl_2025_2026_Days[[#This Row],[Ski]])</f>
        <v>5</v>
      </c>
      <c r="Y62" s="66" t="b">
        <v>0</v>
      </c>
      <c r="Z62" s="68"/>
    </row>
    <row r="63" spans="1:26" ht="14.4" customHeight="1" x14ac:dyDescent="0.4">
      <c r="A63" cm="1">
        <f t="array" ref="A63">IF(fn_IsTableCellInFirstRow($A63,tbl_2025_2026_Days[]),1,$A62+1)</f>
        <v>45</v>
      </c>
      <c r="B63" s="67">
        <v>46082</v>
      </c>
      <c r="C63" s="68" t="s">
        <v>79</v>
      </c>
      <c r="D63" cm="1">
        <f t="array" ref="D63">fn_GET_UNIQUE_VALS_RUNNING_COUNTS(tbl_2025_2026_Days[Resort Name], tbl_2025_2026_Days[[#This Row],[Resort Name]])</f>
        <v>1</v>
      </c>
      <c r="E63" s="79">
        <v>5345</v>
      </c>
      <c r="F63" s="79">
        <v>943</v>
      </c>
      <c r="G63" s="68" t="s">
        <v>42</v>
      </c>
      <c r="H63" cm="1">
        <f t="array" aca="1" ref="H63" ca="1">fn_GetDaysSinceSkiMaintProc($A$2,tbl_2025_2026_Days[[#This Row],[Day]],H62,I62,1,"W",tbl_2025_2026_Days[[#This Row],[Ski]])</f>
        <v>3</v>
      </c>
      <c r="I63" s="66" t="b">
        <v>0</v>
      </c>
      <c r="J63" cm="1">
        <f t="array" aca="1" ref="J63" ca="1">fn_GetDaysSinceSkiMaintProc($A$2,tbl_2025_2026_Days[[#This Row],[Day]],J62,K62,1,"E",tbl_2025_2026_Days[[#This Row],[Ski]])</f>
        <v>3</v>
      </c>
      <c r="K63" s="66" t="b">
        <v>0</v>
      </c>
      <c r="L63" cm="1">
        <f t="array" aca="1" ref="L63" ca="1">fn_GetDaysSinceSkiMaintProc($A$2,tbl_2025_2026_Days[[#This Row],[Day]],L62,M62,1,"FT",tbl_2025_2026_Days[[#This Row],[Ski]])</f>
        <v>21</v>
      </c>
      <c r="M63" s="66" t="b">
        <v>0</v>
      </c>
      <c r="N63" cm="1">
        <f t="array" aca="1" ref="N63" ca="1">fn_GetDaysSinceSkiMaintProc($A$2,tbl_2025_2026_Days[[#This Row],[Day]],N62,O62,2,"W",tbl_2025_2026_Days[[#This Row],[Ski]])</f>
        <v>3</v>
      </c>
      <c r="O63" s="66" t="b">
        <v>1</v>
      </c>
      <c r="P63" cm="1">
        <f t="array" aca="1" ref="P63" ca="1">fn_GetDaysSinceSkiMaintProc($A$2,tbl_2025_2026_Days[[#This Row],[Day]],P62,Q62,2,"E",tbl_2025_2026_Days[[#This Row],[Ski]])</f>
        <v>3</v>
      </c>
      <c r="Q63" s="66" t="b">
        <v>1</v>
      </c>
      <c r="R63" cm="1">
        <f t="array" aca="1" ref="R63" ca="1">fn_GetDaysSinceSkiMaintProc($A$2,tbl_2025_2026_Days[[#This Row],[Day]],R62,S62,2,"FT",tbl_2025_2026_Days[[#This Row],[Ski]])</f>
        <v>29</v>
      </c>
      <c r="S63" s="66" t="b">
        <v>0</v>
      </c>
      <c r="T63" cm="1">
        <f t="array" aca="1" ref="T63" ca="1">fn_GetDaysSinceSkiMaintProc($A$2,tbl_2025_2026_Days[[#This Row],[Day]],T62,U62,3,"W",tbl_2025_2026_Days[[#This Row],[Ski]])</f>
        <v>2</v>
      </c>
      <c r="U63" s="66" t="b">
        <v>0</v>
      </c>
      <c r="V63" cm="1">
        <f t="array" aca="1" ref="V63" ca="1">fn_GetDaysSinceSkiMaintProc($A$2,tbl_2025_2026_Days[[#This Row],[Day]],V62,W62,3,"E",tbl_2025_2026_Days[[#This Row],[Ski]])</f>
        <v>0</v>
      </c>
      <c r="W63" s="66" t="b">
        <v>0</v>
      </c>
      <c r="X63" cm="1">
        <f t="array" aca="1" ref="X63" ca="1">fn_GetDaysSinceSkiMaintProc($A$2,tbl_2025_2026_Days[[#This Row],[Day]],X62,Y62,3,"FT",tbl_2025_2026_Days[[#This Row],[Ski]])</f>
        <v>5</v>
      </c>
      <c r="Y63" s="66" t="b">
        <v>0</v>
      </c>
      <c r="Z63" s="68"/>
    </row>
    <row r="64" spans="1:26" ht="14.65" customHeight="1" x14ac:dyDescent="0.4">
      <c r="A64" cm="1">
        <f t="array" ref="A64">IF(fn_IsTableCellInFirstRow($A64,tbl_2025_2026_Days[]),1,$A63+1)</f>
        <v>46</v>
      </c>
      <c r="B64" s="67">
        <v>46083</v>
      </c>
      <c r="C64" s="68" t="s">
        <v>52</v>
      </c>
      <c r="D64" cm="1">
        <f t="array" ref="D64">fn_GET_UNIQUE_VALS_RUNNING_COUNTS(tbl_2025_2026_Days[Resort Name], tbl_2025_2026_Days[[#This Row],[Resort Name]])</f>
        <v>3</v>
      </c>
      <c r="E64" s="79">
        <v>8480</v>
      </c>
      <c r="F64" s="79">
        <v>1038</v>
      </c>
      <c r="G64" s="68" t="s">
        <v>42</v>
      </c>
      <c r="H64" cm="1">
        <f t="array" aca="1" ref="H64" ca="1">fn_GetDaysSinceSkiMaintProc($A$2,tbl_2025_2026_Days[[#This Row],[Day]],H63,I63,1,"W",tbl_2025_2026_Days[[#This Row],[Ski]])</f>
        <v>3</v>
      </c>
      <c r="I64" s="66" t="b">
        <v>0</v>
      </c>
      <c r="J64" cm="1">
        <f t="array" aca="1" ref="J64" ca="1">fn_GetDaysSinceSkiMaintProc($A$2,tbl_2025_2026_Days[[#This Row],[Day]],J63,K63,1,"E",tbl_2025_2026_Days[[#This Row],[Ski]])</f>
        <v>3</v>
      </c>
      <c r="K64" s="66" t="b">
        <v>0</v>
      </c>
      <c r="L64" cm="1">
        <f t="array" aca="1" ref="L64" ca="1">fn_GetDaysSinceSkiMaintProc($A$2,tbl_2025_2026_Days[[#This Row],[Day]],L63,M63,1,"FT",tbl_2025_2026_Days[[#This Row],[Ski]])</f>
        <v>21</v>
      </c>
      <c r="M64" s="66" t="b">
        <v>0</v>
      </c>
      <c r="N64" cm="1">
        <f t="array" aca="1" ref="N64" ca="1">fn_GetDaysSinceSkiMaintProc($A$2,tbl_2025_2026_Days[[#This Row],[Day]],N63,O63,2,"W",tbl_2025_2026_Days[[#This Row],[Ski]])</f>
        <v>1</v>
      </c>
      <c r="O64" s="66" t="b">
        <v>0</v>
      </c>
      <c r="P64" cm="1">
        <f t="array" aca="1" ref="P64" ca="1">fn_GetDaysSinceSkiMaintProc($A$2,tbl_2025_2026_Days[[#This Row],[Day]],P63,Q63,2,"E",tbl_2025_2026_Days[[#This Row],[Ski]])</f>
        <v>1</v>
      </c>
      <c r="Q64" s="66" t="b">
        <v>0</v>
      </c>
      <c r="R64" cm="1">
        <f t="array" aca="1" ref="R64" ca="1">fn_GetDaysSinceSkiMaintProc($A$2,tbl_2025_2026_Days[[#This Row],[Day]],R63,S63,2,"FT",tbl_2025_2026_Days[[#This Row],[Ski]])</f>
        <v>30</v>
      </c>
      <c r="S64" s="66" t="b">
        <v>0</v>
      </c>
      <c r="T64" cm="1">
        <f t="array" aca="1" ref="T64" ca="1">fn_GetDaysSinceSkiMaintProc($A$2,tbl_2025_2026_Days[[#This Row],[Day]],T63,U63,3,"W",tbl_2025_2026_Days[[#This Row],[Ski]])</f>
        <v>2</v>
      </c>
      <c r="U64" s="66" t="b">
        <v>0</v>
      </c>
      <c r="V64" cm="1">
        <f t="array" aca="1" ref="V64" ca="1">fn_GetDaysSinceSkiMaintProc($A$2,tbl_2025_2026_Days[[#This Row],[Day]],V63,W63,3,"E",tbl_2025_2026_Days[[#This Row],[Ski]])</f>
        <v>0</v>
      </c>
      <c r="W64" s="66" t="b">
        <v>0</v>
      </c>
      <c r="X64" cm="1">
        <f t="array" aca="1" ref="X64" ca="1">fn_GetDaysSinceSkiMaintProc($A$2,tbl_2025_2026_Days[[#This Row],[Day]],X63,Y63,3,"FT",tbl_2025_2026_Days[[#This Row],[Ski]])</f>
        <v>5</v>
      </c>
      <c r="Y64" s="66" t="b">
        <v>0</v>
      </c>
      <c r="Z64" s="68"/>
    </row>
    <row r="65" spans="1:26" ht="14.65" customHeight="1" x14ac:dyDescent="0.4">
      <c r="A65" cm="1">
        <f t="array" ref="A65">IF(fn_IsTableCellInFirstRow($A65,tbl_2025_2026_Days[]),1,$A64+1)</f>
        <v>47</v>
      </c>
      <c r="B65" s="67">
        <v>46084</v>
      </c>
      <c r="C65" s="68" t="s">
        <v>52</v>
      </c>
      <c r="D65" cm="1">
        <f t="array" ref="D65">fn_GET_UNIQUE_VALS_RUNNING_COUNTS(tbl_2025_2026_Days[Resort Name], tbl_2025_2026_Days[[#This Row],[Resort Name]])</f>
        <v>4</v>
      </c>
      <c r="E65" s="79">
        <v>5540</v>
      </c>
      <c r="F65" s="79">
        <v>958</v>
      </c>
      <c r="G65" s="68" t="s">
        <v>42</v>
      </c>
      <c r="H65" cm="1">
        <f t="array" aca="1" ref="H65" ca="1">fn_GetDaysSinceSkiMaintProc($A$2,tbl_2025_2026_Days[[#This Row],[Day]],H64,I64,1,"W",tbl_2025_2026_Days[[#This Row],[Ski]])</f>
        <v>3</v>
      </c>
      <c r="I65" s="66" t="b">
        <v>0</v>
      </c>
      <c r="J65" cm="1">
        <f t="array" aca="1" ref="J65" ca="1">fn_GetDaysSinceSkiMaintProc($A$2,tbl_2025_2026_Days[[#This Row],[Day]],J64,K64,1,"E",tbl_2025_2026_Days[[#This Row],[Ski]])</f>
        <v>3</v>
      </c>
      <c r="K65" s="66" t="b">
        <v>0</v>
      </c>
      <c r="L65" cm="1">
        <f t="array" aca="1" ref="L65" ca="1">fn_GetDaysSinceSkiMaintProc($A$2,tbl_2025_2026_Days[[#This Row],[Day]],L64,M64,1,"FT",tbl_2025_2026_Days[[#This Row],[Ski]])</f>
        <v>21</v>
      </c>
      <c r="M65" s="66" t="b">
        <v>0</v>
      </c>
      <c r="N65" cm="1">
        <f t="array" aca="1" ref="N65" ca="1">fn_GetDaysSinceSkiMaintProc($A$2,tbl_2025_2026_Days[[#This Row],[Day]],N64,O64,2,"W",tbl_2025_2026_Days[[#This Row],[Ski]])</f>
        <v>2</v>
      </c>
      <c r="O65" s="66" t="b">
        <v>0</v>
      </c>
      <c r="P65" cm="1">
        <f t="array" aca="1" ref="P65" ca="1">fn_GetDaysSinceSkiMaintProc($A$2,tbl_2025_2026_Days[[#This Row],[Day]],P64,Q64,2,"E",tbl_2025_2026_Days[[#This Row],[Ski]])</f>
        <v>2</v>
      </c>
      <c r="Q65" s="66" t="b">
        <v>0</v>
      </c>
      <c r="R65" cm="1">
        <f t="array" aca="1" ref="R65" ca="1">fn_GetDaysSinceSkiMaintProc($A$2,tbl_2025_2026_Days[[#This Row],[Day]],R64,S64,2,"FT",tbl_2025_2026_Days[[#This Row],[Ski]])</f>
        <v>31</v>
      </c>
      <c r="S65" s="66" t="b">
        <v>0</v>
      </c>
      <c r="T65" cm="1">
        <f t="array" aca="1" ref="T65" ca="1">fn_GetDaysSinceSkiMaintProc($A$2,tbl_2025_2026_Days[[#This Row],[Day]],T64,U64,3,"W",tbl_2025_2026_Days[[#This Row],[Ski]])</f>
        <v>2</v>
      </c>
      <c r="U65" s="66" t="b">
        <v>0</v>
      </c>
      <c r="V65" cm="1">
        <f t="array" aca="1" ref="V65" ca="1">fn_GetDaysSinceSkiMaintProc($A$2,tbl_2025_2026_Days[[#This Row],[Day]],V64,W64,3,"E",tbl_2025_2026_Days[[#This Row],[Ski]])</f>
        <v>0</v>
      </c>
      <c r="W65" s="66" t="b">
        <v>0</v>
      </c>
      <c r="X65" cm="1">
        <f t="array" aca="1" ref="X65" ca="1">fn_GetDaysSinceSkiMaintProc($A$2,tbl_2025_2026_Days[[#This Row],[Day]],X64,Y64,3,"FT",tbl_2025_2026_Days[[#This Row],[Ski]])</f>
        <v>5</v>
      </c>
      <c r="Y65" s="66" t="b">
        <v>0</v>
      </c>
      <c r="Z65" s="68"/>
    </row>
    <row r="66" spans="1:26" ht="14.65" customHeight="1" x14ac:dyDescent="0.4">
      <c r="A66" cm="1">
        <f t="array" ref="A66">IF(fn_IsTableCellInFirstRow($A66,tbl_2025_2026_Days[]),1,$A65+1)</f>
        <v>48</v>
      </c>
      <c r="B66" s="67">
        <v>46085</v>
      </c>
      <c r="C66" s="68" t="s">
        <v>52</v>
      </c>
      <c r="D66" cm="1">
        <f t="array" ref="D66">fn_GET_UNIQUE_VALS_RUNNING_COUNTS(tbl_2025_2026_Days[Resort Name], tbl_2025_2026_Days[[#This Row],[Resort Name]])</f>
        <v>5</v>
      </c>
      <c r="E66" s="79">
        <v>12840</v>
      </c>
      <c r="F66" s="79">
        <v>1019</v>
      </c>
      <c r="G66" s="68" t="s">
        <v>42</v>
      </c>
      <c r="H66" cm="1">
        <f t="array" aca="1" ref="H66" ca="1">fn_GetDaysSinceSkiMaintProc($A$2,tbl_2025_2026_Days[[#This Row],[Day]],H65,I65,1,"W",tbl_2025_2026_Days[[#This Row],[Ski]])</f>
        <v>3</v>
      </c>
      <c r="I66" s="66" t="b">
        <v>0</v>
      </c>
      <c r="J66" cm="1">
        <f t="array" aca="1" ref="J66" ca="1">fn_GetDaysSinceSkiMaintProc($A$2,tbl_2025_2026_Days[[#This Row],[Day]],J65,K65,1,"E",tbl_2025_2026_Days[[#This Row],[Ski]])</f>
        <v>3</v>
      </c>
      <c r="K66" s="66" t="b">
        <v>0</v>
      </c>
      <c r="L66" cm="1">
        <f t="array" aca="1" ref="L66" ca="1">fn_GetDaysSinceSkiMaintProc($A$2,tbl_2025_2026_Days[[#This Row],[Day]],L65,M65,1,"FT",tbl_2025_2026_Days[[#This Row],[Ski]])</f>
        <v>21</v>
      </c>
      <c r="M66" s="66" t="b">
        <v>0</v>
      </c>
      <c r="N66" cm="1">
        <f t="array" aca="1" ref="N66" ca="1">fn_GetDaysSinceSkiMaintProc($A$2,tbl_2025_2026_Days[[#This Row],[Day]],N65,O65,2,"W",tbl_2025_2026_Days[[#This Row],[Ski]])</f>
        <v>3</v>
      </c>
      <c r="O66" s="66" t="b">
        <v>0</v>
      </c>
      <c r="P66" cm="1">
        <f t="array" aca="1" ref="P66" ca="1">fn_GetDaysSinceSkiMaintProc($A$2,tbl_2025_2026_Days[[#This Row],[Day]],P65,Q65,2,"E",tbl_2025_2026_Days[[#This Row],[Ski]])</f>
        <v>3</v>
      </c>
      <c r="Q66" s="66" t="b">
        <v>0</v>
      </c>
      <c r="R66" cm="1">
        <f t="array" aca="1" ref="R66" ca="1">fn_GetDaysSinceSkiMaintProc($A$2,tbl_2025_2026_Days[[#This Row],[Day]],R65,S65,2,"FT",tbl_2025_2026_Days[[#This Row],[Ski]])</f>
        <v>32</v>
      </c>
      <c r="S66" s="66" t="b">
        <v>0</v>
      </c>
      <c r="T66" cm="1">
        <f t="array" aca="1" ref="T66" ca="1">fn_GetDaysSinceSkiMaintProc($A$2,tbl_2025_2026_Days[[#This Row],[Day]],T65,U65,3,"W",tbl_2025_2026_Days[[#This Row],[Ski]])</f>
        <v>2</v>
      </c>
      <c r="U66" s="66" t="b">
        <v>0</v>
      </c>
      <c r="V66" cm="1">
        <f t="array" aca="1" ref="V66" ca="1">fn_GetDaysSinceSkiMaintProc($A$2,tbl_2025_2026_Days[[#This Row],[Day]],V65,W65,3,"E",tbl_2025_2026_Days[[#This Row],[Ski]])</f>
        <v>0</v>
      </c>
      <c r="W66" s="66" t="b">
        <v>0</v>
      </c>
      <c r="X66" cm="1">
        <f t="array" aca="1" ref="X66" ca="1">fn_GetDaysSinceSkiMaintProc($A$2,tbl_2025_2026_Days[[#This Row],[Day]],X65,Y65,3,"FT",tbl_2025_2026_Days[[#This Row],[Ski]])</f>
        <v>5</v>
      </c>
      <c r="Y66" s="66" t="b">
        <v>0</v>
      </c>
      <c r="Z66" s="68"/>
    </row>
    <row r="67" spans="1:26" ht="14.65" customHeight="1" x14ac:dyDescent="0.4">
      <c r="A67" cm="1">
        <f t="array" ref="A67">IF(fn_IsTableCellInFirstRow($A67,tbl_2025_2026_Days[]),1,$A66+1)</f>
        <v>49</v>
      </c>
      <c r="B67" s="67">
        <v>46095</v>
      </c>
      <c r="C67" s="68" t="s">
        <v>13</v>
      </c>
      <c r="D67" cm="1">
        <f t="array" ref="D67">fn_GET_UNIQUE_VALS_RUNNING_COUNTS(tbl_2025_2026_Days[Resort Name], tbl_2025_2026_Days[[#This Row],[Resort Name]])</f>
        <v>1</v>
      </c>
      <c r="E67" s="79">
        <v>6840</v>
      </c>
      <c r="F67" s="79">
        <v>1272</v>
      </c>
      <c r="G67" s="68" t="s">
        <v>42</v>
      </c>
      <c r="H67" cm="1">
        <f t="array" aca="1" ref="H67" ca="1">fn_GetDaysSinceSkiMaintProc($A$2,tbl_2025_2026_Days[[#This Row],[Day]],H66,I66,1,"W",tbl_2025_2026_Days[[#This Row],[Ski]])</f>
        <v>3</v>
      </c>
      <c r="I67" s="66" t="b">
        <v>0</v>
      </c>
      <c r="J67" cm="1">
        <f t="array" aca="1" ref="J67" ca="1">fn_GetDaysSinceSkiMaintProc($A$2,tbl_2025_2026_Days[[#This Row],[Day]],J66,K66,1,"E",tbl_2025_2026_Days[[#This Row],[Ski]])</f>
        <v>3</v>
      </c>
      <c r="K67" s="66" t="b">
        <v>0</v>
      </c>
      <c r="L67" cm="1">
        <f t="array" aca="1" ref="L67" ca="1">fn_GetDaysSinceSkiMaintProc($A$2,tbl_2025_2026_Days[[#This Row],[Day]],L66,M66,1,"FT",tbl_2025_2026_Days[[#This Row],[Ski]])</f>
        <v>21</v>
      </c>
      <c r="M67" s="66" t="b">
        <v>0</v>
      </c>
      <c r="N67" cm="1">
        <f t="array" aca="1" ref="N67" ca="1">fn_GetDaysSinceSkiMaintProc($A$2,tbl_2025_2026_Days[[#This Row],[Day]],N66,O66,2,"W",tbl_2025_2026_Days[[#This Row],[Ski]])</f>
        <v>4</v>
      </c>
      <c r="O67" s="66" t="b">
        <v>1</v>
      </c>
      <c r="P67" cm="1">
        <f t="array" aca="1" ref="P67" ca="1">fn_GetDaysSinceSkiMaintProc($A$2,tbl_2025_2026_Days[[#This Row],[Day]],P66,Q66,2,"E",tbl_2025_2026_Days[[#This Row],[Ski]])</f>
        <v>4</v>
      </c>
      <c r="Q67" s="66" t="b">
        <v>1</v>
      </c>
      <c r="R67" cm="1">
        <f t="array" aca="1" ref="R67" ca="1">fn_GetDaysSinceSkiMaintProc($A$2,tbl_2025_2026_Days[[#This Row],[Day]],R66,S66,2,"FT",tbl_2025_2026_Days[[#This Row],[Ski]])</f>
        <v>33</v>
      </c>
      <c r="S67" s="66" t="b">
        <v>0</v>
      </c>
      <c r="T67" cm="1">
        <f t="array" aca="1" ref="T67" ca="1">fn_GetDaysSinceSkiMaintProc($A$2,tbl_2025_2026_Days[[#This Row],[Day]],T66,U66,3,"W",tbl_2025_2026_Days[[#This Row],[Ski]])</f>
        <v>2</v>
      </c>
      <c r="U67" s="66" t="b">
        <v>0</v>
      </c>
      <c r="V67" cm="1">
        <f t="array" aca="1" ref="V67" ca="1">fn_GetDaysSinceSkiMaintProc($A$2,tbl_2025_2026_Days[[#This Row],[Day]],V66,W66,3,"E",tbl_2025_2026_Days[[#This Row],[Ski]])</f>
        <v>0</v>
      </c>
      <c r="W67" s="66" t="b">
        <v>0</v>
      </c>
      <c r="X67" cm="1">
        <f t="array" aca="1" ref="X67" ca="1">fn_GetDaysSinceSkiMaintProc($A$2,tbl_2025_2026_Days[[#This Row],[Day]],X66,Y66,3,"FT",tbl_2025_2026_Days[[#This Row],[Ski]])</f>
        <v>5</v>
      </c>
      <c r="Y67" s="66" t="b">
        <v>0</v>
      </c>
      <c r="Z67" s="68"/>
    </row>
    <row r="68" spans="1:26" ht="14.65" customHeight="1" x14ac:dyDescent="0.4">
      <c r="A68" cm="1">
        <f t="array" ref="A68">IF(fn_IsTableCellInFirstRow($A68,tbl_2025_2026_Days[]),1,$A67+1)</f>
        <v>50</v>
      </c>
      <c r="B68" s="67">
        <v>46096</v>
      </c>
      <c r="C68" s="68" t="s">
        <v>13</v>
      </c>
      <c r="D68" cm="1">
        <f t="array" ref="D68">fn_GET_UNIQUE_VALS_RUNNING_COUNTS(tbl_2025_2026_Days[Resort Name], tbl_2025_2026_Days[[#This Row],[Resort Name]])</f>
        <v>2</v>
      </c>
      <c r="E68" s="79">
        <v>10522</v>
      </c>
      <c r="F68" s="79">
        <f>(7762+2760)/2760*475</f>
        <v>1810.8514492753623</v>
      </c>
      <c r="G68" s="68" t="s">
        <v>41</v>
      </c>
      <c r="H68" cm="1">
        <f t="array" aca="1" ref="H68" ca="1">fn_GetDaysSinceSkiMaintProc($A$2,tbl_2025_2026_Days[[#This Row],[Day]],H67,I67,1,"W",tbl_2025_2026_Days[[#This Row],[Ski]])</f>
        <v>4</v>
      </c>
      <c r="I68" s="66" t="b">
        <v>0</v>
      </c>
      <c r="J68" cm="1">
        <f t="array" aca="1" ref="J68" ca="1">fn_GetDaysSinceSkiMaintProc($A$2,tbl_2025_2026_Days[[#This Row],[Day]],J67,K67,1,"E",tbl_2025_2026_Days[[#This Row],[Ski]])</f>
        <v>4</v>
      </c>
      <c r="K68" s="66" t="b">
        <v>0</v>
      </c>
      <c r="L68" cm="1">
        <f t="array" aca="1" ref="L68" ca="1">fn_GetDaysSinceSkiMaintProc($A$2,tbl_2025_2026_Days[[#This Row],[Day]],L67,M67,1,"FT",tbl_2025_2026_Days[[#This Row],[Ski]])</f>
        <v>22</v>
      </c>
      <c r="M68" s="66" t="b">
        <v>0</v>
      </c>
      <c r="N68" cm="1">
        <f t="array" aca="1" ref="N68" ca="1">fn_GetDaysSinceSkiMaintProc($A$2,tbl_2025_2026_Days[[#This Row],[Day]],N67,O67,2,"W",tbl_2025_2026_Days[[#This Row],[Ski]])</f>
        <v>0</v>
      </c>
      <c r="O68" s="66" t="b">
        <v>0</v>
      </c>
      <c r="P68" cm="1">
        <f t="array" aca="1" ref="P68" ca="1">fn_GetDaysSinceSkiMaintProc($A$2,tbl_2025_2026_Days[[#This Row],[Day]],P67,Q67,2,"E",tbl_2025_2026_Days[[#This Row],[Ski]])</f>
        <v>0</v>
      </c>
      <c r="Q68" s="66" t="b">
        <v>0</v>
      </c>
      <c r="R68" cm="1">
        <f t="array" aca="1" ref="R68" ca="1">fn_GetDaysSinceSkiMaintProc($A$2,tbl_2025_2026_Days[[#This Row],[Day]],R67,S67,2,"FT",tbl_2025_2026_Days[[#This Row],[Ski]])</f>
        <v>33</v>
      </c>
      <c r="S68" s="66" t="b">
        <v>0</v>
      </c>
      <c r="T68" cm="1">
        <f t="array" aca="1" ref="T68" ca="1">fn_GetDaysSinceSkiMaintProc($A$2,tbl_2025_2026_Days[[#This Row],[Day]],T67,U67,3,"W",tbl_2025_2026_Days[[#This Row],[Ski]])</f>
        <v>2</v>
      </c>
      <c r="U68" s="66" t="b">
        <v>0</v>
      </c>
      <c r="V68" cm="1">
        <f t="array" aca="1" ref="V68" ca="1">fn_GetDaysSinceSkiMaintProc($A$2,tbl_2025_2026_Days[[#This Row],[Day]],V67,W67,3,"E",tbl_2025_2026_Days[[#This Row],[Ski]])</f>
        <v>0</v>
      </c>
      <c r="W68" s="66" t="b">
        <v>0</v>
      </c>
      <c r="X68" cm="1">
        <f t="array" aca="1" ref="X68" ca="1">fn_GetDaysSinceSkiMaintProc($A$2,tbl_2025_2026_Days[[#This Row],[Day]],X67,Y67,3,"FT",tbl_2025_2026_Days[[#This Row],[Ski]])</f>
        <v>5</v>
      </c>
      <c r="Y68" s="66" t="b">
        <v>0</v>
      </c>
      <c r="Z68" s="68" t="s">
        <v>87</v>
      </c>
    </row>
    <row r="69" spans="1:26" ht="14.65" customHeight="1" x14ac:dyDescent="0.4">
      <c r="A69" cm="1">
        <f t="array" ref="A69">IF(fn_IsTableCellInFirstRow($A69,tbl_2025_2026_Days[]),1,$A68+1)</f>
        <v>51</v>
      </c>
      <c r="B69" s="67">
        <v>46097</v>
      </c>
      <c r="C69" s="68" t="s">
        <v>13</v>
      </c>
      <c r="D69" cm="1">
        <f t="array" ref="D69">fn_GET_UNIQUE_VALS_RUNNING_COUNTS(tbl_2025_2026_Days[Resort Name], tbl_2025_2026_Days[[#This Row],[Resort Name]])</f>
        <v>3</v>
      </c>
      <c r="E69" s="79">
        <v>10689</v>
      </c>
      <c r="F69" s="79">
        <v>962</v>
      </c>
      <c r="G69" s="68" t="s">
        <v>42</v>
      </c>
      <c r="H69" cm="1">
        <f t="array" aca="1" ref="H69" ca="1">fn_GetDaysSinceSkiMaintProc($A$2,tbl_2025_2026_Days[[#This Row],[Day]],H68,I68,1,"W",tbl_2025_2026_Days[[#This Row],[Ski]])</f>
        <v>4</v>
      </c>
      <c r="I69" s="66" t="b">
        <v>0</v>
      </c>
      <c r="J69" cm="1">
        <f t="array" aca="1" ref="J69" ca="1">fn_GetDaysSinceSkiMaintProc($A$2,tbl_2025_2026_Days[[#This Row],[Day]],J68,K68,1,"E",tbl_2025_2026_Days[[#This Row],[Ski]])</f>
        <v>4</v>
      </c>
      <c r="K69" s="66" t="b">
        <v>0</v>
      </c>
      <c r="L69" cm="1">
        <f t="array" aca="1" ref="L69" ca="1">fn_GetDaysSinceSkiMaintProc($A$2,tbl_2025_2026_Days[[#This Row],[Day]],L68,M68,1,"FT",tbl_2025_2026_Days[[#This Row],[Ski]])</f>
        <v>22</v>
      </c>
      <c r="M69" s="66" t="b">
        <v>0</v>
      </c>
      <c r="N69" cm="1">
        <f t="array" aca="1" ref="N69" ca="1">fn_GetDaysSinceSkiMaintProc($A$2,tbl_2025_2026_Days[[#This Row],[Day]],N68,O68,2,"W",tbl_2025_2026_Days[[#This Row],[Ski]])</f>
        <v>1</v>
      </c>
      <c r="O69" s="66" t="b">
        <v>0</v>
      </c>
      <c r="P69" cm="1">
        <f t="array" aca="1" ref="P69" ca="1">fn_GetDaysSinceSkiMaintProc($A$2,tbl_2025_2026_Days[[#This Row],[Day]],P68,Q68,2,"E",tbl_2025_2026_Days[[#This Row],[Ski]])</f>
        <v>1</v>
      </c>
      <c r="Q69" s="66" t="b">
        <v>0</v>
      </c>
      <c r="R69" cm="1">
        <f t="array" aca="1" ref="R69" ca="1">fn_GetDaysSinceSkiMaintProc($A$2,tbl_2025_2026_Days[[#This Row],[Day]],R68,S68,2,"FT",tbl_2025_2026_Days[[#This Row],[Ski]])</f>
        <v>34</v>
      </c>
      <c r="S69" s="66" t="b">
        <v>0</v>
      </c>
      <c r="T69" cm="1">
        <f t="array" aca="1" ref="T69" ca="1">fn_GetDaysSinceSkiMaintProc($A$2,tbl_2025_2026_Days[[#This Row],[Day]],T68,U68,3,"W",tbl_2025_2026_Days[[#This Row],[Ski]])</f>
        <v>2</v>
      </c>
      <c r="U69" s="66" t="b">
        <v>0</v>
      </c>
      <c r="V69" cm="1">
        <f t="array" aca="1" ref="V69" ca="1">fn_GetDaysSinceSkiMaintProc($A$2,tbl_2025_2026_Days[[#This Row],[Day]],V68,W68,3,"E",tbl_2025_2026_Days[[#This Row],[Ski]])</f>
        <v>0</v>
      </c>
      <c r="W69" s="66" t="b">
        <v>0</v>
      </c>
      <c r="X69" cm="1">
        <f t="array" aca="1" ref="X69" ca="1">fn_GetDaysSinceSkiMaintProc($A$2,tbl_2025_2026_Days[[#This Row],[Day]],X68,Y68,3,"FT",tbl_2025_2026_Days[[#This Row],[Ski]])</f>
        <v>5</v>
      </c>
      <c r="Y69" s="66" t="b">
        <v>0</v>
      </c>
      <c r="Z69" s="68"/>
    </row>
    <row r="70" spans="1:26" ht="14.65" customHeight="1" x14ac:dyDescent="0.4">
      <c r="A70" cm="1">
        <f t="array" ref="A70">IF(fn_IsTableCellInFirstRow($A70,tbl_2025_2026_Days[]),1,$A69+1)</f>
        <v>52</v>
      </c>
      <c r="B70" s="67">
        <v>46098</v>
      </c>
      <c r="C70" s="68" t="s">
        <v>13</v>
      </c>
      <c r="D70" cm="1">
        <f t="array" ref="D70">fn_GET_UNIQUE_VALS_RUNNING_COUNTS(tbl_2025_2026_Days[Resort Name], tbl_2025_2026_Days[[#This Row],[Resort Name]])</f>
        <v>4</v>
      </c>
      <c r="E70" s="79">
        <v>6640</v>
      </c>
      <c r="F70" s="79">
        <v>545</v>
      </c>
      <c r="G70" s="68" t="s">
        <v>42</v>
      </c>
      <c r="H70" cm="1">
        <f t="array" aca="1" ref="H70" ca="1">fn_GetDaysSinceSkiMaintProc($A$2,tbl_2025_2026_Days[[#This Row],[Day]],H69,I69,1,"W",tbl_2025_2026_Days[[#This Row],[Ski]])</f>
        <v>4</v>
      </c>
      <c r="I70" s="66" t="b">
        <v>0</v>
      </c>
      <c r="J70" cm="1">
        <f t="array" aca="1" ref="J70" ca="1">fn_GetDaysSinceSkiMaintProc($A$2,tbl_2025_2026_Days[[#This Row],[Day]],J69,K69,1,"E",tbl_2025_2026_Days[[#This Row],[Ski]])</f>
        <v>4</v>
      </c>
      <c r="K70" s="66" t="b">
        <v>0</v>
      </c>
      <c r="L70" cm="1">
        <f t="array" aca="1" ref="L70" ca="1">fn_GetDaysSinceSkiMaintProc($A$2,tbl_2025_2026_Days[[#This Row],[Day]],L69,M69,1,"FT",tbl_2025_2026_Days[[#This Row],[Ski]])</f>
        <v>22</v>
      </c>
      <c r="M70" s="66" t="b">
        <v>0</v>
      </c>
      <c r="N70" cm="1">
        <f t="array" aca="1" ref="N70" ca="1">fn_GetDaysSinceSkiMaintProc($A$2,tbl_2025_2026_Days[[#This Row],[Day]],N69,O69,2,"W",tbl_2025_2026_Days[[#This Row],[Ski]])</f>
        <v>2</v>
      </c>
      <c r="O70" s="66" t="b">
        <v>1</v>
      </c>
      <c r="P70" cm="1">
        <f t="array" aca="1" ref="P70" ca="1">fn_GetDaysSinceSkiMaintProc($A$2,tbl_2025_2026_Days[[#This Row],[Day]],P69,Q69,2,"E",tbl_2025_2026_Days[[#This Row],[Ski]])</f>
        <v>2</v>
      </c>
      <c r="Q70" s="66" t="b">
        <v>0</v>
      </c>
      <c r="R70" cm="1">
        <f t="array" aca="1" ref="R70" ca="1">fn_GetDaysSinceSkiMaintProc($A$2,tbl_2025_2026_Days[[#This Row],[Day]],R69,S69,2,"FT",tbl_2025_2026_Days[[#This Row],[Ski]])</f>
        <v>35</v>
      </c>
      <c r="S70" s="66" t="b">
        <v>0</v>
      </c>
      <c r="T70" cm="1">
        <f t="array" aca="1" ref="T70" ca="1">fn_GetDaysSinceSkiMaintProc($A$2,tbl_2025_2026_Days[[#This Row],[Day]],T69,U69,3,"W",tbl_2025_2026_Days[[#This Row],[Ski]])</f>
        <v>2</v>
      </c>
      <c r="U70" s="66" t="b">
        <v>0</v>
      </c>
      <c r="V70" cm="1">
        <f t="array" aca="1" ref="V70" ca="1">fn_GetDaysSinceSkiMaintProc($A$2,tbl_2025_2026_Days[[#This Row],[Day]],V69,W69,3,"E",tbl_2025_2026_Days[[#This Row],[Ski]])</f>
        <v>0</v>
      </c>
      <c r="W70" s="66" t="b">
        <v>0</v>
      </c>
      <c r="X70" cm="1">
        <f t="array" aca="1" ref="X70" ca="1">fn_GetDaysSinceSkiMaintProc($A$2,tbl_2025_2026_Days[[#This Row],[Day]],X69,Y69,3,"FT",tbl_2025_2026_Days[[#This Row],[Ski]])</f>
        <v>5</v>
      </c>
      <c r="Y70" s="66" t="b">
        <v>0</v>
      </c>
      <c r="Z70" s="68" t="s">
        <v>88</v>
      </c>
    </row>
    <row r="71" spans="1:26" ht="14.65" customHeight="1" x14ac:dyDescent="0.4">
      <c r="A71" cm="1">
        <f t="array" ref="A71">IF(fn_IsTableCellInFirstRow($A71,tbl_2025_2026_Days[]),1,$A70+1)</f>
        <v>53</v>
      </c>
      <c r="B71" s="67">
        <v>46100</v>
      </c>
      <c r="C71" s="68" t="s">
        <v>13</v>
      </c>
      <c r="D71" cm="1">
        <f t="array" ref="D71">fn_GET_UNIQUE_VALS_RUNNING_COUNTS(tbl_2025_2026_Days[Resort Name], tbl_2025_2026_Days[[#This Row],[Resort Name]])</f>
        <v>5</v>
      </c>
      <c r="E71" s="79">
        <v>11060</v>
      </c>
      <c r="F71" s="79">
        <v>1206</v>
      </c>
      <c r="G71" s="68" t="s">
        <v>42</v>
      </c>
      <c r="H71" cm="1">
        <f t="array" aca="1" ref="H71" ca="1">fn_GetDaysSinceSkiMaintProc($A$2,tbl_2025_2026_Days[[#This Row],[Day]],H70,I70,1,"W",tbl_2025_2026_Days[[#This Row],[Ski]])</f>
        <v>4</v>
      </c>
      <c r="I71" s="66" t="b">
        <v>0</v>
      </c>
      <c r="J71" cm="1">
        <f t="array" aca="1" ref="J71" ca="1">fn_GetDaysSinceSkiMaintProc($A$2,tbl_2025_2026_Days[[#This Row],[Day]],J70,K70,1,"E",tbl_2025_2026_Days[[#This Row],[Ski]])</f>
        <v>4</v>
      </c>
      <c r="K71" s="66" t="b">
        <v>0</v>
      </c>
      <c r="L71" cm="1">
        <f t="array" aca="1" ref="L71" ca="1">fn_GetDaysSinceSkiMaintProc($A$2,tbl_2025_2026_Days[[#This Row],[Day]],L70,M70,1,"FT",tbl_2025_2026_Days[[#This Row],[Ski]])</f>
        <v>22</v>
      </c>
      <c r="M71" s="66" t="b">
        <v>0</v>
      </c>
      <c r="N71" cm="1">
        <f t="array" aca="1" ref="N71" ca="1">fn_GetDaysSinceSkiMaintProc($A$2,tbl_2025_2026_Days[[#This Row],[Day]],N70,O70,2,"W",tbl_2025_2026_Days[[#This Row],[Ski]])</f>
        <v>1</v>
      </c>
      <c r="O71" s="66" t="b">
        <v>0</v>
      </c>
      <c r="P71" cm="1">
        <f t="array" aca="1" ref="P71" ca="1">fn_GetDaysSinceSkiMaintProc($A$2,tbl_2025_2026_Days[[#This Row],[Day]],P70,Q70,2,"E",tbl_2025_2026_Days[[#This Row],[Ski]])</f>
        <v>3</v>
      </c>
      <c r="Q71" s="66" t="b">
        <v>0</v>
      </c>
      <c r="R71" cm="1">
        <f t="array" aca="1" ref="R71" ca="1">fn_GetDaysSinceSkiMaintProc($A$2,tbl_2025_2026_Days[[#This Row],[Day]],R70,S70,2,"FT",tbl_2025_2026_Days[[#This Row],[Ski]])</f>
        <v>36</v>
      </c>
      <c r="S71" s="66" t="b">
        <v>0</v>
      </c>
      <c r="T71" cm="1">
        <f t="array" aca="1" ref="T71" ca="1">fn_GetDaysSinceSkiMaintProc($A$2,tbl_2025_2026_Days[[#This Row],[Day]],T70,U70,3,"W",tbl_2025_2026_Days[[#This Row],[Ski]])</f>
        <v>2</v>
      </c>
      <c r="U71" s="66" t="b">
        <v>0</v>
      </c>
      <c r="V71" cm="1">
        <f t="array" aca="1" ref="V71" ca="1">fn_GetDaysSinceSkiMaintProc($A$2,tbl_2025_2026_Days[[#This Row],[Day]],V70,W70,3,"E",tbl_2025_2026_Days[[#This Row],[Ski]])</f>
        <v>0</v>
      </c>
      <c r="W71" s="66" t="b">
        <v>0</v>
      </c>
      <c r="X71" cm="1">
        <f t="array" aca="1" ref="X71" ca="1">fn_GetDaysSinceSkiMaintProc($A$2,tbl_2025_2026_Days[[#This Row],[Day]],X70,Y70,3,"FT",tbl_2025_2026_Days[[#This Row],[Ski]])</f>
        <v>5</v>
      </c>
      <c r="Y71" s="66" t="b">
        <v>0</v>
      </c>
      <c r="Z71" s="68"/>
    </row>
    <row r="72" spans="1:26" ht="14.65" customHeight="1" x14ac:dyDescent="0.4">
      <c r="A72" cm="1">
        <f t="array" ref="A72">IF(fn_IsTableCellInFirstRow($A72,tbl_2025_2026_Days[]),1,$A71+1)</f>
        <v>54</v>
      </c>
      <c r="B72" s="67">
        <v>46101</v>
      </c>
      <c r="C72" s="68" t="s">
        <v>13</v>
      </c>
      <c r="D72" cm="1">
        <f t="array" ref="D72">fn_GET_UNIQUE_VALS_RUNNING_COUNTS(tbl_2025_2026_Days[Resort Name], tbl_2025_2026_Days[[#This Row],[Resort Name]])</f>
        <v>6</v>
      </c>
      <c r="E72" s="79">
        <v>5000</v>
      </c>
      <c r="F72" s="79">
        <v>691</v>
      </c>
      <c r="G72" s="68" t="s">
        <v>42</v>
      </c>
      <c r="H72" cm="1">
        <f t="array" aca="1" ref="H72" ca="1">fn_GetDaysSinceSkiMaintProc($A$2,tbl_2025_2026_Days[[#This Row],[Day]],H71,I71,1,"W",tbl_2025_2026_Days[[#This Row],[Ski]])</f>
        <v>4</v>
      </c>
      <c r="I72" s="66" t="b">
        <v>0</v>
      </c>
      <c r="J72" cm="1">
        <f t="array" aca="1" ref="J72" ca="1">fn_GetDaysSinceSkiMaintProc($A$2,tbl_2025_2026_Days[[#This Row],[Day]],J71,K71,1,"E",tbl_2025_2026_Days[[#This Row],[Ski]])</f>
        <v>4</v>
      </c>
      <c r="K72" s="66" t="b">
        <v>0</v>
      </c>
      <c r="L72" cm="1">
        <f t="array" aca="1" ref="L72" ca="1">fn_GetDaysSinceSkiMaintProc($A$2,tbl_2025_2026_Days[[#This Row],[Day]],L71,M71,1,"FT",tbl_2025_2026_Days[[#This Row],[Ski]])</f>
        <v>22</v>
      </c>
      <c r="M72" s="66" t="b">
        <v>0</v>
      </c>
      <c r="N72" cm="1">
        <f t="array" aca="1" ref="N72" ca="1">fn_GetDaysSinceSkiMaintProc($A$2,tbl_2025_2026_Days[[#This Row],[Day]],N71,O71,2,"W",tbl_2025_2026_Days[[#This Row],[Ski]])</f>
        <v>2</v>
      </c>
      <c r="O72" s="66" t="b">
        <v>0</v>
      </c>
      <c r="P72" cm="1">
        <f t="array" aca="1" ref="P72" ca="1">fn_GetDaysSinceSkiMaintProc($A$2,tbl_2025_2026_Days[[#This Row],[Day]],P71,Q71,2,"E",tbl_2025_2026_Days[[#This Row],[Ski]])</f>
        <v>4</v>
      </c>
      <c r="Q72" s="66" t="b">
        <v>0</v>
      </c>
      <c r="R72" cm="1">
        <f t="array" aca="1" ref="R72" ca="1">fn_GetDaysSinceSkiMaintProc($A$2,tbl_2025_2026_Days[[#This Row],[Day]],R71,S71,2,"FT",tbl_2025_2026_Days[[#This Row],[Ski]])</f>
        <v>37</v>
      </c>
      <c r="S72" s="66" t="b">
        <v>0</v>
      </c>
      <c r="T72" cm="1">
        <f t="array" aca="1" ref="T72" ca="1">fn_GetDaysSinceSkiMaintProc($A$2,tbl_2025_2026_Days[[#This Row],[Day]],T71,U71,3,"W",tbl_2025_2026_Days[[#This Row],[Ski]])</f>
        <v>2</v>
      </c>
      <c r="U72" s="66" t="b">
        <v>0</v>
      </c>
      <c r="V72" cm="1">
        <f t="array" aca="1" ref="V72" ca="1">fn_GetDaysSinceSkiMaintProc($A$2,tbl_2025_2026_Days[[#This Row],[Day]],V71,W71,3,"E",tbl_2025_2026_Days[[#This Row],[Ski]])</f>
        <v>0</v>
      </c>
      <c r="W72" s="66" t="b">
        <v>0</v>
      </c>
      <c r="X72" cm="1">
        <f t="array" aca="1" ref="X72" ca="1">fn_GetDaysSinceSkiMaintProc($A$2,tbl_2025_2026_Days[[#This Row],[Day]],X71,Y71,3,"FT",tbl_2025_2026_Days[[#This Row],[Ski]])</f>
        <v>5</v>
      </c>
      <c r="Y72" s="66" t="b">
        <v>0</v>
      </c>
      <c r="Z72" s="68"/>
    </row>
    <row r="73" spans="1:26" ht="14.65" customHeight="1" x14ac:dyDescent="0.4">
      <c r="A73">
        <f>SUBTOTAL(103,tbl_2025_2026_Days[Day])</f>
        <v>54</v>
      </c>
      <c r="B73" s="140"/>
      <c r="C73">
        <f>ROWS(_xlfn.UNIQUE(tbl_2025_2026_Days[Resort Name]))</f>
        <v>17</v>
      </c>
      <c r="E73" s="141">
        <f>SUBTOTAL(109,tbl_2025_2026_Days[Vertical Feet])</f>
        <v>419435</v>
      </c>
      <c r="F73" s="141">
        <f>SUBTOTAL(109,tbl_2025_2026_Days[Calories])</f>
        <v>62299.85144927536</v>
      </c>
      <c r="Z73">
        <f>SUBTOTAL(103,tbl_2025_2026_Days[Notes])</f>
        <v>3</v>
      </c>
    </row>
    <row r="74" spans="1:26" ht="14.65" customHeight="1" x14ac:dyDescent="0.35">
      <c r="B74"/>
    </row>
    <row r="75" spans="1:26" ht="14.65" customHeight="1" x14ac:dyDescent="0.35">
      <c r="B75"/>
    </row>
    <row r="76" spans="1:26" x14ac:dyDescent="0.35">
      <c r="B76"/>
    </row>
    <row r="77" spans="1:26" x14ac:dyDescent="0.35">
      <c r="B77"/>
    </row>
    <row r="78" spans="1:26" x14ac:dyDescent="0.35">
      <c r="B78"/>
    </row>
    <row r="79" spans="1:26" x14ac:dyDescent="0.35">
      <c r="B79"/>
    </row>
    <row r="80" spans="1:26" x14ac:dyDescent="0.35">
      <c r="B80"/>
    </row>
    <row r="81" customFormat="1" x14ac:dyDescent="0.35"/>
    <row r="82" customFormat="1" x14ac:dyDescent="0.35"/>
    <row r="83" customFormat="1" x14ac:dyDescent="0.35"/>
    <row r="84" customFormat="1" x14ac:dyDescent="0.35"/>
    <row r="85" customFormat="1" x14ac:dyDescent="0.35"/>
    <row r="86" customFormat="1" x14ac:dyDescent="0.35"/>
    <row r="87" customFormat="1" x14ac:dyDescent="0.35"/>
    <row r="88" customFormat="1" x14ac:dyDescent="0.35"/>
    <row r="89" customFormat="1" x14ac:dyDescent="0.35"/>
    <row r="90" customFormat="1" x14ac:dyDescent="0.35"/>
    <row r="91" customFormat="1" x14ac:dyDescent="0.35"/>
    <row r="92" customFormat="1" x14ac:dyDescent="0.35"/>
    <row r="93" customFormat="1" x14ac:dyDescent="0.35"/>
    <row r="94" customFormat="1" x14ac:dyDescent="0.35"/>
    <row r="95" customFormat="1" x14ac:dyDescent="0.35"/>
    <row r="96" customFormat="1" x14ac:dyDescent="0.35"/>
    <row r="97" customFormat="1" x14ac:dyDescent="0.35"/>
    <row r="98" customFormat="1" x14ac:dyDescent="0.35"/>
    <row r="99" customFormat="1" x14ac:dyDescent="0.35"/>
    <row r="100" customFormat="1" x14ac:dyDescent="0.35"/>
    <row r="101" customFormat="1" x14ac:dyDescent="0.35"/>
    <row r="102" customFormat="1" x14ac:dyDescent="0.35"/>
    <row r="103" customFormat="1" x14ac:dyDescent="0.35"/>
    <row r="104" customFormat="1" x14ac:dyDescent="0.35"/>
    <row r="105" customFormat="1" x14ac:dyDescent="0.35"/>
    <row r="106" customFormat="1" x14ac:dyDescent="0.35"/>
    <row r="107" customFormat="1" x14ac:dyDescent="0.35"/>
    <row r="108" customFormat="1" x14ac:dyDescent="0.35"/>
    <row r="109" customFormat="1" x14ac:dyDescent="0.35"/>
    <row r="110" customFormat="1" x14ac:dyDescent="0.35"/>
    <row r="111" customFormat="1" x14ac:dyDescent="0.35"/>
    <row r="112" customFormat="1" x14ac:dyDescent="0.35"/>
    <row r="113" customFormat="1" x14ac:dyDescent="0.35"/>
    <row r="114" customFormat="1" x14ac:dyDescent="0.35"/>
    <row r="115" customFormat="1" x14ac:dyDescent="0.35"/>
    <row r="116" customFormat="1" x14ac:dyDescent="0.35"/>
    <row r="117" customFormat="1" x14ac:dyDescent="0.35"/>
    <row r="118" customFormat="1" x14ac:dyDescent="0.35"/>
    <row r="119" customFormat="1" x14ac:dyDescent="0.35"/>
    <row r="120" customFormat="1" x14ac:dyDescent="0.35"/>
    <row r="121" customFormat="1" x14ac:dyDescent="0.35"/>
    <row r="122" customFormat="1" x14ac:dyDescent="0.35"/>
    <row r="123" customFormat="1" x14ac:dyDescent="0.35"/>
    <row r="124" customFormat="1" x14ac:dyDescent="0.35"/>
    <row r="125" customFormat="1" x14ac:dyDescent="0.35"/>
    <row r="126" customFormat="1" x14ac:dyDescent="0.35"/>
    <row r="127" customFormat="1" x14ac:dyDescent="0.35"/>
    <row r="128" customFormat="1" x14ac:dyDescent="0.35"/>
    <row r="129" customFormat="1" x14ac:dyDescent="0.35"/>
    <row r="130" customFormat="1" x14ac:dyDescent="0.35"/>
    <row r="131" customFormat="1" x14ac:dyDescent="0.35"/>
    <row r="132" customFormat="1" x14ac:dyDescent="0.35"/>
    <row r="133" customFormat="1" x14ac:dyDescent="0.35"/>
    <row r="134" customFormat="1" x14ac:dyDescent="0.35"/>
    <row r="135" customFormat="1" x14ac:dyDescent="0.35"/>
    <row r="136" customFormat="1" x14ac:dyDescent="0.35"/>
  </sheetData>
  <sheetProtection sheet="1" objects="1" scenarios="1"/>
  <protectedRanges>
    <protectedRange sqref="A14:E17 H14:Z17 F16:G17 F14:G14 A19:Z195" name="TableExpansion"/>
  </protectedRanges>
  <mergeCells count="4">
    <mergeCell ref="H5:H6"/>
    <mergeCell ref="I5:I6"/>
    <mergeCell ref="A1:C1"/>
    <mergeCell ref="A2:C2"/>
  </mergeCells>
  <phoneticPr fontId="7" type="noConversion"/>
  <dataValidations disablePrompts="1" count="2">
    <dataValidation type="list" allowBlank="1" showInputMessage="1" showErrorMessage="1" sqref="G19:G72" xr:uid="{004D0F97-AB1E-4853-A341-025E7ED12DCD}">
      <formula1>SkiNames</formula1>
    </dataValidation>
    <dataValidation type="list" showErrorMessage="1" sqref="C19:C72" xr:uid="{31257641-35E0-407F-A55E-91EDF7CAD298}">
      <formula1>ResortNames</formula1>
    </dataValidation>
  </dataValidations>
  <pageMargins left="0.7" right="0.7" top="0.75" bottom="0.75" header="0.3" footer="0.3"/>
  <pageSetup orientation="portrait"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4CD7D-A686-4549-A5EE-CAE53D80898C}">
  <sheetPr codeName="SheetSeason2026_2027"/>
  <dimension ref="A1:Z83"/>
  <sheetViews>
    <sheetView workbookViewId="0">
      <selection activeCell="D20" sqref="D20"/>
    </sheetView>
  </sheetViews>
  <sheetFormatPr defaultRowHeight="14.5" x14ac:dyDescent="0.35"/>
  <cols>
    <col min="1" max="1" width="6" customWidth="1"/>
    <col min="2" max="2" width="18.54296875" style="1" customWidth="1"/>
    <col min="3" max="3" width="27.26953125" customWidth="1"/>
    <col min="4" max="4" width="12.54296875" customWidth="1"/>
    <col min="5" max="5" width="13.26953125" customWidth="1"/>
    <col min="6" max="6" width="9.453125" customWidth="1"/>
    <col min="7" max="7" width="21.1796875" customWidth="1"/>
    <col min="8" max="25" width="10.6328125" customWidth="1"/>
    <col min="26" max="26" width="50.54296875" customWidth="1"/>
  </cols>
  <sheetData>
    <row r="1" spans="1:26" ht="18.5" x14ac:dyDescent="0.45">
      <c r="A1" s="158" t="str">
        <f>c_WORKBOOK_TITLE</f>
        <v>Bob's Ski Days</v>
      </c>
      <c r="B1" s="158"/>
      <c r="C1" s="158"/>
    </row>
    <row r="2" spans="1:26" ht="18.5" x14ac:dyDescent="0.45">
      <c r="A2" s="146" t="str" cm="1">
        <f t="array" aca="1" ref="A2" ca="1">fn_GET_WS_NAME($A$1)</f>
        <v>2026-2027</v>
      </c>
      <c r="B2" s="146"/>
      <c r="C2" s="146"/>
    </row>
    <row r="3" spans="1:26" ht="14.65" customHeight="1" thickBot="1" x14ac:dyDescent="0.45">
      <c r="A3" s="2"/>
      <c r="K3" s="73"/>
    </row>
    <row r="4" spans="1:26" ht="14.65" customHeight="1" thickBot="1" x14ac:dyDescent="0.45">
      <c r="B4" s="111" t="s">
        <v>71</v>
      </c>
      <c r="C4" s="112"/>
      <c r="D4" s="112"/>
      <c r="E4" s="112"/>
      <c r="F4" s="112"/>
      <c r="G4" s="113"/>
    </row>
    <row r="5" spans="1:26" ht="14.65" customHeight="1" x14ac:dyDescent="0.35">
      <c r="B5" s="114" t="s">
        <v>21</v>
      </c>
      <c r="C5" s="114" t="s">
        <v>46</v>
      </c>
      <c r="D5" s="115" t="s">
        <v>44</v>
      </c>
      <c r="E5" s="116"/>
      <c r="F5" s="115" t="s">
        <v>45</v>
      </c>
      <c r="G5" s="116"/>
      <c r="H5" s="185"/>
      <c r="I5" s="185"/>
    </row>
    <row r="6" spans="1:26" s="8" customFormat="1" ht="14.65" customHeight="1" thickBot="1" x14ac:dyDescent="0.4">
      <c r="B6" s="117"/>
      <c r="C6" s="117"/>
      <c r="D6" s="118" t="s">
        <v>47</v>
      </c>
      <c r="E6" s="119" t="s">
        <v>48</v>
      </c>
      <c r="F6" s="120" t="s">
        <v>47</v>
      </c>
      <c r="G6" s="119" t="s">
        <v>48</v>
      </c>
      <c r="H6" s="185"/>
      <c r="I6" s="185"/>
    </row>
    <row r="7" spans="1:26" s="8" customFormat="1" ht="14.65" customHeight="1" thickBot="1" x14ac:dyDescent="0.45">
      <c r="A7" s="20"/>
      <c r="B7" s="121">
        <f>tbl_2026_2027_Days[[#Totals],[Day]]</f>
        <v>1</v>
      </c>
      <c r="C7" s="121">
        <f>tbl_2026_2027_Days[[#Totals],[Resort Name]]</f>
        <v>1</v>
      </c>
      <c r="D7" s="109">
        <f>tbl_2026_2027_Days[[#Totals],[Vertical Feet]]</f>
        <v>0</v>
      </c>
      <c r="E7" s="110">
        <f>tbl_2026_2027_Days[[#Totals],[Vertical Feet]]/tbl_2026_2027_Days[[#Totals],[Day]]</f>
        <v>0</v>
      </c>
      <c r="F7" s="109">
        <f>tbl_2026_2027_Days[[#Totals],[Calories]]</f>
        <v>0</v>
      </c>
      <c r="G7" s="110">
        <f>tbl_2026_2027_Days[[#Totals],[Calories]]/tbl_2026_2027_Days[[#Totals],[Day]]</f>
        <v>0</v>
      </c>
      <c r="H7" s="42"/>
      <c r="I7" s="42"/>
    </row>
    <row r="8" spans="1:26" s="8" customFormat="1" ht="14.65" customHeight="1" thickBot="1" x14ac:dyDescent="0.45">
      <c r="A8" s="20"/>
      <c r="B8" s="42"/>
      <c r="C8" s="42"/>
      <c r="D8" s="77"/>
      <c r="E8" s="77"/>
      <c r="F8" s="77"/>
      <c r="G8" s="77"/>
      <c r="H8" s="42"/>
      <c r="I8" s="42"/>
    </row>
    <row r="9" spans="1:26" ht="14.65" customHeight="1" x14ac:dyDescent="0.35">
      <c r="A9" s="70"/>
      <c r="B9"/>
      <c r="C9" s="70"/>
      <c r="D9" s="71"/>
      <c r="E9" s="122"/>
      <c r="F9" s="123" t="s">
        <v>75</v>
      </c>
      <c r="G9" s="124"/>
      <c r="H9" s="125"/>
      <c r="I9" s="96"/>
      <c r="J9" s="96"/>
      <c r="K9" s="96"/>
      <c r="L9" s="96"/>
      <c r="M9" s="96"/>
      <c r="N9" s="96"/>
      <c r="O9" s="96"/>
      <c r="P9" s="96"/>
      <c r="Q9" s="96"/>
      <c r="R9" s="96"/>
      <c r="S9" s="96"/>
      <c r="T9" s="96"/>
      <c r="U9" s="96"/>
      <c r="V9" s="96"/>
      <c r="W9" s="96"/>
      <c r="X9" s="96"/>
      <c r="Y9" s="97"/>
      <c r="Z9" s="70"/>
    </row>
    <row r="10" spans="1:26" ht="14.65" customHeight="1" x14ac:dyDescent="0.35">
      <c r="A10" s="70"/>
      <c r="B10" s="75"/>
      <c r="C10" s="70"/>
      <c r="D10" s="71"/>
      <c r="E10" s="71"/>
      <c r="F10" s="126" t="s">
        <v>92</v>
      </c>
      <c r="G10" s="127"/>
      <c r="H10" s="98">
        <v>1</v>
      </c>
      <c r="I10" s="98"/>
      <c r="J10" s="98"/>
      <c r="K10" s="98"/>
      <c r="L10" s="98"/>
      <c r="M10" s="98"/>
      <c r="N10" s="98">
        <v>2</v>
      </c>
      <c r="O10" s="98"/>
      <c r="P10" s="98"/>
      <c r="Q10" s="98"/>
      <c r="R10" s="98"/>
      <c r="S10" s="98"/>
      <c r="T10" s="98">
        <v>3</v>
      </c>
      <c r="U10" s="98"/>
      <c r="V10" s="98"/>
      <c r="W10" s="98"/>
      <c r="X10" s="98"/>
      <c r="Y10" s="99"/>
      <c r="Z10" s="70"/>
    </row>
    <row r="11" spans="1:26" ht="14.65" customHeight="1" x14ac:dyDescent="0.35">
      <c r="A11" s="70"/>
      <c r="B11" s="75"/>
      <c r="C11" s="70"/>
      <c r="D11" s="71"/>
      <c r="E11" s="71"/>
      <c r="F11" s="126" t="s">
        <v>76</v>
      </c>
      <c r="G11" s="127"/>
      <c r="H11" s="98" t="str" cm="1">
        <f t="array" ref="H11">fn_GetSkiNameFromSkiIdx($H10)</f>
        <v>Stöckli Stormrider 102</v>
      </c>
      <c r="I11" s="98"/>
      <c r="J11" s="98"/>
      <c r="K11" s="98"/>
      <c r="L11" s="98"/>
      <c r="M11" s="98"/>
      <c r="N11" s="98" t="str" cm="1">
        <f t="array" ref="N11">fn_GetSkiNameFromSkiIdx($N10)</f>
        <v>Stöckli Montero AS</v>
      </c>
      <c r="O11" s="98"/>
      <c r="P11" s="98"/>
      <c r="Q11" s="98"/>
      <c r="R11" s="98"/>
      <c r="S11" s="98"/>
      <c r="T11" s="98" t="str" cm="1">
        <f t="array" ref="T11">fn_GetSkiNameFromSkiIdx($T10)</f>
        <v>Rossignal Sin 7</v>
      </c>
      <c r="U11" s="98"/>
      <c r="V11" s="98"/>
      <c r="W11" s="98"/>
      <c r="X11" s="98"/>
      <c r="Y11" s="99"/>
      <c r="Z11" s="70"/>
    </row>
    <row r="12" spans="1:26" ht="14.65" customHeight="1" x14ac:dyDescent="0.35">
      <c r="A12" s="70"/>
      <c r="B12" s="75"/>
      <c r="C12" s="74"/>
      <c r="D12" s="76"/>
      <c r="E12" s="71"/>
      <c r="F12" s="126" t="s">
        <v>77</v>
      </c>
      <c r="G12" s="127"/>
      <c r="H12" s="98" t="s">
        <v>3</v>
      </c>
      <c r="I12" s="98"/>
      <c r="J12" s="98" t="s">
        <v>26</v>
      </c>
      <c r="K12" s="98"/>
      <c r="L12" s="98" t="s">
        <v>27</v>
      </c>
      <c r="M12" s="98"/>
      <c r="N12" s="98" t="s">
        <v>3</v>
      </c>
      <c r="O12" s="98"/>
      <c r="P12" s="98" t="s">
        <v>26</v>
      </c>
      <c r="Q12" s="98"/>
      <c r="R12" s="98" t="s">
        <v>27</v>
      </c>
      <c r="S12" s="98"/>
      <c r="T12" s="98" t="s">
        <v>3</v>
      </c>
      <c r="U12" s="98"/>
      <c r="V12" s="98" t="s">
        <v>26</v>
      </c>
      <c r="W12" s="98"/>
      <c r="X12" s="98" t="s">
        <v>27</v>
      </c>
      <c r="Y12" s="99"/>
      <c r="Z12" s="70"/>
    </row>
    <row r="13" spans="1:26" ht="14.65" customHeight="1" x14ac:dyDescent="0.35">
      <c r="A13" s="70"/>
      <c r="B13" s="75"/>
      <c r="C13" s="74"/>
      <c r="D13" s="76"/>
      <c r="E13" s="71"/>
      <c r="F13" s="128" t="s">
        <v>78</v>
      </c>
      <c r="G13" s="129"/>
      <c r="H13" s="98" t="str" cm="1">
        <f t="array" ref="H13">fn_GetMaintProcAbbrevFromName(H$12)</f>
        <v>W</v>
      </c>
      <c r="I13" s="98"/>
      <c r="J13" s="98" t="str" cm="1">
        <f t="array" ref="J13">fn_GetMaintProcAbbrevFromName(J$12)</f>
        <v>E</v>
      </c>
      <c r="K13" s="98"/>
      <c r="L13" s="98" t="str" cm="1">
        <f t="array" ref="L13">fn_GetMaintProcAbbrevFromName(L$12)</f>
        <v>FT</v>
      </c>
      <c r="M13" s="98"/>
      <c r="N13" s="98" t="str" cm="1">
        <f t="array" ref="N13">fn_GetMaintProcAbbrevFromName(N$12)</f>
        <v>W</v>
      </c>
      <c r="O13" s="98"/>
      <c r="P13" s="98" t="str" cm="1">
        <f t="array" ref="P13">fn_GetMaintProcAbbrevFromName(P$12)</f>
        <v>E</v>
      </c>
      <c r="Q13" s="98"/>
      <c r="R13" s="98" t="str" cm="1">
        <f t="array" ref="R13">fn_GetMaintProcAbbrevFromName(R$12)</f>
        <v>FT</v>
      </c>
      <c r="S13" s="98"/>
      <c r="T13" s="98" t="str" cm="1">
        <f t="array" ref="T13">fn_GetMaintProcAbbrevFromName(T$12)</f>
        <v>W</v>
      </c>
      <c r="U13" s="98"/>
      <c r="V13" s="98" t="str" cm="1">
        <f t="array" ref="V13">fn_GetMaintProcAbbrevFromName(V$12)</f>
        <v>E</v>
      </c>
      <c r="W13" s="98"/>
      <c r="X13" s="98" t="str" cm="1">
        <f t="array" ref="X13">fn_GetMaintProcAbbrevFromName(X$12)</f>
        <v>FT</v>
      </c>
      <c r="Y13" s="99"/>
      <c r="Z13" s="70"/>
    </row>
    <row r="14" spans="1:26" ht="30" customHeight="1" x14ac:dyDescent="0.35">
      <c r="B14"/>
      <c r="F14" s="130" t="s">
        <v>70</v>
      </c>
      <c r="G14" s="131"/>
      <c r="H14" s="132" t="s">
        <v>382</v>
      </c>
      <c r="I14" s="108" t="s">
        <v>383</v>
      </c>
      <c r="J14" s="108" t="s">
        <v>384</v>
      </c>
      <c r="K14" s="108" t="s">
        <v>385</v>
      </c>
      <c r="L14" s="108" t="s">
        <v>386</v>
      </c>
      <c r="M14" s="108" t="s">
        <v>387</v>
      </c>
      <c r="N14" s="108" t="s">
        <v>388</v>
      </c>
      <c r="O14" s="108" t="s">
        <v>389</v>
      </c>
      <c r="P14" s="108" t="s">
        <v>390</v>
      </c>
      <c r="Q14" s="108" t="s">
        <v>391</v>
      </c>
      <c r="R14" s="108" t="s">
        <v>392</v>
      </c>
      <c r="S14" s="108" t="s">
        <v>393</v>
      </c>
      <c r="T14" s="108" t="s">
        <v>394</v>
      </c>
      <c r="U14" s="108" t="s">
        <v>395</v>
      </c>
      <c r="V14" s="108" t="s">
        <v>396</v>
      </c>
      <c r="W14" s="108" t="s">
        <v>397</v>
      </c>
      <c r="X14" s="108" t="s">
        <v>398</v>
      </c>
      <c r="Y14" s="133" t="s">
        <v>399</v>
      </c>
    </row>
    <row r="15" spans="1:26" ht="14.65" customHeight="1" thickBot="1" x14ac:dyDescent="0.4">
      <c r="B15"/>
      <c r="F15" s="134"/>
      <c r="G15" s="135"/>
      <c r="H15" s="136" cm="1">
        <f t="array" aca="1" ref="H15" ca="1">fn_GET_LAST_VAL_IN_COL(tbl_2026_2027_Days[1W_Days],TRUE)</f>
        <v>4</v>
      </c>
      <c r="I15" s="137" t="e" cm="1">
        <f t="array" ref="I15">INDEX(tbl_2026_2027_Days[1W_Done],fn_GET_LAST_IDX_IN_COL(tbl_2026_2027_Days[Ski],TRUE))</f>
        <v>#VALUE!</v>
      </c>
      <c r="J15" s="29" cm="1">
        <f t="array" aca="1" ref="J15" ca="1">fn_GET_LAST_VAL_IN_COL(tbl_2026_2027_Days[1E_Days],TRUE)</f>
        <v>4</v>
      </c>
      <c r="K15" s="137" t="e" cm="1">
        <f t="array" ref="K15">INDEX(tbl_2026_2027_Days[1E_Done],fn_GET_LAST_IDX_IN_COL(tbl_2026_2027_Days[Ski],TRUE))</f>
        <v>#VALUE!</v>
      </c>
      <c r="L15" s="29" cm="1">
        <f t="array" aca="1" ref="L15" ca="1">fn_GET_LAST_VAL_IN_COL(tbl_2026_2027_Days[1FT_Days],TRUE)</f>
        <v>22</v>
      </c>
      <c r="M15" s="137" t="e" cm="1">
        <f t="array" ref="M15">INDEX(tbl_2026_2027_Days[1FT_Done],fn_GET_LAST_IDX_IN_COL(tbl_2026_2027_Days[Ski],TRUE))</f>
        <v>#VALUE!</v>
      </c>
      <c r="N15" s="29" cm="1">
        <f t="array" aca="1" ref="N15" ca="1">fn_GET_LAST_VAL_IN_COL(tbl_2026_2027_Days[2W_Days],TRUE)</f>
        <v>2</v>
      </c>
      <c r="O15" s="137" t="e" cm="1">
        <f t="array" ref="O15">INDEX(tbl_2026_2027_Days[2W_Done],fn_GET_LAST_IDX_IN_COL(tbl_2026_2027_Days[Ski],TRUE))</f>
        <v>#VALUE!</v>
      </c>
      <c r="P15" s="29" cm="1">
        <f t="array" aca="1" ref="P15" ca="1">fn_GET_LAST_VAL_IN_COL(tbl_2026_2027_Days[2E_Days],TRUE)</f>
        <v>4</v>
      </c>
      <c r="Q15" s="137" t="e" cm="1">
        <f t="array" ref="Q15">INDEX(tbl_2026_2027_Days[2E_Done],fn_GET_LAST_IDX_IN_COL(tbl_2026_2027_Days[Ski],TRUE))</f>
        <v>#VALUE!</v>
      </c>
      <c r="R15" s="29" cm="1">
        <f t="array" aca="1" ref="R15" ca="1">fn_GET_LAST_VAL_IN_COL(tbl_2026_2027_Days[2FT_Days],TRUE)</f>
        <v>37</v>
      </c>
      <c r="S15" s="137" t="e" cm="1">
        <f t="array" ref="S15">INDEX(tbl_2026_2027_Days[2FT_Done],fn_GET_LAST_IDX_IN_COL(tbl_2026_2027_Days[Ski],TRUE))</f>
        <v>#VALUE!</v>
      </c>
      <c r="T15" s="29" cm="1">
        <f t="array" aca="1" ref="T15" ca="1">fn_GET_LAST_VAL_IN_COL(tbl_2026_2027_Days[3W_Days],TRUE)</f>
        <v>2</v>
      </c>
      <c r="U15" s="137" t="e" cm="1">
        <f t="array" ref="U15">INDEX(tbl_2026_2027_Days[3W_Done],fn_GET_LAST_IDX_IN_COL(tbl_2026_2027_Days[Ski],TRUE))</f>
        <v>#VALUE!</v>
      </c>
      <c r="V15" s="29" cm="1">
        <f t="array" aca="1" ref="V15" ca="1">fn_GET_LAST_VAL_IN_COL(tbl_2026_2027_Days[3E_Days],TRUE)</f>
        <v>0</v>
      </c>
      <c r="W15" s="137" t="e" cm="1">
        <f t="array" ref="W15">INDEX(tbl_2026_2027_Days[3E_Done],fn_GET_LAST_IDX_IN_COL(tbl_2026_2027_Days[Ski],TRUE))</f>
        <v>#VALUE!</v>
      </c>
      <c r="X15" s="29" cm="1">
        <f t="array" aca="1" ref="X15" ca="1">fn_GET_LAST_VAL_IN_COL(tbl_2026_2027_Days[3FT_Days],TRUE)</f>
        <v>5</v>
      </c>
      <c r="Y15" s="138" t="e" cm="1">
        <f t="array" ref="Y15">INDEX(tbl_2026_2027_Days[3FT_Done],fn_GET_LAST_IDX_IN_COL(tbl_2026_2027_Days[Ski],TRUE))</f>
        <v>#VALUE!</v>
      </c>
    </row>
    <row r="16" spans="1:26" ht="14.65" customHeight="1" x14ac:dyDescent="0.35">
      <c r="B16"/>
    </row>
    <row r="17" spans="1:26" ht="14.65" customHeight="1" x14ac:dyDescent="0.35">
      <c r="A17" s="126" t="s">
        <v>84</v>
      </c>
      <c r="B17" s="126"/>
      <c r="C17" s="126"/>
      <c r="D17" s="126"/>
      <c r="E17" s="126"/>
      <c r="F17" s="126"/>
      <c r="G17" s="126"/>
      <c r="H17" s="126"/>
      <c r="I17" s="126"/>
      <c r="J17" s="126"/>
      <c r="K17" s="126"/>
      <c r="L17" s="126"/>
      <c r="M17" s="126"/>
      <c r="N17" s="126"/>
      <c r="O17" s="126"/>
      <c r="P17" s="126"/>
      <c r="Q17" s="126"/>
      <c r="R17" s="126"/>
      <c r="S17" s="126"/>
      <c r="T17" s="126"/>
      <c r="U17" s="126"/>
      <c r="V17" s="126"/>
      <c r="W17" s="126"/>
      <c r="X17" s="126"/>
      <c r="Y17" s="126"/>
      <c r="Z17" s="126"/>
    </row>
    <row r="18" spans="1:26" s="73" customFormat="1" ht="30" customHeight="1" x14ac:dyDescent="0.35">
      <c r="A18" s="71" t="s">
        <v>0</v>
      </c>
      <c r="B18" s="72" t="s">
        <v>1</v>
      </c>
      <c r="C18" s="71" t="s">
        <v>67</v>
      </c>
      <c r="D18" s="71" t="s">
        <v>68</v>
      </c>
      <c r="E18" s="71" t="s">
        <v>44</v>
      </c>
      <c r="F18" s="71" t="s">
        <v>45</v>
      </c>
      <c r="G18" s="71" t="s">
        <v>39</v>
      </c>
      <c r="H18" s="71" t="s">
        <v>382</v>
      </c>
      <c r="I18" s="71" t="s">
        <v>383</v>
      </c>
      <c r="J18" s="71" t="s">
        <v>384</v>
      </c>
      <c r="K18" s="71" t="s">
        <v>385</v>
      </c>
      <c r="L18" s="71" t="s">
        <v>386</v>
      </c>
      <c r="M18" s="71" t="s">
        <v>387</v>
      </c>
      <c r="N18" s="71" t="s">
        <v>388</v>
      </c>
      <c r="O18" s="71" t="s">
        <v>389</v>
      </c>
      <c r="P18" s="71" t="s">
        <v>390</v>
      </c>
      <c r="Q18" s="71" t="s">
        <v>391</v>
      </c>
      <c r="R18" s="71" t="s">
        <v>392</v>
      </c>
      <c r="S18" s="71" t="s">
        <v>393</v>
      </c>
      <c r="T18" s="71" t="s">
        <v>394</v>
      </c>
      <c r="U18" s="71" t="s">
        <v>395</v>
      </c>
      <c r="V18" s="71" t="s">
        <v>396</v>
      </c>
      <c r="W18" s="71" t="s">
        <v>397</v>
      </c>
      <c r="X18" s="71" t="s">
        <v>398</v>
      </c>
      <c r="Y18" s="71" t="s">
        <v>399</v>
      </c>
      <c r="Z18" s="71" t="s">
        <v>15</v>
      </c>
    </row>
    <row r="19" spans="1:26" ht="14.65" customHeight="1" x14ac:dyDescent="0.4">
      <c r="A19" cm="1">
        <f t="array" ref="A19">IF(fn_IsTableCellInFirstRow($A19,tbl_2026_2027_Days[]),1,$A18+1)</f>
        <v>1</v>
      </c>
      <c r="B19" s="67"/>
      <c r="C19" s="68"/>
      <c r="D19" cm="1">
        <f t="array" ref="D19">fn_GET_UNIQUE_VALS_RUNNING_COUNTS(tbl_2026_2027_Days[Resort Name], tbl_2026_2027_Days[[#This Row],[Resort Name]])</f>
        <v>0</v>
      </c>
      <c r="E19" s="69"/>
      <c r="F19" s="69"/>
      <c r="G19" s="68"/>
      <c r="H19" cm="1">
        <f t="array" aca="1" ref="H19" ca="1">fn_GetDaysSinceSkiMaintProc($A$2,tbl_2026_2027_Days[[#This Row],[Day]],H18,I18,1,"W",tbl_2026_2027_Days[[#This Row],[Ski]])</f>
        <v>4</v>
      </c>
      <c r="I19" s="66" t="b">
        <v>0</v>
      </c>
      <c r="J19" cm="1">
        <f t="array" aca="1" ref="J19" ca="1">fn_GetDaysSinceSkiMaintProc($A$2,tbl_2026_2027_Days[[#This Row],[Day]],J18,K18,1,"E",tbl_2026_2027_Days[[#This Row],[Ski]])</f>
        <v>4</v>
      </c>
      <c r="K19" s="139" t="b">
        <v>0</v>
      </c>
      <c r="L19" cm="1">
        <f t="array" aca="1" ref="L19" ca="1">fn_GetDaysSinceSkiMaintProc($A$2,tbl_2026_2027_Days[[#This Row],[Day]],L18,M18,1,"FT",tbl_2026_2027_Days[[#This Row],[Ski]])</f>
        <v>22</v>
      </c>
      <c r="M19" s="66" t="b">
        <v>0</v>
      </c>
      <c r="N19" cm="1">
        <f t="array" aca="1" ref="N19" ca="1">fn_GetDaysSinceSkiMaintProc($A$2,tbl_2026_2027_Days[[#This Row],[Day]],N18,O18,2,"W",tbl_2026_2027_Days[[#This Row],[Ski]])</f>
        <v>2</v>
      </c>
      <c r="O19" s="66" t="b">
        <v>0</v>
      </c>
      <c r="P19" cm="1">
        <f t="array" aca="1" ref="P19" ca="1">fn_GetDaysSinceSkiMaintProc($A$2,tbl_2026_2027_Days[[#This Row],[Day]],P18,Q18,2,"E",tbl_2026_2027_Days[[#This Row],[Ski]])</f>
        <v>4</v>
      </c>
      <c r="Q19" s="66" t="b">
        <v>0</v>
      </c>
      <c r="R19" cm="1">
        <f t="array" aca="1" ref="R19" ca="1">fn_GetDaysSinceSkiMaintProc($A$2,tbl_2026_2027_Days[[#This Row],[Day]],R18,S18,2,"FT",tbl_2026_2027_Days[[#This Row],[Ski]])</f>
        <v>37</v>
      </c>
      <c r="S19" s="66" t="b">
        <v>0</v>
      </c>
      <c r="T19" cm="1">
        <f t="array" aca="1" ref="T19" ca="1">fn_GetDaysSinceSkiMaintProc($A$2,tbl_2026_2027_Days[[#This Row],[Day]],T18,U18,3,"W",tbl_2026_2027_Days[[#This Row],[Ski]])</f>
        <v>2</v>
      </c>
      <c r="U19" s="66" t="b">
        <v>0</v>
      </c>
      <c r="V19" cm="1">
        <f t="array" aca="1" ref="V19" ca="1">fn_GetDaysSinceSkiMaintProc($A$2,tbl_2026_2027_Days[[#This Row],[Day]],V18,W18,3,"E",tbl_2026_2027_Days[[#This Row],[Ski]])</f>
        <v>0</v>
      </c>
      <c r="W19" s="66" t="b">
        <v>0</v>
      </c>
      <c r="X19" cm="1">
        <f t="array" aca="1" ref="X19" ca="1">fn_GetDaysSinceSkiMaintProc($A$2,tbl_2026_2027_Days[[#This Row],[Day]],X18,Y18,3,"FT",tbl_2026_2027_Days[[#This Row],[Ski]])</f>
        <v>5</v>
      </c>
      <c r="Y19" s="66" t="b">
        <v>0</v>
      </c>
      <c r="Z19" s="78"/>
    </row>
    <row r="20" spans="1:26" ht="14.65" customHeight="1" x14ac:dyDescent="0.4">
      <c r="A20">
        <f>SUBTOTAL(103,tbl_2026_2027_Days[Day])</f>
        <v>1</v>
      </c>
      <c r="B20" s="140"/>
      <c r="C20">
        <f>ROWS(_xlfn.UNIQUE(tbl_2026_2027_Days[Resort Name]))</f>
        <v>1</v>
      </c>
      <c r="E20" s="141">
        <f>SUBTOTAL(109,tbl_2026_2027_Days[Vertical Feet])</f>
        <v>0</v>
      </c>
      <c r="F20" s="141">
        <f>SUBTOTAL(109,tbl_2026_2027_Days[Calories])</f>
        <v>0</v>
      </c>
      <c r="Z20">
        <f>SUBTOTAL(103,tbl_2026_2027_Days[Notes])</f>
        <v>0</v>
      </c>
    </row>
    <row r="21" spans="1:26" ht="14.65" customHeight="1" x14ac:dyDescent="0.35">
      <c r="B21"/>
    </row>
    <row r="22" spans="1:26" ht="14.65" customHeight="1" x14ac:dyDescent="0.35">
      <c r="B22"/>
    </row>
    <row r="23" spans="1:26" x14ac:dyDescent="0.35">
      <c r="B23"/>
    </row>
    <row r="24" spans="1:26" x14ac:dyDescent="0.35">
      <c r="B24"/>
    </row>
    <row r="25" spans="1:26" x14ac:dyDescent="0.35">
      <c r="B25"/>
    </row>
    <row r="26" spans="1:26" x14ac:dyDescent="0.35">
      <c r="B26"/>
    </row>
    <row r="27" spans="1:26" x14ac:dyDescent="0.35">
      <c r="B27"/>
    </row>
    <row r="28" spans="1:26" x14ac:dyDescent="0.35">
      <c r="B28"/>
    </row>
    <row r="29" spans="1:26" x14ac:dyDescent="0.35">
      <c r="B29"/>
    </row>
    <row r="30" spans="1:26" x14ac:dyDescent="0.35">
      <c r="B30"/>
    </row>
    <row r="31" spans="1:26" x14ac:dyDescent="0.35">
      <c r="B31"/>
    </row>
    <row r="32" spans="1:26" x14ac:dyDescent="0.35">
      <c r="B32"/>
    </row>
    <row r="33" spans="2:2" x14ac:dyDescent="0.35">
      <c r="B33"/>
    </row>
    <row r="34" spans="2:2" x14ac:dyDescent="0.35">
      <c r="B34"/>
    </row>
    <row r="35" spans="2:2" x14ac:dyDescent="0.35">
      <c r="B35"/>
    </row>
    <row r="36" spans="2:2" x14ac:dyDescent="0.35">
      <c r="B36"/>
    </row>
    <row r="37" spans="2:2" x14ac:dyDescent="0.35">
      <c r="B37"/>
    </row>
    <row r="38" spans="2:2" x14ac:dyDescent="0.35">
      <c r="B38"/>
    </row>
    <row r="39" spans="2:2" x14ac:dyDescent="0.35">
      <c r="B39"/>
    </row>
    <row r="40" spans="2:2" x14ac:dyDescent="0.35">
      <c r="B40"/>
    </row>
    <row r="41" spans="2:2" x14ac:dyDescent="0.35">
      <c r="B41"/>
    </row>
    <row r="42" spans="2:2" x14ac:dyDescent="0.35">
      <c r="B42"/>
    </row>
    <row r="43" spans="2:2" x14ac:dyDescent="0.35">
      <c r="B43"/>
    </row>
    <row r="44" spans="2:2" x14ac:dyDescent="0.35">
      <c r="B44"/>
    </row>
    <row r="45" spans="2:2" x14ac:dyDescent="0.35">
      <c r="B45"/>
    </row>
    <row r="46" spans="2:2" x14ac:dyDescent="0.35">
      <c r="B46"/>
    </row>
    <row r="47" spans="2:2" x14ac:dyDescent="0.35">
      <c r="B47"/>
    </row>
    <row r="48" spans="2:2" x14ac:dyDescent="0.35">
      <c r="B48"/>
    </row>
    <row r="49" spans="2:2" x14ac:dyDescent="0.35">
      <c r="B49"/>
    </row>
    <row r="50" spans="2:2" x14ac:dyDescent="0.35">
      <c r="B50"/>
    </row>
    <row r="51" spans="2:2" x14ac:dyDescent="0.35">
      <c r="B51"/>
    </row>
    <row r="52" spans="2:2" x14ac:dyDescent="0.35">
      <c r="B52"/>
    </row>
    <row r="53" spans="2:2" x14ac:dyDescent="0.35">
      <c r="B53"/>
    </row>
    <row r="54" spans="2:2" x14ac:dyDescent="0.35">
      <c r="B54"/>
    </row>
    <row r="55" spans="2:2" x14ac:dyDescent="0.35">
      <c r="B55"/>
    </row>
    <row r="56" spans="2:2" x14ac:dyDescent="0.35">
      <c r="B56"/>
    </row>
    <row r="57" spans="2:2" x14ac:dyDescent="0.35">
      <c r="B57"/>
    </row>
    <row r="58" spans="2:2" x14ac:dyDescent="0.35">
      <c r="B58"/>
    </row>
    <row r="59" spans="2:2" x14ac:dyDescent="0.35">
      <c r="B59"/>
    </row>
    <row r="60" spans="2:2" x14ac:dyDescent="0.35">
      <c r="B60"/>
    </row>
    <row r="61" spans="2:2" x14ac:dyDescent="0.35">
      <c r="B61"/>
    </row>
    <row r="62" spans="2:2" x14ac:dyDescent="0.35">
      <c r="B62"/>
    </row>
    <row r="63" spans="2:2" x14ac:dyDescent="0.35">
      <c r="B63"/>
    </row>
    <row r="64" spans="2:2" x14ac:dyDescent="0.35">
      <c r="B64"/>
    </row>
    <row r="65" spans="2:2" x14ac:dyDescent="0.35">
      <c r="B65"/>
    </row>
    <row r="66" spans="2:2" x14ac:dyDescent="0.35">
      <c r="B66"/>
    </row>
    <row r="67" spans="2:2" x14ac:dyDescent="0.35">
      <c r="B67"/>
    </row>
    <row r="68" spans="2:2" x14ac:dyDescent="0.35">
      <c r="B68"/>
    </row>
    <row r="69" spans="2:2" x14ac:dyDescent="0.35">
      <c r="B69"/>
    </row>
    <row r="70" spans="2:2" x14ac:dyDescent="0.35">
      <c r="B70"/>
    </row>
    <row r="71" spans="2:2" x14ac:dyDescent="0.35">
      <c r="B71"/>
    </row>
    <row r="72" spans="2:2" x14ac:dyDescent="0.35">
      <c r="B72"/>
    </row>
    <row r="73" spans="2:2" x14ac:dyDescent="0.35">
      <c r="B73"/>
    </row>
    <row r="74" spans="2:2" x14ac:dyDescent="0.35">
      <c r="B74"/>
    </row>
    <row r="75" spans="2:2" x14ac:dyDescent="0.35">
      <c r="B75"/>
    </row>
    <row r="76" spans="2:2" x14ac:dyDescent="0.35">
      <c r="B76"/>
    </row>
    <row r="77" spans="2:2" x14ac:dyDescent="0.35">
      <c r="B77"/>
    </row>
    <row r="78" spans="2:2" x14ac:dyDescent="0.35">
      <c r="B78"/>
    </row>
    <row r="79" spans="2:2" x14ac:dyDescent="0.35">
      <c r="B79"/>
    </row>
    <row r="80" spans="2:2" x14ac:dyDescent="0.35">
      <c r="B80"/>
    </row>
    <row r="81" spans="2:2" x14ac:dyDescent="0.35">
      <c r="B81"/>
    </row>
    <row r="82" spans="2:2" x14ac:dyDescent="0.35">
      <c r="B82"/>
    </row>
    <row r="83" spans="2:2" x14ac:dyDescent="0.35">
      <c r="B83"/>
    </row>
  </sheetData>
  <sheetProtection sheet="1" objects="1" scenarios="1"/>
  <protectedRanges>
    <protectedRange sqref="A14:E17 H14:Z17 F16:G17 F14:G14 A19:Z142" name="TableExpansion"/>
  </protectedRanges>
  <mergeCells count="4">
    <mergeCell ref="A1:C1"/>
    <mergeCell ref="A2:C2"/>
    <mergeCell ref="H5:H6"/>
    <mergeCell ref="I5:I6"/>
  </mergeCells>
  <dataValidations count="2">
    <dataValidation type="list" showErrorMessage="1" sqref="C19" xr:uid="{18BCF5E0-10C7-4CB8-902B-D9CEE9D0CB12}">
      <formula1>ResortNames</formula1>
    </dataValidation>
    <dataValidation type="list" allowBlank="1" showInputMessage="1" showErrorMessage="1" sqref="G19" xr:uid="{FE9DC0C2-51FC-4390-BFEB-461B68A8FDAA}">
      <formula1>SkiNames</formula1>
    </dataValidation>
  </dataValidations>
  <pageMargins left="0.7" right="0.7" top="0.75" bottom="0.75" header="0.3" footer="0.3"/>
  <pageSetup orientation="portrait"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B53C5-66DF-4AF6-AD08-5D76EDDADEC8}">
  <sheetPr codeName="SheetSeason2027_2028"/>
  <dimension ref="A1:Z83"/>
  <sheetViews>
    <sheetView workbookViewId="0">
      <selection activeCell="D20" sqref="D20"/>
    </sheetView>
  </sheetViews>
  <sheetFormatPr defaultRowHeight="14.5" x14ac:dyDescent="0.35"/>
  <cols>
    <col min="1" max="1" width="6" customWidth="1"/>
    <col min="2" max="2" width="18.54296875" style="1" customWidth="1"/>
    <col min="3" max="3" width="27.26953125" customWidth="1"/>
    <col min="4" max="4" width="12.54296875" customWidth="1"/>
    <col min="5" max="5" width="13.26953125" customWidth="1"/>
    <col min="6" max="6" width="9.453125" customWidth="1"/>
    <col min="7" max="7" width="21.1796875" customWidth="1"/>
    <col min="8" max="25" width="10.6328125" customWidth="1"/>
    <col min="26" max="26" width="50.54296875" customWidth="1"/>
  </cols>
  <sheetData>
    <row r="1" spans="1:26" ht="18.5" x14ac:dyDescent="0.45">
      <c r="A1" s="158" t="str">
        <f>c_WORKBOOK_TITLE</f>
        <v>Bob's Ski Days</v>
      </c>
      <c r="B1" s="158"/>
      <c r="C1" s="158"/>
    </row>
    <row r="2" spans="1:26" ht="18.5" x14ac:dyDescent="0.45">
      <c r="A2" s="146" t="str" cm="1">
        <f t="array" aca="1" ref="A2" ca="1">fn_GET_WS_NAME($A$1)</f>
        <v>2027-2028</v>
      </c>
      <c r="B2" s="146"/>
      <c r="C2" s="146"/>
    </row>
    <row r="3" spans="1:26" ht="14.65" customHeight="1" thickBot="1" x14ac:dyDescent="0.45">
      <c r="A3" s="2"/>
      <c r="K3" s="73"/>
    </row>
    <row r="4" spans="1:26" ht="14.65" customHeight="1" thickBot="1" x14ac:dyDescent="0.45">
      <c r="B4" s="111" t="s">
        <v>71</v>
      </c>
      <c r="C4" s="112"/>
      <c r="D4" s="112"/>
      <c r="E4" s="112"/>
      <c r="F4" s="112"/>
      <c r="G4" s="113"/>
    </row>
    <row r="5" spans="1:26" ht="14.65" customHeight="1" x14ac:dyDescent="0.35">
      <c r="B5" s="114" t="s">
        <v>21</v>
      </c>
      <c r="C5" s="114" t="s">
        <v>46</v>
      </c>
      <c r="D5" s="115" t="s">
        <v>44</v>
      </c>
      <c r="E5" s="116"/>
      <c r="F5" s="115" t="s">
        <v>45</v>
      </c>
      <c r="G5" s="116"/>
      <c r="H5" s="185"/>
      <c r="I5" s="185"/>
    </row>
    <row r="6" spans="1:26" s="8" customFormat="1" ht="14.65" customHeight="1" thickBot="1" x14ac:dyDescent="0.4">
      <c r="B6" s="117"/>
      <c r="C6" s="117"/>
      <c r="D6" s="118" t="s">
        <v>47</v>
      </c>
      <c r="E6" s="119" t="s">
        <v>48</v>
      </c>
      <c r="F6" s="120" t="s">
        <v>47</v>
      </c>
      <c r="G6" s="119" t="s">
        <v>48</v>
      </c>
      <c r="H6" s="185"/>
      <c r="I6" s="185"/>
    </row>
    <row r="7" spans="1:26" s="8" customFormat="1" ht="14.65" customHeight="1" thickBot="1" x14ac:dyDescent="0.45">
      <c r="A7" s="20"/>
      <c r="B7" s="121">
        <f>tbl_2027_2028_Days[[#Totals],[Day]]</f>
        <v>1</v>
      </c>
      <c r="C7" s="121">
        <f>tbl_2027_2028_Days[[#Totals],[Resort Name]]</f>
        <v>1</v>
      </c>
      <c r="D7" s="109">
        <f>tbl_2027_2028_Days[[#Totals],[Vertical Feet]]</f>
        <v>0</v>
      </c>
      <c r="E7" s="110">
        <f>tbl_2027_2028_Days[[#Totals],[Vertical Feet]]/tbl_2027_2028_Days[[#Totals],[Day]]</f>
        <v>0</v>
      </c>
      <c r="F7" s="109">
        <f>tbl_2027_2028_Days[[#Totals],[Calories]]</f>
        <v>0</v>
      </c>
      <c r="G7" s="110">
        <f>tbl_2027_2028_Days[[#Totals],[Calories]]/tbl_2027_2028_Days[[#Totals],[Day]]</f>
        <v>0</v>
      </c>
      <c r="H7" s="42"/>
      <c r="I7" s="42"/>
    </row>
    <row r="8" spans="1:26" s="8" customFormat="1" ht="14.65" customHeight="1" thickBot="1" x14ac:dyDescent="0.45">
      <c r="A8" s="20"/>
      <c r="B8" s="42"/>
      <c r="C8" s="42"/>
      <c r="D8" s="77"/>
      <c r="E8" s="77"/>
      <c r="F8" s="77"/>
      <c r="G8" s="77"/>
      <c r="H8" s="42"/>
      <c r="I8" s="42"/>
    </row>
    <row r="9" spans="1:26" ht="14.65" customHeight="1" x14ac:dyDescent="0.35">
      <c r="A9" s="70"/>
      <c r="B9"/>
      <c r="C9" s="70"/>
      <c r="D9" s="71"/>
      <c r="E9" s="122"/>
      <c r="F9" s="123" t="s">
        <v>75</v>
      </c>
      <c r="G9" s="124"/>
      <c r="H9" s="125"/>
      <c r="I9" s="96"/>
      <c r="J9" s="96"/>
      <c r="K9" s="96"/>
      <c r="L9" s="96"/>
      <c r="M9" s="96"/>
      <c r="N9" s="96"/>
      <c r="O9" s="96"/>
      <c r="P9" s="96"/>
      <c r="Q9" s="96"/>
      <c r="R9" s="96"/>
      <c r="S9" s="96"/>
      <c r="T9" s="96"/>
      <c r="U9" s="96"/>
      <c r="V9" s="96"/>
      <c r="W9" s="96"/>
      <c r="X9" s="96"/>
      <c r="Y9" s="97"/>
      <c r="Z9" s="70"/>
    </row>
    <row r="10" spans="1:26" ht="14.65" customHeight="1" x14ac:dyDescent="0.35">
      <c r="A10" s="70"/>
      <c r="B10" s="75"/>
      <c r="C10" s="70"/>
      <c r="D10" s="71"/>
      <c r="E10" s="71"/>
      <c r="F10" s="126" t="s">
        <v>92</v>
      </c>
      <c r="G10" s="127"/>
      <c r="H10" s="98">
        <v>1</v>
      </c>
      <c r="I10" s="98"/>
      <c r="J10" s="98"/>
      <c r="K10" s="98"/>
      <c r="L10" s="98"/>
      <c r="M10" s="98"/>
      <c r="N10" s="98">
        <v>2</v>
      </c>
      <c r="O10" s="98"/>
      <c r="P10" s="98"/>
      <c r="Q10" s="98"/>
      <c r="R10" s="98"/>
      <c r="S10" s="98"/>
      <c r="T10" s="98">
        <v>3</v>
      </c>
      <c r="U10" s="98"/>
      <c r="V10" s="98"/>
      <c r="W10" s="98"/>
      <c r="X10" s="98"/>
      <c r="Y10" s="99"/>
      <c r="Z10" s="70"/>
    </row>
    <row r="11" spans="1:26" ht="14.65" customHeight="1" x14ac:dyDescent="0.35">
      <c r="A11" s="70"/>
      <c r="B11" s="75"/>
      <c r="C11" s="70"/>
      <c r="D11" s="71"/>
      <c r="E11" s="71"/>
      <c r="F11" s="126" t="s">
        <v>76</v>
      </c>
      <c r="G11" s="127"/>
      <c r="H11" s="98" t="str" cm="1">
        <f t="array" ref="H11">fn_GetSkiNameFromSkiIdx($H10)</f>
        <v>Stöckli Stormrider 102</v>
      </c>
      <c r="I11" s="98"/>
      <c r="J11" s="98"/>
      <c r="K11" s="98"/>
      <c r="L11" s="98"/>
      <c r="M11" s="98"/>
      <c r="N11" s="98" t="str" cm="1">
        <f t="array" ref="N11">fn_GetSkiNameFromSkiIdx($N10)</f>
        <v>Stöckli Montero AS</v>
      </c>
      <c r="O11" s="98"/>
      <c r="P11" s="98"/>
      <c r="Q11" s="98"/>
      <c r="R11" s="98"/>
      <c r="S11" s="98"/>
      <c r="T11" s="98" t="str" cm="1">
        <f t="array" ref="T11">fn_GetSkiNameFromSkiIdx($T10)</f>
        <v>Rossignal Sin 7</v>
      </c>
      <c r="U11" s="98"/>
      <c r="V11" s="98"/>
      <c r="W11" s="98"/>
      <c r="X11" s="98"/>
      <c r="Y11" s="99"/>
      <c r="Z11" s="70"/>
    </row>
    <row r="12" spans="1:26" ht="14.65" customHeight="1" x14ac:dyDescent="0.35">
      <c r="A12" s="70"/>
      <c r="B12" s="75"/>
      <c r="C12" s="74"/>
      <c r="D12" s="76"/>
      <c r="E12" s="71"/>
      <c r="F12" s="126" t="s">
        <v>77</v>
      </c>
      <c r="G12" s="127"/>
      <c r="H12" s="98" t="s">
        <v>3</v>
      </c>
      <c r="I12" s="98"/>
      <c r="J12" s="98" t="s">
        <v>26</v>
      </c>
      <c r="K12" s="98"/>
      <c r="L12" s="98" t="s">
        <v>27</v>
      </c>
      <c r="M12" s="98"/>
      <c r="N12" s="98" t="s">
        <v>3</v>
      </c>
      <c r="O12" s="98"/>
      <c r="P12" s="98" t="s">
        <v>26</v>
      </c>
      <c r="Q12" s="98"/>
      <c r="R12" s="98" t="s">
        <v>27</v>
      </c>
      <c r="S12" s="98"/>
      <c r="T12" s="98" t="s">
        <v>3</v>
      </c>
      <c r="U12" s="98"/>
      <c r="V12" s="98" t="s">
        <v>26</v>
      </c>
      <c r="W12" s="98"/>
      <c r="X12" s="98" t="s">
        <v>27</v>
      </c>
      <c r="Y12" s="99"/>
      <c r="Z12" s="70"/>
    </row>
    <row r="13" spans="1:26" ht="14.65" customHeight="1" x14ac:dyDescent="0.35">
      <c r="A13" s="70"/>
      <c r="B13" s="75"/>
      <c r="C13" s="74"/>
      <c r="D13" s="76"/>
      <c r="E13" s="71"/>
      <c r="F13" s="128" t="s">
        <v>78</v>
      </c>
      <c r="G13" s="129"/>
      <c r="H13" s="98" t="str" cm="1">
        <f t="array" ref="H13">fn_GetMaintProcAbbrevFromName(H$12)</f>
        <v>W</v>
      </c>
      <c r="I13" s="98"/>
      <c r="J13" s="98" t="str" cm="1">
        <f t="array" ref="J13">fn_GetMaintProcAbbrevFromName(J$12)</f>
        <v>E</v>
      </c>
      <c r="K13" s="98"/>
      <c r="L13" s="98" t="str" cm="1">
        <f t="array" ref="L13">fn_GetMaintProcAbbrevFromName(L$12)</f>
        <v>FT</v>
      </c>
      <c r="M13" s="98"/>
      <c r="N13" s="98" t="str" cm="1">
        <f t="array" ref="N13">fn_GetMaintProcAbbrevFromName(N$12)</f>
        <v>W</v>
      </c>
      <c r="O13" s="98"/>
      <c r="P13" s="98" t="str" cm="1">
        <f t="array" ref="P13">fn_GetMaintProcAbbrevFromName(P$12)</f>
        <v>E</v>
      </c>
      <c r="Q13" s="98"/>
      <c r="R13" s="98" t="str" cm="1">
        <f t="array" ref="R13">fn_GetMaintProcAbbrevFromName(R$12)</f>
        <v>FT</v>
      </c>
      <c r="S13" s="98"/>
      <c r="T13" s="98" t="str" cm="1">
        <f t="array" ref="T13">fn_GetMaintProcAbbrevFromName(T$12)</f>
        <v>W</v>
      </c>
      <c r="U13" s="98"/>
      <c r="V13" s="98" t="str" cm="1">
        <f t="array" ref="V13">fn_GetMaintProcAbbrevFromName(V$12)</f>
        <v>E</v>
      </c>
      <c r="W13" s="98"/>
      <c r="X13" s="98" t="str" cm="1">
        <f t="array" ref="X13">fn_GetMaintProcAbbrevFromName(X$12)</f>
        <v>FT</v>
      </c>
      <c r="Y13" s="99"/>
      <c r="Z13" s="70"/>
    </row>
    <row r="14" spans="1:26" ht="30" customHeight="1" x14ac:dyDescent="0.35">
      <c r="B14"/>
      <c r="F14" s="130" t="s">
        <v>70</v>
      </c>
      <c r="G14" s="131"/>
      <c r="H14" s="132" t="s">
        <v>382</v>
      </c>
      <c r="I14" s="108" t="s">
        <v>383</v>
      </c>
      <c r="J14" s="108" t="s">
        <v>384</v>
      </c>
      <c r="K14" s="108" t="s">
        <v>385</v>
      </c>
      <c r="L14" s="108" t="s">
        <v>386</v>
      </c>
      <c r="M14" s="108" t="s">
        <v>387</v>
      </c>
      <c r="N14" s="108" t="s">
        <v>388</v>
      </c>
      <c r="O14" s="108" t="s">
        <v>389</v>
      </c>
      <c r="P14" s="108" t="s">
        <v>390</v>
      </c>
      <c r="Q14" s="108" t="s">
        <v>391</v>
      </c>
      <c r="R14" s="108" t="s">
        <v>392</v>
      </c>
      <c r="S14" s="108" t="s">
        <v>393</v>
      </c>
      <c r="T14" s="108" t="s">
        <v>394</v>
      </c>
      <c r="U14" s="108" t="s">
        <v>395</v>
      </c>
      <c r="V14" s="108" t="s">
        <v>396</v>
      </c>
      <c r="W14" s="108" t="s">
        <v>397</v>
      </c>
      <c r="X14" s="108" t="s">
        <v>398</v>
      </c>
      <c r="Y14" s="133" t="s">
        <v>399</v>
      </c>
    </row>
    <row r="15" spans="1:26" ht="14.65" customHeight="1" thickBot="1" x14ac:dyDescent="0.4">
      <c r="B15"/>
      <c r="F15" s="134"/>
      <c r="G15" s="135"/>
      <c r="H15" s="136" t="e" cm="1">
        <f t="array" aca="1" ref="H15" ca="1">fn_GET_LAST_VAL_IN_COL(tbl_2027_2028_Days[1W_Days],TRUE)</f>
        <v>#VALUE!</v>
      </c>
      <c r="I15" s="137" t="e" cm="1">
        <f t="array" ref="I15">INDEX(tbl_2027_2028_Days[1W_Done],fn_GET_LAST_IDX_IN_COL(tbl_2027_2028_Days[Ski],TRUE))</f>
        <v>#VALUE!</v>
      </c>
      <c r="J15" s="29" t="e" cm="1">
        <f t="array" aca="1" ref="J15" ca="1">fn_GET_LAST_VAL_IN_COL(tbl_2027_2028_Days[1E_Days],TRUE)</f>
        <v>#VALUE!</v>
      </c>
      <c r="K15" s="137" t="e" cm="1">
        <f t="array" ref="K15">INDEX(tbl_2027_2028_Days[1E_Done],fn_GET_LAST_IDX_IN_COL(tbl_2027_2028_Days[Ski],TRUE))</f>
        <v>#VALUE!</v>
      </c>
      <c r="L15" s="29" t="e" cm="1">
        <f t="array" aca="1" ref="L15" ca="1">fn_GET_LAST_VAL_IN_COL(tbl_2027_2028_Days[1FT_Days],TRUE)</f>
        <v>#VALUE!</v>
      </c>
      <c r="M15" s="137" t="e" cm="1">
        <f t="array" ref="M15">INDEX(tbl_2027_2028_Days[1FT_Done],fn_GET_LAST_IDX_IN_COL(tbl_2027_2028_Days[Ski],TRUE))</f>
        <v>#VALUE!</v>
      </c>
      <c r="N15" s="29" t="e" cm="1">
        <f t="array" aca="1" ref="N15" ca="1">fn_GET_LAST_VAL_IN_COL(tbl_2027_2028_Days[2W_Days],TRUE)</f>
        <v>#VALUE!</v>
      </c>
      <c r="O15" s="137" t="e" cm="1">
        <f t="array" ref="O15">INDEX(tbl_2027_2028_Days[2W_Done],fn_GET_LAST_IDX_IN_COL(tbl_2027_2028_Days[Ski],TRUE))</f>
        <v>#VALUE!</v>
      </c>
      <c r="P15" s="29" t="e" cm="1">
        <f t="array" aca="1" ref="P15" ca="1">fn_GET_LAST_VAL_IN_COL(tbl_2027_2028_Days[2E_Days],TRUE)</f>
        <v>#VALUE!</v>
      </c>
      <c r="Q15" s="137" t="e" cm="1">
        <f t="array" ref="Q15">INDEX(tbl_2027_2028_Days[2E_Done],fn_GET_LAST_IDX_IN_COL(tbl_2027_2028_Days[Ski],TRUE))</f>
        <v>#VALUE!</v>
      </c>
      <c r="R15" s="29" t="e" cm="1">
        <f t="array" aca="1" ref="R15" ca="1">fn_GET_LAST_VAL_IN_COL(tbl_2027_2028_Days[2FT_Days],TRUE)</f>
        <v>#VALUE!</v>
      </c>
      <c r="S15" s="137" t="e" cm="1">
        <f t="array" ref="S15">INDEX(tbl_2027_2028_Days[2FT_Done],fn_GET_LAST_IDX_IN_COL(tbl_2027_2028_Days[Ski],TRUE))</f>
        <v>#VALUE!</v>
      </c>
      <c r="T15" s="29" t="e" cm="1">
        <f t="array" aca="1" ref="T15" ca="1">fn_GET_LAST_VAL_IN_COL(tbl_2027_2028_Days[3W_Days],TRUE)</f>
        <v>#VALUE!</v>
      </c>
      <c r="U15" s="137" t="e" cm="1">
        <f t="array" ref="U15">INDEX(tbl_2027_2028_Days[3W_Done],fn_GET_LAST_IDX_IN_COL(tbl_2027_2028_Days[Ski],TRUE))</f>
        <v>#VALUE!</v>
      </c>
      <c r="V15" s="29" t="e" cm="1">
        <f t="array" aca="1" ref="V15" ca="1">fn_GET_LAST_VAL_IN_COL(tbl_2027_2028_Days[3E_Days],TRUE)</f>
        <v>#VALUE!</v>
      </c>
      <c r="W15" s="137" t="e" cm="1">
        <f t="array" ref="W15">INDEX(tbl_2027_2028_Days[3E_Done],fn_GET_LAST_IDX_IN_COL(tbl_2027_2028_Days[Ski],TRUE))</f>
        <v>#VALUE!</v>
      </c>
      <c r="X15" s="29" t="e" cm="1">
        <f t="array" aca="1" ref="X15" ca="1">fn_GET_LAST_VAL_IN_COL(tbl_2027_2028_Days[3FT_Days],TRUE)</f>
        <v>#VALUE!</v>
      </c>
      <c r="Y15" s="138" t="e" cm="1">
        <f t="array" ref="Y15">INDEX(tbl_2027_2028_Days[3FT_Done],fn_GET_LAST_IDX_IN_COL(tbl_2027_2028_Days[Ski],TRUE))</f>
        <v>#VALUE!</v>
      </c>
    </row>
    <row r="16" spans="1:26" ht="14.65" customHeight="1" x14ac:dyDescent="0.35">
      <c r="B16"/>
    </row>
    <row r="17" spans="1:26" ht="14.65" customHeight="1" x14ac:dyDescent="0.35">
      <c r="A17" s="126" t="s">
        <v>84</v>
      </c>
      <c r="B17" s="126"/>
      <c r="C17" s="126"/>
      <c r="D17" s="126"/>
      <c r="E17" s="126"/>
      <c r="F17" s="126"/>
      <c r="G17" s="126"/>
      <c r="H17" s="126"/>
      <c r="I17" s="126"/>
      <c r="J17" s="126"/>
      <c r="K17" s="126"/>
      <c r="L17" s="126"/>
      <c r="M17" s="126"/>
      <c r="N17" s="126"/>
      <c r="O17" s="126"/>
      <c r="P17" s="126"/>
      <c r="Q17" s="126"/>
      <c r="R17" s="126"/>
      <c r="S17" s="126"/>
      <c r="T17" s="126"/>
      <c r="U17" s="126"/>
      <c r="V17" s="126"/>
      <c r="W17" s="126"/>
      <c r="X17" s="126"/>
      <c r="Y17" s="126"/>
      <c r="Z17" s="126"/>
    </row>
    <row r="18" spans="1:26" s="73" customFormat="1" ht="30" customHeight="1" x14ac:dyDescent="0.35">
      <c r="A18" s="71" t="s">
        <v>0</v>
      </c>
      <c r="B18" s="72" t="s">
        <v>1</v>
      </c>
      <c r="C18" s="71" t="s">
        <v>67</v>
      </c>
      <c r="D18" s="71" t="s">
        <v>68</v>
      </c>
      <c r="E18" s="71" t="s">
        <v>44</v>
      </c>
      <c r="F18" s="71" t="s">
        <v>45</v>
      </c>
      <c r="G18" s="71" t="s">
        <v>39</v>
      </c>
      <c r="H18" s="71" t="s">
        <v>382</v>
      </c>
      <c r="I18" s="71" t="s">
        <v>383</v>
      </c>
      <c r="J18" s="71" t="s">
        <v>384</v>
      </c>
      <c r="K18" s="71" t="s">
        <v>385</v>
      </c>
      <c r="L18" s="71" t="s">
        <v>386</v>
      </c>
      <c r="M18" s="71" t="s">
        <v>387</v>
      </c>
      <c r="N18" s="71" t="s">
        <v>388</v>
      </c>
      <c r="O18" s="71" t="s">
        <v>389</v>
      </c>
      <c r="P18" s="71" t="s">
        <v>390</v>
      </c>
      <c r="Q18" s="71" t="s">
        <v>391</v>
      </c>
      <c r="R18" s="71" t="s">
        <v>392</v>
      </c>
      <c r="S18" s="71" t="s">
        <v>393</v>
      </c>
      <c r="T18" s="71" t="s">
        <v>394</v>
      </c>
      <c r="U18" s="71" t="s">
        <v>395</v>
      </c>
      <c r="V18" s="71" t="s">
        <v>396</v>
      </c>
      <c r="W18" s="71" t="s">
        <v>397</v>
      </c>
      <c r="X18" s="71" t="s">
        <v>398</v>
      </c>
      <c r="Y18" s="71" t="s">
        <v>399</v>
      </c>
      <c r="Z18" s="71" t="s">
        <v>15</v>
      </c>
    </row>
    <row r="19" spans="1:26" ht="14.65" customHeight="1" x14ac:dyDescent="0.4">
      <c r="A19" cm="1">
        <f t="array" ref="A19">IF(fn_IsTableCellInFirstRow($A19,tbl_2027_2028_Days[]),1,$A18+1)</f>
        <v>1</v>
      </c>
      <c r="B19" s="67"/>
      <c r="C19" s="68"/>
      <c r="D19" cm="1">
        <f t="array" ref="D19">fn_GET_UNIQUE_VALS_RUNNING_COUNTS(tbl_2027_2028_Days[Resort Name], tbl_2027_2028_Days[[#This Row],[Resort Name]])</f>
        <v>0</v>
      </c>
      <c r="E19" s="69"/>
      <c r="F19" s="69"/>
      <c r="G19" s="68"/>
      <c r="H19" t="e" cm="1">
        <f t="array" aca="1" ref="H19" ca="1">fn_GetDaysSinceSkiMaintProc($A$2,tbl_2027_2028_Days[[#This Row],[Day]],H18,I18,1,"W",tbl_2027_2028_Days[[#This Row],[Ski]])</f>
        <v>#VALUE!</v>
      </c>
      <c r="I19" s="66" t="b">
        <v>0</v>
      </c>
      <c r="J19" t="e" cm="1">
        <f t="array" aca="1" ref="J19" ca="1">fn_GetDaysSinceSkiMaintProc($A$2,tbl_2027_2028_Days[[#This Row],[Day]],J18,K18,1,"E",tbl_2027_2028_Days[[#This Row],[Ski]])</f>
        <v>#VALUE!</v>
      </c>
      <c r="K19" s="139" t="b">
        <v>0</v>
      </c>
      <c r="L19" t="e" cm="1">
        <f t="array" aca="1" ref="L19" ca="1">fn_GetDaysSinceSkiMaintProc($A$2,tbl_2027_2028_Days[[#This Row],[Day]],L18,M18,1,"FT",tbl_2027_2028_Days[[#This Row],[Ski]])</f>
        <v>#VALUE!</v>
      </c>
      <c r="M19" s="66" t="b">
        <v>0</v>
      </c>
      <c r="N19" t="e" cm="1">
        <f t="array" aca="1" ref="N19" ca="1">fn_GetDaysSinceSkiMaintProc($A$2,tbl_2027_2028_Days[[#This Row],[Day]],N18,O18,2,"W",tbl_2027_2028_Days[[#This Row],[Ski]])</f>
        <v>#VALUE!</v>
      </c>
      <c r="O19" s="66" t="b">
        <v>0</v>
      </c>
      <c r="P19" t="e" cm="1">
        <f t="array" aca="1" ref="P19" ca="1">fn_GetDaysSinceSkiMaintProc($A$2,tbl_2027_2028_Days[[#This Row],[Day]],P18,Q18,2,"E",tbl_2027_2028_Days[[#This Row],[Ski]])</f>
        <v>#VALUE!</v>
      </c>
      <c r="Q19" s="66" t="b">
        <v>0</v>
      </c>
      <c r="R19" t="e" cm="1">
        <f t="array" aca="1" ref="R19" ca="1">fn_GetDaysSinceSkiMaintProc($A$2,tbl_2027_2028_Days[[#This Row],[Day]],R18,S18,2,"FT",tbl_2027_2028_Days[[#This Row],[Ski]])</f>
        <v>#VALUE!</v>
      </c>
      <c r="S19" s="66" t="b">
        <v>0</v>
      </c>
      <c r="T19" t="e" cm="1">
        <f t="array" aca="1" ref="T19" ca="1">fn_GetDaysSinceSkiMaintProc($A$2,tbl_2027_2028_Days[[#This Row],[Day]],T18,U18,3,"W",tbl_2027_2028_Days[[#This Row],[Ski]])</f>
        <v>#VALUE!</v>
      </c>
      <c r="U19" s="66" t="b">
        <v>0</v>
      </c>
      <c r="V19" t="e" cm="1">
        <f t="array" aca="1" ref="V19" ca="1">fn_GetDaysSinceSkiMaintProc($A$2,tbl_2027_2028_Days[[#This Row],[Day]],V18,W18,3,"E",tbl_2027_2028_Days[[#This Row],[Ski]])</f>
        <v>#VALUE!</v>
      </c>
      <c r="W19" s="66" t="b">
        <v>0</v>
      </c>
      <c r="X19" t="e" cm="1">
        <f t="array" aca="1" ref="X19" ca="1">fn_GetDaysSinceSkiMaintProc($A$2,tbl_2027_2028_Days[[#This Row],[Day]],X18,Y18,3,"FT",tbl_2027_2028_Days[[#This Row],[Ski]])</f>
        <v>#VALUE!</v>
      </c>
      <c r="Y19" s="66" t="b">
        <v>0</v>
      </c>
      <c r="Z19" s="78"/>
    </row>
    <row r="20" spans="1:26" ht="14.65" customHeight="1" x14ac:dyDescent="0.4">
      <c r="A20">
        <f>SUBTOTAL(103,tbl_2027_2028_Days[Day])</f>
        <v>1</v>
      </c>
      <c r="B20" s="140"/>
      <c r="C20">
        <f>ROWS(_xlfn.UNIQUE(tbl_2027_2028_Days[Resort Name]))</f>
        <v>1</v>
      </c>
      <c r="E20" s="141">
        <f>SUBTOTAL(109,tbl_2027_2028_Days[Vertical Feet])</f>
        <v>0</v>
      </c>
      <c r="F20" s="141">
        <f>SUBTOTAL(109,tbl_2027_2028_Days[Calories])</f>
        <v>0</v>
      </c>
      <c r="Z20">
        <f>SUBTOTAL(103,tbl_2027_2028_Days[Notes])</f>
        <v>0</v>
      </c>
    </row>
    <row r="21" spans="1:26" ht="14.65" customHeight="1" x14ac:dyDescent="0.35">
      <c r="B21"/>
    </row>
    <row r="22" spans="1:26" ht="14.65" customHeight="1" x14ac:dyDescent="0.35">
      <c r="B22"/>
    </row>
    <row r="23" spans="1:26" x14ac:dyDescent="0.35">
      <c r="B23"/>
    </row>
    <row r="24" spans="1:26" x14ac:dyDescent="0.35">
      <c r="B24"/>
    </row>
    <row r="25" spans="1:26" x14ac:dyDescent="0.35">
      <c r="B25"/>
    </row>
    <row r="26" spans="1:26" x14ac:dyDescent="0.35">
      <c r="B26"/>
    </row>
    <row r="27" spans="1:26" x14ac:dyDescent="0.35">
      <c r="B27"/>
    </row>
    <row r="28" spans="1:26" x14ac:dyDescent="0.35">
      <c r="B28"/>
    </row>
    <row r="29" spans="1:26" x14ac:dyDescent="0.35">
      <c r="B29"/>
    </row>
    <row r="30" spans="1:26" x14ac:dyDescent="0.35">
      <c r="B30"/>
    </row>
    <row r="31" spans="1:26" x14ac:dyDescent="0.35">
      <c r="B31"/>
    </row>
    <row r="32" spans="1:26" x14ac:dyDescent="0.35">
      <c r="B32"/>
    </row>
    <row r="33" customFormat="1" x14ac:dyDescent="0.35"/>
    <row r="34" customFormat="1" x14ac:dyDescent="0.35"/>
    <row r="35" customFormat="1" x14ac:dyDescent="0.35"/>
    <row r="36" customFormat="1" x14ac:dyDescent="0.35"/>
    <row r="37" customFormat="1" x14ac:dyDescent="0.35"/>
    <row r="38" customFormat="1" x14ac:dyDescent="0.35"/>
    <row r="39" customFormat="1" x14ac:dyDescent="0.35"/>
    <row r="40" customFormat="1" x14ac:dyDescent="0.35"/>
    <row r="41" customFormat="1" x14ac:dyDescent="0.35"/>
    <row r="42" customFormat="1" x14ac:dyDescent="0.35"/>
    <row r="43" customFormat="1" x14ac:dyDescent="0.35"/>
    <row r="44" customFormat="1" x14ac:dyDescent="0.35"/>
    <row r="45" customFormat="1" x14ac:dyDescent="0.35"/>
    <row r="46" customFormat="1" x14ac:dyDescent="0.35"/>
    <row r="47" customFormat="1" x14ac:dyDescent="0.35"/>
    <row r="48" customFormat="1" x14ac:dyDescent="0.35"/>
    <row r="49" customFormat="1" x14ac:dyDescent="0.35"/>
    <row r="50" customFormat="1" x14ac:dyDescent="0.35"/>
    <row r="51" customFormat="1" x14ac:dyDescent="0.35"/>
    <row r="52" customFormat="1" x14ac:dyDescent="0.35"/>
    <row r="53" customFormat="1" x14ac:dyDescent="0.35"/>
    <row r="54" customFormat="1" x14ac:dyDescent="0.35"/>
    <row r="55" customFormat="1" x14ac:dyDescent="0.35"/>
    <row r="56" customFormat="1" x14ac:dyDescent="0.35"/>
    <row r="57" customFormat="1" x14ac:dyDescent="0.35"/>
    <row r="58" customFormat="1" x14ac:dyDescent="0.35"/>
    <row r="59" customFormat="1" x14ac:dyDescent="0.35"/>
    <row r="60" customFormat="1" x14ac:dyDescent="0.35"/>
    <row r="61" customFormat="1" x14ac:dyDescent="0.35"/>
    <row r="62" customFormat="1" x14ac:dyDescent="0.35"/>
    <row r="63" customFormat="1" x14ac:dyDescent="0.35"/>
    <row r="64" customFormat="1" x14ac:dyDescent="0.35"/>
    <row r="65" customFormat="1" x14ac:dyDescent="0.35"/>
    <row r="66" customFormat="1" x14ac:dyDescent="0.35"/>
    <row r="67" customFormat="1" x14ac:dyDescent="0.35"/>
    <row r="68" customFormat="1" x14ac:dyDescent="0.35"/>
    <row r="69" customFormat="1" x14ac:dyDescent="0.35"/>
    <row r="70" customFormat="1" x14ac:dyDescent="0.35"/>
    <row r="71" customFormat="1" x14ac:dyDescent="0.35"/>
    <row r="72" customFormat="1" x14ac:dyDescent="0.35"/>
    <row r="73" customFormat="1" x14ac:dyDescent="0.35"/>
    <row r="74" customFormat="1" x14ac:dyDescent="0.35"/>
    <row r="75" customFormat="1" x14ac:dyDescent="0.35"/>
    <row r="76" customFormat="1" x14ac:dyDescent="0.35"/>
    <row r="77" customFormat="1" x14ac:dyDescent="0.35"/>
    <row r="78" customFormat="1" x14ac:dyDescent="0.35"/>
    <row r="79" customFormat="1" x14ac:dyDescent="0.35"/>
    <row r="80" customFormat="1" x14ac:dyDescent="0.35"/>
    <row r="81" spans="2:2" x14ac:dyDescent="0.35">
      <c r="B81"/>
    </row>
    <row r="82" spans="2:2" x14ac:dyDescent="0.35">
      <c r="B82"/>
    </row>
    <row r="83" spans="2:2" x14ac:dyDescent="0.35">
      <c r="B83"/>
    </row>
  </sheetData>
  <sheetProtection sheet="1" objects="1" scenarios="1"/>
  <protectedRanges>
    <protectedRange sqref="A14:E17 H14:Z17 F16:G17 F14:G14 A19:Z142" name="TableExpansion_30"/>
  </protectedRanges>
  <mergeCells count="4">
    <mergeCell ref="A1:C1"/>
    <mergeCell ref="A2:C2"/>
    <mergeCell ref="H5:H6"/>
    <mergeCell ref="I5:I6"/>
  </mergeCells>
  <dataValidations count="2">
    <dataValidation type="list" allowBlank="1" showInputMessage="1" showErrorMessage="1" sqref="G19" xr:uid="{0D798253-1D50-4312-BB80-CEF3C21E937F}">
      <formula1>SkiNames</formula1>
    </dataValidation>
    <dataValidation type="list" showErrorMessage="1" sqref="C19" xr:uid="{481F0BE1-4DED-4FE6-8001-A86660DC79DB}">
      <formula1>ResortNames</formula1>
    </dataValidation>
  </dataValidations>
  <pageMargins left="0.7" right="0.7" top="0.75" bottom="0.75" header="0.3" footer="0.3"/>
  <pageSetup orientation="portrait"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68E96-8377-47DF-9BAB-DC9FBCB009C7}">
  <sheetPr codeName="SheetSeason2028_2029"/>
  <dimension ref="A1:Z83"/>
  <sheetViews>
    <sheetView workbookViewId="0">
      <selection activeCell="D20" sqref="D20"/>
    </sheetView>
  </sheetViews>
  <sheetFormatPr defaultRowHeight="14.5" x14ac:dyDescent="0.35"/>
  <cols>
    <col min="1" max="1" width="6" customWidth="1"/>
    <col min="2" max="2" width="18.54296875" style="1" customWidth="1"/>
    <col min="3" max="3" width="27.26953125" customWidth="1"/>
    <col min="4" max="4" width="12.54296875" customWidth="1"/>
    <col min="5" max="5" width="13.26953125" customWidth="1"/>
    <col min="6" max="6" width="9.453125" customWidth="1"/>
    <col min="7" max="7" width="21.1796875" customWidth="1"/>
    <col min="8" max="25" width="10.6328125" customWidth="1"/>
    <col min="26" max="26" width="50.54296875" customWidth="1"/>
  </cols>
  <sheetData>
    <row r="1" spans="1:26" ht="18.5" x14ac:dyDescent="0.45">
      <c r="A1" s="158" t="str">
        <f>c_WORKBOOK_TITLE</f>
        <v>Bob's Ski Days</v>
      </c>
      <c r="B1" s="158"/>
      <c r="C1" s="158"/>
    </row>
    <row r="2" spans="1:26" ht="18.5" x14ac:dyDescent="0.45">
      <c r="A2" s="146" t="str" cm="1">
        <f t="array" aca="1" ref="A2" ca="1">fn_GET_WS_NAME($A$1)</f>
        <v>2028-2029</v>
      </c>
      <c r="B2" s="146"/>
      <c r="C2" s="146"/>
    </row>
    <row r="3" spans="1:26" ht="14.65" customHeight="1" thickBot="1" x14ac:dyDescent="0.45">
      <c r="A3" s="2"/>
      <c r="K3" s="73"/>
    </row>
    <row r="4" spans="1:26" ht="14.65" customHeight="1" thickBot="1" x14ac:dyDescent="0.45">
      <c r="B4" s="111" t="s">
        <v>71</v>
      </c>
      <c r="C4" s="112"/>
      <c r="D4" s="112"/>
      <c r="E4" s="112"/>
      <c r="F4" s="112"/>
      <c r="G4" s="113"/>
    </row>
    <row r="5" spans="1:26" ht="14.65" customHeight="1" x14ac:dyDescent="0.35">
      <c r="B5" s="114" t="s">
        <v>21</v>
      </c>
      <c r="C5" s="114" t="s">
        <v>46</v>
      </c>
      <c r="D5" s="115" t="s">
        <v>44</v>
      </c>
      <c r="E5" s="116"/>
      <c r="F5" s="115" t="s">
        <v>45</v>
      </c>
      <c r="G5" s="116"/>
      <c r="H5" s="185"/>
      <c r="I5" s="185"/>
    </row>
    <row r="6" spans="1:26" s="8" customFormat="1" ht="14.65" customHeight="1" thickBot="1" x14ac:dyDescent="0.4">
      <c r="B6" s="117"/>
      <c r="C6" s="117"/>
      <c r="D6" s="118" t="s">
        <v>47</v>
      </c>
      <c r="E6" s="119" t="s">
        <v>48</v>
      </c>
      <c r="F6" s="120" t="s">
        <v>47</v>
      </c>
      <c r="G6" s="119" t="s">
        <v>48</v>
      </c>
      <c r="H6" s="185"/>
      <c r="I6" s="185"/>
    </row>
    <row r="7" spans="1:26" s="8" customFormat="1" ht="14.65" customHeight="1" thickBot="1" x14ac:dyDescent="0.45">
      <c r="A7" s="20"/>
      <c r="B7" s="121">
        <f>tbl_2028_2029_Days[[#Totals],[Day]]</f>
        <v>1</v>
      </c>
      <c r="C7" s="121">
        <f>tbl_2028_2029_Days[[#Totals],[Resort Name]]</f>
        <v>1</v>
      </c>
      <c r="D7" s="109">
        <f>tbl_2028_2029_Days[[#Totals],[Vertical Feet]]</f>
        <v>0</v>
      </c>
      <c r="E7" s="110">
        <f>tbl_2028_2029_Days[[#Totals],[Vertical Feet]]/tbl_2028_2029_Days[[#Totals],[Day]]</f>
        <v>0</v>
      </c>
      <c r="F7" s="109">
        <f>tbl_2028_2029_Days[[#Totals],[Calories]]</f>
        <v>0</v>
      </c>
      <c r="G7" s="110">
        <f>tbl_2028_2029_Days[[#Totals],[Calories]]/tbl_2028_2029_Days[[#Totals],[Day]]</f>
        <v>0</v>
      </c>
      <c r="H7" s="42"/>
      <c r="I7" s="42"/>
    </row>
    <row r="8" spans="1:26" s="8" customFormat="1" ht="14.65" customHeight="1" thickBot="1" x14ac:dyDescent="0.45">
      <c r="A8" s="20"/>
      <c r="B8" s="42"/>
      <c r="C8" s="42"/>
      <c r="D8" s="77"/>
      <c r="E8" s="77"/>
      <c r="F8" s="77"/>
      <c r="G8" s="77"/>
      <c r="H8" s="42"/>
      <c r="I8" s="42"/>
    </row>
    <row r="9" spans="1:26" ht="14.65" customHeight="1" x14ac:dyDescent="0.35">
      <c r="A9" s="70"/>
      <c r="B9"/>
      <c r="C9" s="70"/>
      <c r="D9" s="71"/>
      <c r="E9" s="122"/>
      <c r="F9" s="123" t="s">
        <v>75</v>
      </c>
      <c r="G9" s="124"/>
      <c r="H9" s="125"/>
      <c r="I9" s="96"/>
      <c r="J9" s="96"/>
      <c r="K9" s="96"/>
      <c r="L9" s="96"/>
      <c r="M9" s="96"/>
      <c r="N9" s="96"/>
      <c r="O9" s="96"/>
      <c r="P9" s="96"/>
      <c r="Q9" s="96"/>
      <c r="R9" s="96"/>
      <c r="S9" s="96"/>
      <c r="T9" s="96"/>
      <c r="U9" s="96"/>
      <c r="V9" s="96"/>
      <c r="W9" s="96"/>
      <c r="X9" s="96"/>
      <c r="Y9" s="97"/>
      <c r="Z9" s="70"/>
    </row>
    <row r="10" spans="1:26" ht="14.65" customHeight="1" x14ac:dyDescent="0.35">
      <c r="A10" s="70"/>
      <c r="B10" s="75"/>
      <c r="C10" s="70"/>
      <c r="D10" s="71"/>
      <c r="E10" s="71"/>
      <c r="F10" s="126" t="s">
        <v>92</v>
      </c>
      <c r="G10" s="127"/>
      <c r="H10" s="98">
        <v>1</v>
      </c>
      <c r="I10" s="98"/>
      <c r="J10" s="98"/>
      <c r="K10" s="98"/>
      <c r="L10" s="98"/>
      <c r="M10" s="98"/>
      <c r="N10" s="98">
        <v>2</v>
      </c>
      <c r="O10" s="98"/>
      <c r="P10" s="98"/>
      <c r="Q10" s="98"/>
      <c r="R10" s="98"/>
      <c r="S10" s="98"/>
      <c r="T10" s="98">
        <v>3</v>
      </c>
      <c r="U10" s="98"/>
      <c r="V10" s="98"/>
      <c r="W10" s="98"/>
      <c r="X10" s="98"/>
      <c r="Y10" s="99"/>
      <c r="Z10" s="70"/>
    </row>
    <row r="11" spans="1:26" ht="14.65" customHeight="1" x14ac:dyDescent="0.35">
      <c r="A11" s="70"/>
      <c r="B11" s="75"/>
      <c r="C11" s="70"/>
      <c r="D11" s="71"/>
      <c r="E11" s="71"/>
      <c r="F11" s="126" t="s">
        <v>76</v>
      </c>
      <c r="G11" s="127"/>
      <c r="H11" s="98" t="str" cm="1">
        <f t="array" ref="H11">fn_GetSkiNameFromSkiIdx($H10)</f>
        <v>Stöckli Stormrider 102</v>
      </c>
      <c r="I11" s="98"/>
      <c r="J11" s="98"/>
      <c r="K11" s="98"/>
      <c r="L11" s="98"/>
      <c r="M11" s="98"/>
      <c r="N11" s="98" t="str" cm="1">
        <f t="array" ref="N11">fn_GetSkiNameFromSkiIdx($N10)</f>
        <v>Stöckli Montero AS</v>
      </c>
      <c r="O11" s="98"/>
      <c r="P11" s="98"/>
      <c r="Q11" s="98"/>
      <c r="R11" s="98"/>
      <c r="S11" s="98"/>
      <c r="T11" s="98" t="str" cm="1">
        <f t="array" ref="T11">fn_GetSkiNameFromSkiIdx($T10)</f>
        <v>Rossignal Sin 7</v>
      </c>
      <c r="U11" s="98"/>
      <c r="V11" s="98"/>
      <c r="W11" s="98"/>
      <c r="X11" s="98"/>
      <c r="Y11" s="99"/>
      <c r="Z11" s="70"/>
    </row>
    <row r="12" spans="1:26" ht="14.65" customHeight="1" x14ac:dyDescent="0.35">
      <c r="A12" s="70"/>
      <c r="B12" s="75"/>
      <c r="C12" s="74"/>
      <c r="D12" s="76"/>
      <c r="E12" s="71"/>
      <c r="F12" s="126" t="s">
        <v>77</v>
      </c>
      <c r="G12" s="127"/>
      <c r="H12" s="98" t="s">
        <v>3</v>
      </c>
      <c r="I12" s="98"/>
      <c r="J12" s="98" t="s">
        <v>26</v>
      </c>
      <c r="K12" s="98"/>
      <c r="L12" s="98" t="s">
        <v>27</v>
      </c>
      <c r="M12" s="98"/>
      <c r="N12" s="98" t="s">
        <v>3</v>
      </c>
      <c r="O12" s="98"/>
      <c r="P12" s="98" t="s">
        <v>26</v>
      </c>
      <c r="Q12" s="98"/>
      <c r="R12" s="98" t="s">
        <v>27</v>
      </c>
      <c r="S12" s="98"/>
      <c r="T12" s="98" t="s">
        <v>3</v>
      </c>
      <c r="U12" s="98"/>
      <c r="V12" s="98" t="s">
        <v>26</v>
      </c>
      <c r="W12" s="98"/>
      <c r="X12" s="98" t="s">
        <v>27</v>
      </c>
      <c r="Y12" s="99"/>
      <c r="Z12" s="70"/>
    </row>
    <row r="13" spans="1:26" ht="14.65" customHeight="1" x14ac:dyDescent="0.35">
      <c r="A13" s="70"/>
      <c r="B13" s="75"/>
      <c r="C13" s="74"/>
      <c r="D13" s="76"/>
      <c r="E13" s="71"/>
      <c r="F13" s="128" t="s">
        <v>78</v>
      </c>
      <c r="G13" s="129"/>
      <c r="H13" s="98" t="str" cm="1">
        <f t="array" ref="H13">fn_GetMaintProcAbbrevFromName(H$12)</f>
        <v>W</v>
      </c>
      <c r="I13" s="98"/>
      <c r="J13" s="98" t="str" cm="1">
        <f t="array" ref="J13">fn_GetMaintProcAbbrevFromName(J$12)</f>
        <v>E</v>
      </c>
      <c r="K13" s="98"/>
      <c r="L13" s="98" t="str" cm="1">
        <f t="array" ref="L13">fn_GetMaintProcAbbrevFromName(L$12)</f>
        <v>FT</v>
      </c>
      <c r="M13" s="98"/>
      <c r="N13" s="98" t="str" cm="1">
        <f t="array" ref="N13">fn_GetMaintProcAbbrevFromName(N$12)</f>
        <v>W</v>
      </c>
      <c r="O13" s="98"/>
      <c r="P13" s="98" t="str" cm="1">
        <f t="array" ref="P13">fn_GetMaintProcAbbrevFromName(P$12)</f>
        <v>E</v>
      </c>
      <c r="Q13" s="98"/>
      <c r="R13" s="98" t="str" cm="1">
        <f t="array" ref="R13">fn_GetMaintProcAbbrevFromName(R$12)</f>
        <v>FT</v>
      </c>
      <c r="S13" s="98"/>
      <c r="T13" s="98" t="str" cm="1">
        <f t="array" ref="T13">fn_GetMaintProcAbbrevFromName(T$12)</f>
        <v>W</v>
      </c>
      <c r="U13" s="98"/>
      <c r="V13" s="98" t="str" cm="1">
        <f t="array" ref="V13">fn_GetMaintProcAbbrevFromName(V$12)</f>
        <v>E</v>
      </c>
      <c r="W13" s="98"/>
      <c r="X13" s="98" t="str" cm="1">
        <f t="array" ref="X13">fn_GetMaintProcAbbrevFromName(X$12)</f>
        <v>FT</v>
      </c>
      <c r="Y13" s="99"/>
      <c r="Z13" s="70"/>
    </row>
    <row r="14" spans="1:26" ht="30" customHeight="1" x14ac:dyDescent="0.35">
      <c r="B14"/>
      <c r="F14" s="130" t="s">
        <v>70</v>
      </c>
      <c r="G14" s="131"/>
      <c r="H14" s="132" t="s">
        <v>382</v>
      </c>
      <c r="I14" s="108" t="s">
        <v>383</v>
      </c>
      <c r="J14" s="108" t="s">
        <v>384</v>
      </c>
      <c r="K14" s="108" t="s">
        <v>385</v>
      </c>
      <c r="L14" s="108" t="s">
        <v>386</v>
      </c>
      <c r="M14" s="108" t="s">
        <v>387</v>
      </c>
      <c r="N14" s="108" t="s">
        <v>388</v>
      </c>
      <c r="O14" s="108" t="s">
        <v>389</v>
      </c>
      <c r="P14" s="108" t="s">
        <v>390</v>
      </c>
      <c r="Q14" s="108" t="s">
        <v>391</v>
      </c>
      <c r="R14" s="108" t="s">
        <v>392</v>
      </c>
      <c r="S14" s="108" t="s">
        <v>393</v>
      </c>
      <c r="T14" s="108" t="s">
        <v>394</v>
      </c>
      <c r="U14" s="108" t="s">
        <v>395</v>
      </c>
      <c r="V14" s="108" t="s">
        <v>396</v>
      </c>
      <c r="W14" s="108" t="s">
        <v>397</v>
      </c>
      <c r="X14" s="108" t="s">
        <v>398</v>
      </c>
      <c r="Y14" s="133" t="s">
        <v>399</v>
      </c>
    </row>
    <row r="15" spans="1:26" ht="14.65" customHeight="1" thickBot="1" x14ac:dyDescent="0.4">
      <c r="B15"/>
      <c r="F15" s="134"/>
      <c r="G15" s="135"/>
      <c r="H15" s="136" t="e" cm="1">
        <f t="array" aca="1" ref="H15" ca="1">fn_GET_LAST_VAL_IN_COL(tbl_2028_2029_Days[1W_Days],TRUE)</f>
        <v>#VALUE!</v>
      </c>
      <c r="I15" s="137" t="e" cm="1">
        <f t="array" ref="I15">INDEX(tbl_2028_2029_Days[1W_Done],fn_GET_LAST_IDX_IN_COL(tbl_2028_2029_Days[Ski],TRUE))</f>
        <v>#VALUE!</v>
      </c>
      <c r="J15" s="29" t="e" cm="1">
        <f t="array" aca="1" ref="J15" ca="1">fn_GET_LAST_VAL_IN_COL(tbl_2028_2029_Days[1E_Days],TRUE)</f>
        <v>#VALUE!</v>
      </c>
      <c r="K15" s="137" t="e" cm="1">
        <f t="array" ref="K15">INDEX(tbl_2028_2029_Days[1E_Done],fn_GET_LAST_IDX_IN_COL(tbl_2028_2029_Days[Ski],TRUE))</f>
        <v>#VALUE!</v>
      </c>
      <c r="L15" s="29" t="e" cm="1">
        <f t="array" aca="1" ref="L15" ca="1">fn_GET_LAST_VAL_IN_COL(tbl_2028_2029_Days[1FT_Days],TRUE)</f>
        <v>#VALUE!</v>
      </c>
      <c r="M15" s="137" t="e" cm="1">
        <f t="array" ref="M15">INDEX(tbl_2028_2029_Days[1FT_Done],fn_GET_LAST_IDX_IN_COL(tbl_2028_2029_Days[Ski],TRUE))</f>
        <v>#VALUE!</v>
      </c>
      <c r="N15" s="29" t="e" cm="1">
        <f t="array" aca="1" ref="N15" ca="1">fn_GET_LAST_VAL_IN_COL(tbl_2028_2029_Days[2W_Days],TRUE)</f>
        <v>#VALUE!</v>
      </c>
      <c r="O15" s="137" t="e" cm="1">
        <f t="array" ref="O15">INDEX(tbl_2028_2029_Days[2W_Done],fn_GET_LAST_IDX_IN_COL(tbl_2028_2029_Days[Ski],TRUE))</f>
        <v>#VALUE!</v>
      </c>
      <c r="P15" s="29" t="e" cm="1">
        <f t="array" aca="1" ref="P15" ca="1">fn_GET_LAST_VAL_IN_COL(tbl_2028_2029_Days[2E_Days],TRUE)</f>
        <v>#VALUE!</v>
      </c>
      <c r="Q15" s="137" t="e" cm="1">
        <f t="array" ref="Q15">INDEX(tbl_2028_2029_Days[2E_Done],fn_GET_LAST_IDX_IN_COL(tbl_2028_2029_Days[Ski],TRUE))</f>
        <v>#VALUE!</v>
      </c>
      <c r="R15" s="29" t="e" cm="1">
        <f t="array" aca="1" ref="R15" ca="1">fn_GET_LAST_VAL_IN_COL(tbl_2028_2029_Days[2FT_Days],TRUE)</f>
        <v>#VALUE!</v>
      </c>
      <c r="S15" s="137" t="e" cm="1">
        <f t="array" ref="S15">INDEX(tbl_2028_2029_Days[2FT_Done],fn_GET_LAST_IDX_IN_COL(tbl_2028_2029_Days[Ski],TRUE))</f>
        <v>#VALUE!</v>
      </c>
      <c r="T15" s="29" t="e" cm="1">
        <f t="array" aca="1" ref="T15" ca="1">fn_GET_LAST_VAL_IN_COL(tbl_2028_2029_Days[3W_Days],TRUE)</f>
        <v>#VALUE!</v>
      </c>
      <c r="U15" s="137" t="e" cm="1">
        <f t="array" ref="U15">INDEX(tbl_2028_2029_Days[3W_Done],fn_GET_LAST_IDX_IN_COL(tbl_2028_2029_Days[Ski],TRUE))</f>
        <v>#VALUE!</v>
      </c>
      <c r="V15" s="29" t="e" cm="1">
        <f t="array" aca="1" ref="V15" ca="1">fn_GET_LAST_VAL_IN_COL(tbl_2028_2029_Days[3E_Days],TRUE)</f>
        <v>#VALUE!</v>
      </c>
      <c r="W15" s="137" t="e" cm="1">
        <f t="array" ref="W15">INDEX(tbl_2028_2029_Days[3E_Done],fn_GET_LAST_IDX_IN_COL(tbl_2028_2029_Days[Ski],TRUE))</f>
        <v>#VALUE!</v>
      </c>
      <c r="X15" s="29" t="e" cm="1">
        <f t="array" aca="1" ref="X15" ca="1">fn_GET_LAST_VAL_IN_COL(tbl_2028_2029_Days[3FT_Days],TRUE)</f>
        <v>#VALUE!</v>
      </c>
      <c r="Y15" s="138" t="e" cm="1">
        <f t="array" ref="Y15">INDEX(tbl_2028_2029_Days[3FT_Done],fn_GET_LAST_IDX_IN_COL(tbl_2028_2029_Days[Ski],TRUE))</f>
        <v>#VALUE!</v>
      </c>
    </row>
    <row r="16" spans="1:26" ht="14.65" customHeight="1" x14ac:dyDescent="0.35">
      <c r="B16"/>
    </row>
    <row r="17" spans="1:26" ht="14.65" customHeight="1" x14ac:dyDescent="0.35">
      <c r="A17" s="126" t="s">
        <v>84</v>
      </c>
      <c r="B17" s="126"/>
      <c r="C17" s="126"/>
      <c r="D17" s="126"/>
      <c r="E17" s="126"/>
      <c r="F17" s="126"/>
      <c r="G17" s="126"/>
      <c r="H17" s="126"/>
      <c r="I17" s="126"/>
      <c r="J17" s="126"/>
      <c r="K17" s="126"/>
      <c r="L17" s="126"/>
      <c r="M17" s="126"/>
      <c r="N17" s="126"/>
      <c r="O17" s="126"/>
      <c r="P17" s="126"/>
      <c r="Q17" s="126"/>
      <c r="R17" s="126"/>
      <c r="S17" s="126"/>
      <c r="T17" s="126"/>
      <c r="U17" s="126"/>
      <c r="V17" s="126"/>
      <c r="W17" s="126"/>
      <c r="X17" s="126"/>
      <c r="Y17" s="126"/>
      <c r="Z17" s="126"/>
    </row>
    <row r="18" spans="1:26" s="73" customFormat="1" ht="30" customHeight="1" x14ac:dyDescent="0.35">
      <c r="A18" s="71" t="s">
        <v>0</v>
      </c>
      <c r="B18" s="72" t="s">
        <v>1</v>
      </c>
      <c r="C18" s="71" t="s">
        <v>67</v>
      </c>
      <c r="D18" s="71" t="s">
        <v>68</v>
      </c>
      <c r="E18" s="71" t="s">
        <v>44</v>
      </c>
      <c r="F18" s="71" t="s">
        <v>45</v>
      </c>
      <c r="G18" s="71" t="s">
        <v>39</v>
      </c>
      <c r="H18" s="71" t="s">
        <v>382</v>
      </c>
      <c r="I18" s="71" t="s">
        <v>383</v>
      </c>
      <c r="J18" s="71" t="s">
        <v>384</v>
      </c>
      <c r="K18" s="71" t="s">
        <v>385</v>
      </c>
      <c r="L18" s="71" t="s">
        <v>386</v>
      </c>
      <c r="M18" s="71" t="s">
        <v>387</v>
      </c>
      <c r="N18" s="71" t="s">
        <v>388</v>
      </c>
      <c r="O18" s="71" t="s">
        <v>389</v>
      </c>
      <c r="P18" s="71" t="s">
        <v>390</v>
      </c>
      <c r="Q18" s="71" t="s">
        <v>391</v>
      </c>
      <c r="R18" s="71" t="s">
        <v>392</v>
      </c>
      <c r="S18" s="71" t="s">
        <v>393</v>
      </c>
      <c r="T18" s="71" t="s">
        <v>394</v>
      </c>
      <c r="U18" s="71" t="s">
        <v>395</v>
      </c>
      <c r="V18" s="71" t="s">
        <v>396</v>
      </c>
      <c r="W18" s="71" t="s">
        <v>397</v>
      </c>
      <c r="X18" s="71" t="s">
        <v>398</v>
      </c>
      <c r="Y18" s="71" t="s">
        <v>399</v>
      </c>
      <c r="Z18" s="71" t="s">
        <v>15</v>
      </c>
    </row>
    <row r="19" spans="1:26" ht="14.65" customHeight="1" x14ac:dyDescent="0.4">
      <c r="A19" cm="1">
        <f t="array" ref="A19">IF(fn_IsTableCellInFirstRow($A19,tbl_2028_2029_Days[]),1,$A18+1)</f>
        <v>1</v>
      </c>
      <c r="B19" s="67"/>
      <c r="C19" s="68"/>
      <c r="D19" cm="1">
        <f t="array" ref="D19">fn_GET_UNIQUE_VALS_RUNNING_COUNTS(tbl_2028_2029_Days[Resort Name], tbl_2028_2029_Days[[#This Row],[Resort Name]])</f>
        <v>0</v>
      </c>
      <c r="E19" s="69"/>
      <c r="F19" s="69"/>
      <c r="G19" s="68"/>
      <c r="H19" t="e" cm="1">
        <f t="array" aca="1" ref="H19" ca="1">fn_GetDaysSinceSkiMaintProc($A$2,tbl_2028_2029_Days[[#This Row],[Day]],H18,I18,1,"W",tbl_2028_2029_Days[[#This Row],[Ski]])</f>
        <v>#VALUE!</v>
      </c>
      <c r="I19" s="66" t="b">
        <v>0</v>
      </c>
      <c r="J19" t="e" cm="1">
        <f t="array" aca="1" ref="J19" ca="1">fn_GetDaysSinceSkiMaintProc($A$2,tbl_2028_2029_Days[[#This Row],[Day]],J18,K18,1,"E",tbl_2028_2029_Days[[#This Row],[Ski]])</f>
        <v>#VALUE!</v>
      </c>
      <c r="K19" s="139" t="b">
        <v>0</v>
      </c>
      <c r="L19" t="e" cm="1">
        <f t="array" aca="1" ref="L19" ca="1">fn_GetDaysSinceSkiMaintProc($A$2,tbl_2028_2029_Days[[#This Row],[Day]],L18,M18,1,"FT",tbl_2028_2029_Days[[#This Row],[Ski]])</f>
        <v>#VALUE!</v>
      </c>
      <c r="M19" s="66" t="b">
        <v>0</v>
      </c>
      <c r="N19" t="e" cm="1">
        <f t="array" aca="1" ref="N19" ca="1">fn_GetDaysSinceSkiMaintProc($A$2,tbl_2028_2029_Days[[#This Row],[Day]],N18,O18,2,"W",tbl_2028_2029_Days[[#This Row],[Ski]])</f>
        <v>#VALUE!</v>
      </c>
      <c r="O19" s="66" t="b">
        <v>0</v>
      </c>
      <c r="P19" t="e" cm="1">
        <f t="array" aca="1" ref="P19" ca="1">fn_GetDaysSinceSkiMaintProc($A$2,tbl_2028_2029_Days[[#This Row],[Day]],P18,Q18,2,"E",tbl_2028_2029_Days[[#This Row],[Ski]])</f>
        <v>#VALUE!</v>
      </c>
      <c r="Q19" s="66" t="b">
        <v>0</v>
      </c>
      <c r="R19" t="e" cm="1">
        <f t="array" aca="1" ref="R19" ca="1">fn_GetDaysSinceSkiMaintProc($A$2,tbl_2028_2029_Days[[#This Row],[Day]],R18,S18,2,"FT",tbl_2028_2029_Days[[#This Row],[Ski]])</f>
        <v>#VALUE!</v>
      </c>
      <c r="S19" s="66" t="b">
        <v>0</v>
      </c>
      <c r="T19" t="e" cm="1">
        <f t="array" aca="1" ref="T19" ca="1">fn_GetDaysSinceSkiMaintProc($A$2,tbl_2028_2029_Days[[#This Row],[Day]],T18,U18,3,"W",tbl_2028_2029_Days[[#This Row],[Ski]])</f>
        <v>#VALUE!</v>
      </c>
      <c r="U19" s="66" t="b">
        <v>0</v>
      </c>
      <c r="V19" t="e" cm="1">
        <f t="array" aca="1" ref="V19" ca="1">fn_GetDaysSinceSkiMaintProc($A$2,tbl_2028_2029_Days[[#This Row],[Day]],V18,W18,3,"E",tbl_2028_2029_Days[[#This Row],[Ski]])</f>
        <v>#VALUE!</v>
      </c>
      <c r="W19" s="66" t="b">
        <v>0</v>
      </c>
      <c r="X19" t="e" cm="1">
        <f t="array" aca="1" ref="X19" ca="1">fn_GetDaysSinceSkiMaintProc($A$2,tbl_2028_2029_Days[[#This Row],[Day]],X18,Y18,3,"FT",tbl_2028_2029_Days[[#This Row],[Ski]])</f>
        <v>#VALUE!</v>
      </c>
      <c r="Y19" s="66" t="b">
        <v>0</v>
      </c>
      <c r="Z19" s="78"/>
    </row>
    <row r="20" spans="1:26" ht="14.65" customHeight="1" x14ac:dyDescent="0.4">
      <c r="A20">
        <f>SUBTOTAL(103,tbl_2028_2029_Days[Day])</f>
        <v>1</v>
      </c>
      <c r="B20" s="140"/>
      <c r="C20">
        <f>ROWS(_xlfn.UNIQUE(tbl_2028_2029_Days[Resort Name]))</f>
        <v>1</v>
      </c>
      <c r="E20" s="141">
        <f>SUBTOTAL(109,tbl_2028_2029_Days[Vertical Feet])</f>
        <v>0</v>
      </c>
      <c r="F20" s="141">
        <f>SUBTOTAL(109,tbl_2028_2029_Days[Calories])</f>
        <v>0</v>
      </c>
      <c r="Z20">
        <f>SUBTOTAL(103,tbl_2028_2029_Days[Notes])</f>
        <v>0</v>
      </c>
    </row>
    <row r="21" spans="1:26" ht="14.65" customHeight="1" x14ac:dyDescent="0.35">
      <c r="B21"/>
    </row>
    <row r="22" spans="1:26" ht="14.65" customHeight="1" x14ac:dyDescent="0.35">
      <c r="B22"/>
    </row>
    <row r="23" spans="1:26" x14ac:dyDescent="0.35">
      <c r="B23"/>
    </row>
    <row r="24" spans="1:26" x14ac:dyDescent="0.35">
      <c r="B24"/>
    </row>
    <row r="25" spans="1:26" x14ac:dyDescent="0.35">
      <c r="B25"/>
    </row>
    <row r="26" spans="1:26" x14ac:dyDescent="0.35">
      <c r="B26"/>
    </row>
    <row r="27" spans="1:26" x14ac:dyDescent="0.35">
      <c r="B27"/>
    </row>
    <row r="28" spans="1:26" x14ac:dyDescent="0.35">
      <c r="B28"/>
    </row>
    <row r="29" spans="1:26" x14ac:dyDescent="0.35">
      <c r="B29"/>
    </row>
    <row r="30" spans="1:26" x14ac:dyDescent="0.35">
      <c r="B30"/>
    </row>
    <row r="31" spans="1:26" x14ac:dyDescent="0.35">
      <c r="B31"/>
    </row>
    <row r="32" spans="1:26" x14ac:dyDescent="0.35">
      <c r="B32"/>
    </row>
    <row r="33" spans="2:2" x14ac:dyDescent="0.35">
      <c r="B33"/>
    </row>
    <row r="34" spans="2:2" x14ac:dyDescent="0.35">
      <c r="B34"/>
    </row>
    <row r="35" spans="2:2" x14ac:dyDescent="0.35">
      <c r="B35"/>
    </row>
    <row r="36" spans="2:2" x14ac:dyDescent="0.35">
      <c r="B36"/>
    </row>
    <row r="37" spans="2:2" x14ac:dyDescent="0.35">
      <c r="B37"/>
    </row>
    <row r="38" spans="2:2" x14ac:dyDescent="0.35">
      <c r="B38"/>
    </row>
    <row r="39" spans="2:2" x14ac:dyDescent="0.35">
      <c r="B39"/>
    </row>
    <row r="40" spans="2:2" x14ac:dyDescent="0.35">
      <c r="B40"/>
    </row>
    <row r="41" spans="2:2" x14ac:dyDescent="0.35">
      <c r="B41"/>
    </row>
    <row r="42" spans="2:2" x14ac:dyDescent="0.35">
      <c r="B42"/>
    </row>
    <row r="43" spans="2:2" x14ac:dyDescent="0.35">
      <c r="B43"/>
    </row>
    <row r="44" spans="2:2" x14ac:dyDescent="0.35">
      <c r="B44"/>
    </row>
    <row r="45" spans="2:2" x14ac:dyDescent="0.35">
      <c r="B45"/>
    </row>
    <row r="46" spans="2:2" x14ac:dyDescent="0.35">
      <c r="B46"/>
    </row>
    <row r="47" spans="2:2" x14ac:dyDescent="0.35">
      <c r="B47"/>
    </row>
    <row r="48" spans="2:2" x14ac:dyDescent="0.35">
      <c r="B48"/>
    </row>
    <row r="49" spans="2:2" x14ac:dyDescent="0.35">
      <c r="B49"/>
    </row>
    <row r="50" spans="2:2" x14ac:dyDescent="0.35">
      <c r="B50"/>
    </row>
    <row r="51" spans="2:2" x14ac:dyDescent="0.35">
      <c r="B51"/>
    </row>
    <row r="52" spans="2:2" x14ac:dyDescent="0.35">
      <c r="B52"/>
    </row>
    <row r="53" spans="2:2" x14ac:dyDescent="0.35">
      <c r="B53"/>
    </row>
    <row r="54" spans="2:2" x14ac:dyDescent="0.35">
      <c r="B54"/>
    </row>
    <row r="55" spans="2:2" x14ac:dyDescent="0.35">
      <c r="B55"/>
    </row>
    <row r="56" spans="2:2" x14ac:dyDescent="0.35">
      <c r="B56"/>
    </row>
    <row r="57" spans="2:2" x14ac:dyDescent="0.35">
      <c r="B57"/>
    </row>
    <row r="58" spans="2:2" x14ac:dyDescent="0.35">
      <c r="B58"/>
    </row>
    <row r="59" spans="2:2" x14ac:dyDescent="0.35">
      <c r="B59"/>
    </row>
    <row r="60" spans="2:2" x14ac:dyDescent="0.35">
      <c r="B60"/>
    </row>
    <row r="61" spans="2:2" x14ac:dyDescent="0.35">
      <c r="B61"/>
    </row>
    <row r="62" spans="2:2" x14ac:dyDescent="0.35">
      <c r="B62"/>
    </row>
    <row r="63" spans="2:2" x14ac:dyDescent="0.35">
      <c r="B63"/>
    </row>
    <row r="64" spans="2:2" x14ac:dyDescent="0.35">
      <c r="B64"/>
    </row>
    <row r="65" spans="2:2" x14ac:dyDescent="0.35">
      <c r="B65"/>
    </row>
    <row r="66" spans="2:2" x14ac:dyDescent="0.35">
      <c r="B66"/>
    </row>
    <row r="67" spans="2:2" x14ac:dyDescent="0.35">
      <c r="B67"/>
    </row>
    <row r="68" spans="2:2" x14ac:dyDescent="0.35">
      <c r="B68"/>
    </row>
    <row r="69" spans="2:2" x14ac:dyDescent="0.35">
      <c r="B69"/>
    </row>
    <row r="70" spans="2:2" x14ac:dyDescent="0.35">
      <c r="B70"/>
    </row>
    <row r="71" spans="2:2" x14ac:dyDescent="0.35">
      <c r="B71"/>
    </row>
    <row r="72" spans="2:2" x14ac:dyDescent="0.35">
      <c r="B72"/>
    </row>
    <row r="73" spans="2:2" x14ac:dyDescent="0.35">
      <c r="B73"/>
    </row>
    <row r="74" spans="2:2" x14ac:dyDescent="0.35">
      <c r="B74"/>
    </row>
    <row r="75" spans="2:2" x14ac:dyDescent="0.35">
      <c r="B75"/>
    </row>
    <row r="76" spans="2:2" x14ac:dyDescent="0.35">
      <c r="B76"/>
    </row>
    <row r="77" spans="2:2" x14ac:dyDescent="0.35">
      <c r="B77"/>
    </row>
    <row r="78" spans="2:2" x14ac:dyDescent="0.35">
      <c r="B78"/>
    </row>
    <row r="79" spans="2:2" x14ac:dyDescent="0.35">
      <c r="B79"/>
    </row>
    <row r="80" spans="2:2" x14ac:dyDescent="0.35">
      <c r="B80"/>
    </row>
    <row r="81" spans="2:2" x14ac:dyDescent="0.35">
      <c r="B81"/>
    </row>
    <row r="82" spans="2:2" x14ac:dyDescent="0.35">
      <c r="B82"/>
    </row>
    <row r="83" spans="2:2" x14ac:dyDescent="0.35">
      <c r="B83"/>
    </row>
  </sheetData>
  <sheetProtection sheet="1" objects="1" scenarios="1"/>
  <protectedRanges>
    <protectedRange sqref="A14:E17 H14:Z17 F16:G17 F14:G14 A19:Z142" name="TableExpansion_30_29"/>
  </protectedRanges>
  <mergeCells count="4">
    <mergeCell ref="A1:C1"/>
    <mergeCell ref="A2:C2"/>
    <mergeCell ref="H5:H6"/>
    <mergeCell ref="I5:I6"/>
  </mergeCells>
  <dataValidations count="2">
    <dataValidation type="list" showErrorMessage="1" sqref="C19" xr:uid="{9A28CF5D-6BC4-414E-94C5-0F7B20810D63}">
      <formula1>ResortNames</formula1>
    </dataValidation>
    <dataValidation type="list" allowBlank="1" showInputMessage="1" showErrorMessage="1" sqref="G19" xr:uid="{13E9348F-E5A7-459D-BF34-E6C1A7BFD8DE}">
      <formula1>SkiNames</formula1>
    </dataValidation>
  </dataValidations>
  <pageMargins left="0.7" right="0.7" top="0.75" bottom="0.75" header="0.3" footer="0.3"/>
  <pageSetup orientation="portrait"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66F78-2F4B-4C45-93D3-516247B26C02}">
  <sheetPr codeName="SheetSeason2029_2030"/>
  <dimension ref="A1:Z83"/>
  <sheetViews>
    <sheetView workbookViewId="0">
      <selection activeCell="D38" sqref="D38"/>
    </sheetView>
  </sheetViews>
  <sheetFormatPr defaultRowHeight="14.5" x14ac:dyDescent="0.35"/>
  <cols>
    <col min="1" max="1" width="6" customWidth="1"/>
    <col min="2" max="2" width="18.54296875" style="1" customWidth="1"/>
    <col min="3" max="3" width="27.26953125" customWidth="1"/>
    <col min="4" max="4" width="12.54296875" customWidth="1"/>
    <col min="5" max="5" width="13.26953125" customWidth="1"/>
    <col min="6" max="6" width="9.453125" customWidth="1"/>
    <col min="7" max="7" width="21.1796875" customWidth="1"/>
    <col min="8" max="25" width="10.6328125" customWidth="1"/>
    <col min="26" max="26" width="50.54296875" customWidth="1"/>
  </cols>
  <sheetData>
    <row r="1" spans="1:26" ht="18.5" x14ac:dyDescent="0.45">
      <c r="A1" s="158" t="str">
        <f>c_WORKBOOK_TITLE</f>
        <v>Bob's Ski Days</v>
      </c>
      <c r="B1" s="158"/>
      <c r="C1" s="158"/>
    </row>
    <row r="2" spans="1:26" ht="18.5" x14ac:dyDescent="0.45">
      <c r="A2" s="146" t="str" cm="1">
        <f t="array" aca="1" ref="A2" ca="1">fn_GET_WS_NAME($A$1)</f>
        <v>2029-2030</v>
      </c>
      <c r="B2" s="146"/>
      <c r="C2" s="146"/>
    </row>
    <row r="3" spans="1:26" ht="14.65" customHeight="1" thickBot="1" x14ac:dyDescent="0.45">
      <c r="A3" s="2"/>
      <c r="K3" s="73"/>
    </row>
    <row r="4" spans="1:26" ht="14.65" customHeight="1" thickBot="1" x14ac:dyDescent="0.45">
      <c r="B4" s="111" t="s">
        <v>71</v>
      </c>
      <c r="C4" s="112"/>
      <c r="D4" s="112"/>
      <c r="E4" s="112"/>
      <c r="F4" s="112"/>
      <c r="G4" s="113"/>
    </row>
    <row r="5" spans="1:26" ht="14.65" customHeight="1" x14ac:dyDescent="0.35">
      <c r="B5" s="114" t="s">
        <v>21</v>
      </c>
      <c r="C5" s="114" t="s">
        <v>46</v>
      </c>
      <c r="D5" s="115" t="s">
        <v>44</v>
      </c>
      <c r="E5" s="116"/>
      <c r="F5" s="115" t="s">
        <v>45</v>
      </c>
      <c r="G5" s="116"/>
      <c r="H5" s="185"/>
      <c r="I5" s="185"/>
    </row>
    <row r="6" spans="1:26" s="8" customFormat="1" ht="14.65" customHeight="1" thickBot="1" x14ac:dyDescent="0.4">
      <c r="B6" s="117"/>
      <c r="C6" s="117"/>
      <c r="D6" s="118" t="s">
        <v>47</v>
      </c>
      <c r="E6" s="119" t="s">
        <v>48</v>
      </c>
      <c r="F6" s="120" t="s">
        <v>47</v>
      </c>
      <c r="G6" s="119" t="s">
        <v>48</v>
      </c>
      <c r="H6" s="185"/>
      <c r="I6" s="185"/>
    </row>
    <row r="7" spans="1:26" s="8" customFormat="1" ht="14.65" customHeight="1" thickBot="1" x14ac:dyDescent="0.45">
      <c r="A7" s="20"/>
      <c r="B7" s="121">
        <f>tbl_2029_2030_Days[[#Totals],[Day]]</f>
        <v>1</v>
      </c>
      <c r="C7" s="121">
        <f>tbl_2029_2030_Days[[#Totals],[Resort Name]]</f>
        <v>1</v>
      </c>
      <c r="D7" s="109">
        <f>tbl_2029_2030_Days[[#Totals],[Vertical Feet]]</f>
        <v>0</v>
      </c>
      <c r="E7" s="110">
        <f>tbl_2029_2030_Days[[#Totals],[Vertical Feet]]/tbl_2029_2030_Days[[#Totals],[Day]]</f>
        <v>0</v>
      </c>
      <c r="F7" s="109">
        <f>tbl_2029_2030_Days[[#Totals],[Calories]]</f>
        <v>0</v>
      </c>
      <c r="G7" s="110">
        <f>tbl_2029_2030_Days[[#Totals],[Calories]]/tbl_2029_2030_Days[[#Totals],[Day]]</f>
        <v>0</v>
      </c>
      <c r="H7" s="42"/>
      <c r="I7" s="42"/>
    </row>
    <row r="8" spans="1:26" s="8" customFormat="1" ht="14.65" customHeight="1" thickBot="1" x14ac:dyDescent="0.45">
      <c r="A8" s="20"/>
      <c r="B8" s="42"/>
      <c r="C8" s="42"/>
      <c r="D8" s="77"/>
      <c r="E8" s="77"/>
      <c r="F8" s="77"/>
      <c r="G8" s="77"/>
      <c r="H8" s="42"/>
      <c r="I8" s="42"/>
    </row>
    <row r="9" spans="1:26" ht="14.65" customHeight="1" x14ac:dyDescent="0.35">
      <c r="A9" s="70"/>
      <c r="B9"/>
      <c r="C9" s="70"/>
      <c r="D9" s="71"/>
      <c r="E9" s="122"/>
      <c r="F9" s="123" t="s">
        <v>75</v>
      </c>
      <c r="G9" s="124"/>
      <c r="H9" s="125"/>
      <c r="I9" s="96"/>
      <c r="J9" s="96"/>
      <c r="K9" s="96"/>
      <c r="L9" s="96"/>
      <c r="M9" s="96"/>
      <c r="N9" s="96"/>
      <c r="O9" s="96"/>
      <c r="P9" s="96"/>
      <c r="Q9" s="96"/>
      <c r="R9" s="96"/>
      <c r="S9" s="96"/>
      <c r="T9" s="96"/>
      <c r="U9" s="96"/>
      <c r="V9" s="96"/>
      <c r="W9" s="96"/>
      <c r="X9" s="96"/>
      <c r="Y9" s="97"/>
      <c r="Z9" s="70"/>
    </row>
    <row r="10" spans="1:26" ht="14.65" customHeight="1" x14ac:dyDescent="0.35">
      <c r="A10" s="70"/>
      <c r="B10" s="75"/>
      <c r="C10" s="70"/>
      <c r="D10" s="71"/>
      <c r="E10" s="71"/>
      <c r="F10" s="126" t="s">
        <v>92</v>
      </c>
      <c r="G10" s="127"/>
      <c r="H10" s="98">
        <v>1</v>
      </c>
      <c r="I10" s="98"/>
      <c r="J10" s="98"/>
      <c r="K10" s="98"/>
      <c r="L10" s="98"/>
      <c r="M10" s="98"/>
      <c r="N10" s="98">
        <v>2</v>
      </c>
      <c r="O10" s="98"/>
      <c r="P10" s="98"/>
      <c r="Q10" s="98"/>
      <c r="R10" s="98"/>
      <c r="S10" s="98"/>
      <c r="T10" s="98">
        <v>3</v>
      </c>
      <c r="U10" s="98"/>
      <c r="V10" s="98"/>
      <c r="W10" s="98"/>
      <c r="X10" s="98"/>
      <c r="Y10" s="99"/>
      <c r="Z10" s="70"/>
    </row>
    <row r="11" spans="1:26" ht="14.65" customHeight="1" x14ac:dyDescent="0.35">
      <c r="A11" s="70"/>
      <c r="B11" s="75"/>
      <c r="C11" s="70"/>
      <c r="D11" s="71"/>
      <c r="E11" s="71"/>
      <c r="F11" s="126" t="s">
        <v>76</v>
      </c>
      <c r="G11" s="127"/>
      <c r="H11" s="98" t="str" cm="1">
        <f t="array" ref="H11">fn_GetSkiNameFromSkiIdx($H10)</f>
        <v>Stöckli Stormrider 102</v>
      </c>
      <c r="I11" s="98"/>
      <c r="J11" s="98"/>
      <c r="K11" s="98"/>
      <c r="L11" s="98"/>
      <c r="M11" s="98"/>
      <c r="N11" s="98" t="str" cm="1">
        <f t="array" ref="N11">fn_GetSkiNameFromSkiIdx($N10)</f>
        <v>Stöckli Montero AS</v>
      </c>
      <c r="O11" s="98"/>
      <c r="P11" s="98"/>
      <c r="Q11" s="98"/>
      <c r="R11" s="98"/>
      <c r="S11" s="98"/>
      <c r="T11" s="98" t="str" cm="1">
        <f t="array" ref="T11">fn_GetSkiNameFromSkiIdx($T10)</f>
        <v>Rossignal Sin 7</v>
      </c>
      <c r="U11" s="98"/>
      <c r="V11" s="98"/>
      <c r="W11" s="98"/>
      <c r="X11" s="98"/>
      <c r="Y11" s="99"/>
      <c r="Z11" s="70"/>
    </row>
    <row r="12" spans="1:26" ht="14.65" customHeight="1" x14ac:dyDescent="0.35">
      <c r="A12" s="70"/>
      <c r="B12" s="75"/>
      <c r="C12" s="74"/>
      <c r="D12" s="76"/>
      <c r="E12" s="71"/>
      <c r="F12" s="126" t="s">
        <v>77</v>
      </c>
      <c r="G12" s="127"/>
      <c r="H12" s="98" t="s">
        <v>3</v>
      </c>
      <c r="I12" s="98"/>
      <c r="J12" s="98" t="s">
        <v>26</v>
      </c>
      <c r="K12" s="98"/>
      <c r="L12" s="98" t="s">
        <v>27</v>
      </c>
      <c r="M12" s="98"/>
      <c r="N12" s="98" t="s">
        <v>3</v>
      </c>
      <c r="O12" s="98"/>
      <c r="P12" s="98" t="s">
        <v>26</v>
      </c>
      <c r="Q12" s="98"/>
      <c r="R12" s="98" t="s">
        <v>27</v>
      </c>
      <c r="S12" s="98"/>
      <c r="T12" s="98" t="s">
        <v>3</v>
      </c>
      <c r="U12" s="98"/>
      <c r="V12" s="98" t="s">
        <v>26</v>
      </c>
      <c r="W12" s="98"/>
      <c r="X12" s="98" t="s">
        <v>27</v>
      </c>
      <c r="Y12" s="99"/>
      <c r="Z12" s="70"/>
    </row>
    <row r="13" spans="1:26" ht="14.65" customHeight="1" x14ac:dyDescent="0.35">
      <c r="A13" s="70"/>
      <c r="B13" s="75"/>
      <c r="C13" s="74"/>
      <c r="D13" s="76"/>
      <c r="E13" s="71"/>
      <c r="F13" s="128" t="s">
        <v>78</v>
      </c>
      <c r="G13" s="129"/>
      <c r="H13" s="98" t="str" cm="1">
        <f t="array" ref="H13">fn_GetMaintProcAbbrevFromName(H$12)</f>
        <v>W</v>
      </c>
      <c r="I13" s="98"/>
      <c r="J13" s="98" t="str" cm="1">
        <f t="array" ref="J13">fn_GetMaintProcAbbrevFromName(J$12)</f>
        <v>E</v>
      </c>
      <c r="K13" s="98"/>
      <c r="L13" s="98" t="str" cm="1">
        <f t="array" ref="L13">fn_GetMaintProcAbbrevFromName(L$12)</f>
        <v>FT</v>
      </c>
      <c r="M13" s="98"/>
      <c r="N13" s="98" t="str" cm="1">
        <f t="array" ref="N13">fn_GetMaintProcAbbrevFromName(N$12)</f>
        <v>W</v>
      </c>
      <c r="O13" s="98"/>
      <c r="P13" s="98" t="str" cm="1">
        <f t="array" ref="P13">fn_GetMaintProcAbbrevFromName(P$12)</f>
        <v>E</v>
      </c>
      <c r="Q13" s="98"/>
      <c r="R13" s="98" t="str" cm="1">
        <f t="array" ref="R13">fn_GetMaintProcAbbrevFromName(R$12)</f>
        <v>FT</v>
      </c>
      <c r="S13" s="98"/>
      <c r="T13" s="98" t="str" cm="1">
        <f t="array" ref="T13">fn_GetMaintProcAbbrevFromName(T$12)</f>
        <v>W</v>
      </c>
      <c r="U13" s="98"/>
      <c r="V13" s="98" t="str" cm="1">
        <f t="array" ref="V13">fn_GetMaintProcAbbrevFromName(V$12)</f>
        <v>E</v>
      </c>
      <c r="W13" s="98"/>
      <c r="X13" s="98" t="str" cm="1">
        <f t="array" ref="X13">fn_GetMaintProcAbbrevFromName(X$12)</f>
        <v>FT</v>
      </c>
      <c r="Y13" s="99"/>
      <c r="Z13" s="70"/>
    </row>
    <row r="14" spans="1:26" ht="30" customHeight="1" x14ac:dyDescent="0.35">
      <c r="B14"/>
      <c r="F14" s="130" t="s">
        <v>70</v>
      </c>
      <c r="G14" s="131"/>
      <c r="H14" s="132" t="s">
        <v>382</v>
      </c>
      <c r="I14" s="108" t="s">
        <v>383</v>
      </c>
      <c r="J14" s="108" t="s">
        <v>384</v>
      </c>
      <c r="K14" s="108" t="s">
        <v>385</v>
      </c>
      <c r="L14" s="108" t="s">
        <v>386</v>
      </c>
      <c r="M14" s="108" t="s">
        <v>387</v>
      </c>
      <c r="N14" s="108" t="s">
        <v>388</v>
      </c>
      <c r="O14" s="108" t="s">
        <v>389</v>
      </c>
      <c r="P14" s="108" t="s">
        <v>390</v>
      </c>
      <c r="Q14" s="108" t="s">
        <v>391</v>
      </c>
      <c r="R14" s="108" t="s">
        <v>392</v>
      </c>
      <c r="S14" s="108" t="s">
        <v>393</v>
      </c>
      <c r="T14" s="108" t="s">
        <v>394</v>
      </c>
      <c r="U14" s="108" t="s">
        <v>395</v>
      </c>
      <c r="V14" s="108" t="s">
        <v>396</v>
      </c>
      <c r="W14" s="108" t="s">
        <v>397</v>
      </c>
      <c r="X14" s="108" t="s">
        <v>398</v>
      </c>
      <c r="Y14" s="133" t="s">
        <v>399</v>
      </c>
    </row>
    <row r="15" spans="1:26" ht="14.65" customHeight="1" thickBot="1" x14ac:dyDescent="0.4">
      <c r="B15"/>
      <c r="F15" s="134"/>
      <c r="G15" s="135"/>
      <c r="H15" s="136" t="e" cm="1">
        <f t="array" aca="1" ref="H15" ca="1">fn_GET_LAST_VAL_IN_COL(tbl_2029_2030_Days[1W_Days],TRUE)</f>
        <v>#VALUE!</v>
      </c>
      <c r="I15" s="137" t="e" cm="1">
        <f t="array" ref="I15">INDEX(tbl_2029_2030_Days[1W_Done],fn_GET_LAST_IDX_IN_COL(tbl_2029_2030_Days[Ski],TRUE))</f>
        <v>#VALUE!</v>
      </c>
      <c r="J15" s="29" t="e" cm="1">
        <f t="array" aca="1" ref="J15" ca="1">fn_GET_LAST_VAL_IN_COL(tbl_2029_2030_Days[1E_Days],TRUE)</f>
        <v>#VALUE!</v>
      </c>
      <c r="K15" s="137" t="e" cm="1">
        <f t="array" ref="K15">INDEX(tbl_2029_2030_Days[1E_Done],fn_GET_LAST_IDX_IN_COL(tbl_2029_2030_Days[Ski],TRUE))</f>
        <v>#VALUE!</v>
      </c>
      <c r="L15" s="29" t="e" cm="1">
        <f t="array" aca="1" ref="L15" ca="1">fn_GET_LAST_VAL_IN_COL(tbl_2029_2030_Days[1FT_Days],TRUE)</f>
        <v>#VALUE!</v>
      </c>
      <c r="M15" s="137" t="e" cm="1">
        <f t="array" ref="M15">INDEX(tbl_2029_2030_Days[1FT_Done],fn_GET_LAST_IDX_IN_COL(tbl_2029_2030_Days[Ski],TRUE))</f>
        <v>#VALUE!</v>
      </c>
      <c r="N15" s="29" t="e" cm="1">
        <f t="array" aca="1" ref="N15" ca="1">fn_GET_LAST_VAL_IN_COL(tbl_2029_2030_Days[2W_Days],TRUE)</f>
        <v>#VALUE!</v>
      </c>
      <c r="O15" s="137" t="e" cm="1">
        <f t="array" ref="O15">INDEX(tbl_2029_2030_Days[2W_Done],fn_GET_LAST_IDX_IN_COL(tbl_2029_2030_Days[Ski],TRUE))</f>
        <v>#VALUE!</v>
      </c>
      <c r="P15" s="29" t="e" cm="1">
        <f t="array" aca="1" ref="P15" ca="1">fn_GET_LAST_VAL_IN_COL(tbl_2029_2030_Days[2E_Days],TRUE)</f>
        <v>#VALUE!</v>
      </c>
      <c r="Q15" s="137" t="e" cm="1">
        <f t="array" ref="Q15">INDEX(tbl_2029_2030_Days[2E_Done],fn_GET_LAST_IDX_IN_COL(tbl_2029_2030_Days[Ski],TRUE))</f>
        <v>#VALUE!</v>
      </c>
      <c r="R15" s="29" t="e" cm="1">
        <f t="array" aca="1" ref="R15" ca="1">fn_GET_LAST_VAL_IN_COL(tbl_2029_2030_Days[2FT_Days],TRUE)</f>
        <v>#VALUE!</v>
      </c>
      <c r="S15" s="137" t="e" cm="1">
        <f t="array" ref="S15">INDEX(tbl_2029_2030_Days[2FT_Done],fn_GET_LAST_IDX_IN_COL(tbl_2029_2030_Days[Ski],TRUE))</f>
        <v>#VALUE!</v>
      </c>
      <c r="T15" s="29" t="e" cm="1">
        <f t="array" aca="1" ref="T15" ca="1">fn_GET_LAST_VAL_IN_COL(tbl_2029_2030_Days[3W_Days],TRUE)</f>
        <v>#VALUE!</v>
      </c>
      <c r="U15" s="137" t="e" cm="1">
        <f t="array" ref="U15">INDEX(tbl_2029_2030_Days[3W_Done],fn_GET_LAST_IDX_IN_COL(tbl_2029_2030_Days[Ski],TRUE))</f>
        <v>#VALUE!</v>
      </c>
      <c r="V15" s="29" t="e" cm="1">
        <f t="array" aca="1" ref="V15" ca="1">fn_GET_LAST_VAL_IN_COL(tbl_2029_2030_Days[3E_Days],TRUE)</f>
        <v>#VALUE!</v>
      </c>
      <c r="W15" s="137" t="e" cm="1">
        <f t="array" ref="W15">INDEX(tbl_2029_2030_Days[3E_Done],fn_GET_LAST_IDX_IN_COL(tbl_2029_2030_Days[Ski],TRUE))</f>
        <v>#VALUE!</v>
      </c>
      <c r="X15" s="29" t="e" cm="1">
        <f t="array" aca="1" ref="X15" ca="1">fn_GET_LAST_VAL_IN_COL(tbl_2029_2030_Days[3FT_Days],TRUE)</f>
        <v>#VALUE!</v>
      </c>
      <c r="Y15" s="138" t="e" cm="1">
        <f t="array" ref="Y15">INDEX(tbl_2029_2030_Days[3FT_Done],fn_GET_LAST_IDX_IN_COL(tbl_2029_2030_Days[Ski],TRUE))</f>
        <v>#VALUE!</v>
      </c>
    </row>
    <row r="16" spans="1:26" ht="14.65" customHeight="1" x14ac:dyDescent="0.35">
      <c r="B16"/>
    </row>
    <row r="17" spans="1:26" ht="14.65" customHeight="1" x14ac:dyDescent="0.35">
      <c r="A17" s="126" t="s">
        <v>84</v>
      </c>
      <c r="B17" s="126"/>
      <c r="C17" s="126"/>
      <c r="D17" s="126"/>
      <c r="E17" s="126"/>
      <c r="F17" s="126"/>
      <c r="G17" s="126"/>
      <c r="H17" s="126"/>
      <c r="I17" s="126"/>
      <c r="J17" s="126"/>
      <c r="K17" s="126"/>
      <c r="L17" s="126"/>
      <c r="M17" s="126"/>
      <c r="N17" s="126"/>
      <c r="O17" s="126"/>
      <c r="P17" s="126"/>
      <c r="Q17" s="126"/>
      <c r="R17" s="126"/>
      <c r="S17" s="126"/>
      <c r="T17" s="126"/>
      <c r="U17" s="126"/>
      <c r="V17" s="126"/>
      <c r="W17" s="126"/>
      <c r="X17" s="126"/>
      <c r="Y17" s="126"/>
      <c r="Z17" s="126"/>
    </row>
    <row r="18" spans="1:26" s="73" customFormat="1" ht="30" customHeight="1" x14ac:dyDescent="0.35">
      <c r="A18" s="71" t="s">
        <v>0</v>
      </c>
      <c r="B18" s="72" t="s">
        <v>1</v>
      </c>
      <c r="C18" s="71" t="s">
        <v>67</v>
      </c>
      <c r="D18" s="71" t="s">
        <v>68</v>
      </c>
      <c r="E18" s="71" t="s">
        <v>44</v>
      </c>
      <c r="F18" s="71" t="s">
        <v>45</v>
      </c>
      <c r="G18" s="71" t="s">
        <v>39</v>
      </c>
      <c r="H18" s="71" t="s">
        <v>382</v>
      </c>
      <c r="I18" s="71" t="s">
        <v>383</v>
      </c>
      <c r="J18" s="71" t="s">
        <v>384</v>
      </c>
      <c r="K18" s="71" t="s">
        <v>385</v>
      </c>
      <c r="L18" s="71" t="s">
        <v>386</v>
      </c>
      <c r="M18" s="71" t="s">
        <v>387</v>
      </c>
      <c r="N18" s="71" t="s">
        <v>388</v>
      </c>
      <c r="O18" s="71" t="s">
        <v>389</v>
      </c>
      <c r="P18" s="71" t="s">
        <v>390</v>
      </c>
      <c r="Q18" s="71" t="s">
        <v>391</v>
      </c>
      <c r="R18" s="71" t="s">
        <v>392</v>
      </c>
      <c r="S18" s="71" t="s">
        <v>393</v>
      </c>
      <c r="T18" s="71" t="s">
        <v>394</v>
      </c>
      <c r="U18" s="71" t="s">
        <v>395</v>
      </c>
      <c r="V18" s="71" t="s">
        <v>396</v>
      </c>
      <c r="W18" s="71" t="s">
        <v>397</v>
      </c>
      <c r="X18" s="71" t="s">
        <v>398</v>
      </c>
      <c r="Y18" s="71" t="s">
        <v>399</v>
      </c>
      <c r="Z18" s="71" t="s">
        <v>15</v>
      </c>
    </row>
    <row r="19" spans="1:26" ht="14.65" customHeight="1" x14ac:dyDescent="0.4">
      <c r="A19" cm="1">
        <f t="array" ref="A19">IF(fn_IsTableCellInFirstRow($A19,tbl_2029_2030_Days[]),1,$A18+1)</f>
        <v>1</v>
      </c>
      <c r="B19" s="67"/>
      <c r="C19" s="68"/>
      <c r="D19" cm="1">
        <f t="array" ref="D19">fn_GET_UNIQUE_VALS_RUNNING_COUNTS(tbl_2029_2030_Days[Resort Name], tbl_2029_2030_Days[[#This Row],[Resort Name]])</f>
        <v>0</v>
      </c>
      <c r="E19" s="69"/>
      <c r="F19" s="69"/>
      <c r="G19" s="68"/>
      <c r="H19" t="e" cm="1">
        <f t="array" aca="1" ref="H19" ca="1">fn_GetDaysSinceSkiMaintProc($A$2,tbl_2029_2030_Days[[#This Row],[Day]],H18,I18,1,"W",tbl_2029_2030_Days[[#This Row],[Ski]])</f>
        <v>#VALUE!</v>
      </c>
      <c r="I19" s="66" t="b">
        <v>0</v>
      </c>
      <c r="J19" t="e" cm="1">
        <f t="array" aca="1" ref="J19" ca="1">fn_GetDaysSinceSkiMaintProc($A$2,tbl_2029_2030_Days[[#This Row],[Day]],J18,K18,1,"E",tbl_2029_2030_Days[[#This Row],[Ski]])</f>
        <v>#VALUE!</v>
      </c>
      <c r="K19" s="139" t="b">
        <v>0</v>
      </c>
      <c r="L19" t="e" cm="1">
        <f t="array" aca="1" ref="L19" ca="1">fn_GetDaysSinceSkiMaintProc($A$2,tbl_2029_2030_Days[[#This Row],[Day]],L18,M18,1,"FT",tbl_2029_2030_Days[[#This Row],[Ski]])</f>
        <v>#VALUE!</v>
      </c>
      <c r="M19" s="66" t="b">
        <v>0</v>
      </c>
      <c r="N19" t="e" cm="1">
        <f t="array" aca="1" ref="N19" ca="1">fn_GetDaysSinceSkiMaintProc($A$2,tbl_2029_2030_Days[[#This Row],[Day]],N18,O18,2,"W",tbl_2029_2030_Days[[#This Row],[Ski]])</f>
        <v>#VALUE!</v>
      </c>
      <c r="O19" s="66" t="b">
        <v>0</v>
      </c>
      <c r="P19" t="e" cm="1">
        <f t="array" aca="1" ref="P19" ca="1">fn_GetDaysSinceSkiMaintProc($A$2,tbl_2029_2030_Days[[#This Row],[Day]],P18,Q18,2,"E",tbl_2029_2030_Days[[#This Row],[Ski]])</f>
        <v>#VALUE!</v>
      </c>
      <c r="Q19" s="66" t="b">
        <v>0</v>
      </c>
      <c r="R19" t="e" cm="1">
        <f t="array" aca="1" ref="R19" ca="1">fn_GetDaysSinceSkiMaintProc($A$2,tbl_2029_2030_Days[[#This Row],[Day]],R18,S18,2,"FT",tbl_2029_2030_Days[[#This Row],[Ski]])</f>
        <v>#VALUE!</v>
      </c>
      <c r="S19" s="66" t="b">
        <v>0</v>
      </c>
      <c r="T19" t="e" cm="1">
        <f t="array" aca="1" ref="T19" ca="1">fn_GetDaysSinceSkiMaintProc($A$2,tbl_2029_2030_Days[[#This Row],[Day]],T18,U18,3,"W",tbl_2029_2030_Days[[#This Row],[Ski]])</f>
        <v>#VALUE!</v>
      </c>
      <c r="U19" s="66" t="b">
        <v>0</v>
      </c>
      <c r="V19" t="e" cm="1">
        <f t="array" aca="1" ref="V19" ca="1">fn_GetDaysSinceSkiMaintProc($A$2,tbl_2029_2030_Days[[#This Row],[Day]],V18,W18,3,"E",tbl_2029_2030_Days[[#This Row],[Ski]])</f>
        <v>#VALUE!</v>
      </c>
      <c r="W19" s="66" t="b">
        <v>0</v>
      </c>
      <c r="X19" t="e" cm="1">
        <f t="array" aca="1" ref="X19" ca="1">fn_GetDaysSinceSkiMaintProc($A$2,tbl_2029_2030_Days[[#This Row],[Day]],X18,Y18,3,"FT",tbl_2029_2030_Days[[#This Row],[Ski]])</f>
        <v>#VALUE!</v>
      </c>
      <c r="Y19" s="66" t="b">
        <v>0</v>
      </c>
      <c r="Z19" s="78"/>
    </row>
    <row r="20" spans="1:26" ht="14.65" customHeight="1" x14ac:dyDescent="0.4">
      <c r="A20">
        <f>SUBTOTAL(103,tbl_2029_2030_Days[Day])</f>
        <v>1</v>
      </c>
      <c r="B20" s="140"/>
      <c r="C20">
        <f>ROWS(_xlfn.UNIQUE(tbl_2029_2030_Days[Resort Name]))</f>
        <v>1</v>
      </c>
      <c r="E20" s="141">
        <f>SUBTOTAL(109,tbl_2029_2030_Days[Vertical Feet])</f>
        <v>0</v>
      </c>
      <c r="F20" s="141">
        <f>SUBTOTAL(109,tbl_2029_2030_Days[Calories])</f>
        <v>0</v>
      </c>
      <c r="Z20">
        <f>SUBTOTAL(103,tbl_2029_2030_Days[Notes])</f>
        <v>0</v>
      </c>
    </row>
    <row r="21" spans="1:26" ht="14.65" customHeight="1" x14ac:dyDescent="0.35">
      <c r="B21"/>
    </row>
    <row r="22" spans="1:26" ht="14.65" customHeight="1" x14ac:dyDescent="0.35">
      <c r="B22"/>
    </row>
    <row r="23" spans="1:26" x14ac:dyDescent="0.35">
      <c r="B23"/>
    </row>
    <row r="24" spans="1:26" x14ac:dyDescent="0.35">
      <c r="B24"/>
    </row>
    <row r="25" spans="1:26" x14ac:dyDescent="0.35">
      <c r="B25"/>
    </row>
    <row r="26" spans="1:26" x14ac:dyDescent="0.35">
      <c r="B26"/>
    </row>
    <row r="27" spans="1:26" x14ac:dyDescent="0.35">
      <c r="B27"/>
    </row>
    <row r="28" spans="1:26" x14ac:dyDescent="0.35">
      <c r="B28"/>
    </row>
    <row r="29" spans="1:26" x14ac:dyDescent="0.35">
      <c r="B29"/>
    </row>
    <row r="30" spans="1:26" x14ac:dyDescent="0.35">
      <c r="B30"/>
    </row>
    <row r="31" spans="1:26" x14ac:dyDescent="0.35">
      <c r="B31"/>
    </row>
    <row r="32" spans="1:26" x14ac:dyDescent="0.35">
      <c r="B32"/>
    </row>
    <row r="33" spans="2:2" x14ac:dyDescent="0.35">
      <c r="B33"/>
    </row>
    <row r="34" spans="2:2" x14ac:dyDescent="0.35">
      <c r="B34"/>
    </row>
    <row r="35" spans="2:2" x14ac:dyDescent="0.35">
      <c r="B35"/>
    </row>
    <row r="36" spans="2:2" x14ac:dyDescent="0.35">
      <c r="B36"/>
    </row>
    <row r="37" spans="2:2" x14ac:dyDescent="0.35">
      <c r="B37"/>
    </row>
    <row r="38" spans="2:2" x14ac:dyDescent="0.35">
      <c r="B38"/>
    </row>
    <row r="39" spans="2:2" x14ac:dyDescent="0.35">
      <c r="B39"/>
    </row>
    <row r="40" spans="2:2" x14ac:dyDescent="0.35">
      <c r="B40"/>
    </row>
    <row r="41" spans="2:2" x14ac:dyDescent="0.35">
      <c r="B41"/>
    </row>
    <row r="42" spans="2:2" x14ac:dyDescent="0.35">
      <c r="B42"/>
    </row>
    <row r="43" spans="2:2" x14ac:dyDescent="0.35">
      <c r="B43"/>
    </row>
    <row r="44" spans="2:2" x14ac:dyDescent="0.35">
      <c r="B44"/>
    </row>
    <row r="45" spans="2:2" x14ac:dyDescent="0.35">
      <c r="B45"/>
    </row>
    <row r="46" spans="2:2" x14ac:dyDescent="0.35">
      <c r="B46"/>
    </row>
    <row r="47" spans="2:2" x14ac:dyDescent="0.35">
      <c r="B47"/>
    </row>
    <row r="48" spans="2:2" x14ac:dyDescent="0.35">
      <c r="B48"/>
    </row>
    <row r="49" spans="2:2" x14ac:dyDescent="0.35">
      <c r="B49"/>
    </row>
    <row r="50" spans="2:2" x14ac:dyDescent="0.35">
      <c r="B50"/>
    </row>
    <row r="51" spans="2:2" x14ac:dyDescent="0.35">
      <c r="B51"/>
    </row>
    <row r="52" spans="2:2" x14ac:dyDescent="0.35">
      <c r="B52"/>
    </row>
    <row r="53" spans="2:2" x14ac:dyDescent="0.35">
      <c r="B53"/>
    </row>
    <row r="54" spans="2:2" x14ac:dyDescent="0.35">
      <c r="B54"/>
    </row>
    <row r="55" spans="2:2" x14ac:dyDescent="0.35">
      <c r="B55"/>
    </row>
    <row r="56" spans="2:2" x14ac:dyDescent="0.35">
      <c r="B56"/>
    </row>
    <row r="57" spans="2:2" x14ac:dyDescent="0.35">
      <c r="B57"/>
    </row>
    <row r="58" spans="2:2" x14ac:dyDescent="0.35">
      <c r="B58"/>
    </row>
    <row r="59" spans="2:2" x14ac:dyDescent="0.35">
      <c r="B59"/>
    </row>
    <row r="60" spans="2:2" x14ac:dyDescent="0.35">
      <c r="B60"/>
    </row>
    <row r="61" spans="2:2" x14ac:dyDescent="0.35">
      <c r="B61"/>
    </row>
    <row r="62" spans="2:2" x14ac:dyDescent="0.35">
      <c r="B62"/>
    </row>
    <row r="63" spans="2:2" x14ac:dyDescent="0.35">
      <c r="B63"/>
    </row>
    <row r="64" spans="2:2" x14ac:dyDescent="0.35">
      <c r="B64"/>
    </row>
    <row r="65" spans="2:2" x14ac:dyDescent="0.35">
      <c r="B65"/>
    </row>
    <row r="66" spans="2:2" x14ac:dyDescent="0.35">
      <c r="B66"/>
    </row>
    <row r="67" spans="2:2" x14ac:dyDescent="0.35">
      <c r="B67"/>
    </row>
    <row r="68" spans="2:2" x14ac:dyDescent="0.35">
      <c r="B68"/>
    </row>
    <row r="69" spans="2:2" x14ac:dyDescent="0.35">
      <c r="B69"/>
    </row>
    <row r="70" spans="2:2" x14ac:dyDescent="0.35">
      <c r="B70"/>
    </row>
    <row r="71" spans="2:2" x14ac:dyDescent="0.35">
      <c r="B71"/>
    </row>
    <row r="72" spans="2:2" x14ac:dyDescent="0.35">
      <c r="B72"/>
    </row>
    <row r="73" spans="2:2" x14ac:dyDescent="0.35">
      <c r="B73"/>
    </row>
    <row r="74" spans="2:2" x14ac:dyDescent="0.35">
      <c r="B74"/>
    </row>
    <row r="75" spans="2:2" x14ac:dyDescent="0.35">
      <c r="B75"/>
    </row>
    <row r="76" spans="2:2" x14ac:dyDescent="0.35">
      <c r="B76"/>
    </row>
    <row r="77" spans="2:2" x14ac:dyDescent="0.35">
      <c r="B77"/>
    </row>
    <row r="78" spans="2:2" x14ac:dyDescent="0.35">
      <c r="B78"/>
    </row>
    <row r="79" spans="2:2" x14ac:dyDescent="0.35">
      <c r="B79"/>
    </row>
    <row r="80" spans="2:2" x14ac:dyDescent="0.35">
      <c r="B80"/>
    </row>
    <row r="81" spans="2:2" x14ac:dyDescent="0.35">
      <c r="B81"/>
    </row>
    <row r="82" spans="2:2" x14ac:dyDescent="0.35">
      <c r="B82"/>
    </row>
    <row r="83" spans="2:2" x14ac:dyDescent="0.35">
      <c r="B83"/>
    </row>
  </sheetData>
  <sheetProtection sheet="1" objects="1" scenarios="1"/>
  <protectedRanges>
    <protectedRange sqref="A14:E17 H14:Z17 F16:G17 F14:G14 A19:Z142" name="TableExpansion_30_29_29"/>
  </protectedRanges>
  <mergeCells count="4">
    <mergeCell ref="A1:C1"/>
    <mergeCell ref="A2:C2"/>
    <mergeCell ref="H5:H6"/>
    <mergeCell ref="I5:I6"/>
  </mergeCells>
  <dataValidations count="2">
    <dataValidation type="list" allowBlank="1" showInputMessage="1" showErrorMessage="1" sqref="G19" xr:uid="{AA64E278-2F15-4BFD-BF5A-E3C417E3FF67}">
      <formula1>SkiNames</formula1>
    </dataValidation>
    <dataValidation type="list" showErrorMessage="1" sqref="C19" xr:uid="{9FB8267B-7F3D-499B-9DBE-ADDCE0561010}">
      <formula1>ResortNames</formula1>
    </dataValidation>
  </dataValidations>
  <pageMargins left="0.7" right="0.7" top="0.75" bottom="0.75" header="0.3" footer="0.3"/>
  <pageSetup orientation="portrait"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C3831-4724-4894-842F-754CF6D39D52}">
  <sheetPr codeName="SheetResorts"/>
  <dimension ref="A1:I31"/>
  <sheetViews>
    <sheetView workbookViewId="0">
      <selection activeCell="B31" sqref="B31"/>
    </sheetView>
  </sheetViews>
  <sheetFormatPr defaultRowHeight="14.5" x14ac:dyDescent="0.35"/>
  <cols>
    <col min="1" max="1" width="26.453125" customWidth="1"/>
    <col min="2" max="9" width="12.6328125" customWidth="1"/>
  </cols>
  <sheetData>
    <row r="1" spans="1:9" ht="18.5" x14ac:dyDescent="0.45">
      <c r="A1" s="9" t="s">
        <v>4</v>
      </c>
    </row>
    <row r="2" spans="1:9" x14ac:dyDescent="0.35">
      <c r="B2" s="186" t="s">
        <v>57</v>
      </c>
      <c r="C2" s="186"/>
      <c r="D2" s="186"/>
      <c r="E2" s="186"/>
      <c r="F2" s="186"/>
      <c r="G2" s="186"/>
      <c r="H2" s="186"/>
      <c r="I2" s="145"/>
    </row>
    <row r="3" spans="1:9" x14ac:dyDescent="0.35">
      <c r="A3" s="143" t="s">
        <v>25</v>
      </c>
      <c r="B3" s="142" t="s">
        <v>58</v>
      </c>
      <c r="C3" s="142" t="s">
        <v>59</v>
      </c>
      <c r="D3" s="142" t="s">
        <v>60</v>
      </c>
      <c r="E3" s="142" t="s">
        <v>61</v>
      </c>
      <c r="F3" s="142" t="s">
        <v>62</v>
      </c>
      <c r="G3" s="142" t="s">
        <v>63</v>
      </c>
      <c r="H3" s="142" t="s">
        <v>64</v>
      </c>
      <c r="I3" s="143" t="s">
        <v>86</v>
      </c>
    </row>
    <row r="4" spans="1:9" x14ac:dyDescent="0.35">
      <c r="A4" t="s">
        <v>17</v>
      </c>
      <c r="B4">
        <f>IFERROR(IF(tbl_Resorts[[#This Row],[Name]]="","",COUNTIF('2022-2023'!$C$11:$C$110,tbl_Resorts[[#This Row],[Name]])),"")</f>
        <v>1</v>
      </c>
      <c r="C4">
        <f>IFERROR(IF(tbl_Resorts[[#This Row],[Name]]="","",COUNTIF('2023-2024'!$C$11:$C$110,tbl_Resorts[[#This Row],[Name]])),"")</f>
        <v>0</v>
      </c>
      <c r="D4">
        <f>IFERROR(IF(tbl_Resorts[[#This Row],[Name]]="","",COUNTIF('2024-2025'!$C$14:$C$113,tbl_Resorts[[#This Row],[Name]])),"")</f>
        <v>4</v>
      </c>
      <c r="E4" cm="1">
        <f t="array" ref="E4">fn_DaysSkiedCountByResortAndSeason(tbl_Resorts[[#This Row],[Name]],tbl_Resorts[[#Headers],[2025-2026]])</f>
        <v>4</v>
      </c>
      <c r="F4" t="str" cm="1">
        <f t="array" ref="F4">fn_DaysSkiedCountByResortAndSeason(tbl_Resorts[[#This Row],[Name]],tbl_Resorts[[#Headers],[2026-2027]])</f>
        <v/>
      </c>
      <c r="G4" t="str" cm="1">
        <f t="array" ref="G4">fn_DaysSkiedCountByResortAndSeason(tbl_Resorts[[#This Row],[Name]],tbl_Resorts[[#Headers],[2027-2028]])</f>
        <v/>
      </c>
      <c r="H4" t="str" cm="1">
        <f t="array" ref="H4">fn_DaysSkiedCountByResortAndSeason(tbl_Resorts[[#This Row],[Name]],tbl_Resorts[[#Headers],[2028-2029]])</f>
        <v/>
      </c>
      <c r="I4" t="str" cm="1">
        <f t="array" ref="I4">fn_DaysSkiedCountByResortAndSeason(tbl_Resorts[[#This Row],[Name]],tbl_Resorts[[#Headers],[2029-2030]])</f>
        <v/>
      </c>
    </row>
    <row r="5" spans="1:9" x14ac:dyDescent="0.35">
      <c r="A5" t="s">
        <v>50</v>
      </c>
      <c r="B5">
        <f>IFERROR(IF(tbl_Resorts[[#This Row],[Name]]="","",COUNTIF('2022-2023'!$C$11:$C$110,tbl_Resorts[[#This Row],[Name]])),"")</f>
        <v>0</v>
      </c>
      <c r="C5">
        <f>IFERROR(IF(tbl_Resorts[[#This Row],[Name]]="","",COUNTIF('2023-2024'!$C$11:$C$110,tbl_Resorts[[#This Row],[Name]])),"")</f>
        <v>0</v>
      </c>
      <c r="D5">
        <f>IFERROR(IF(tbl_Resorts[[#This Row],[Name]]="","",COUNTIF('2024-2025'!$C$14:$C$113,tbl_Resorts[[#This Row],[Name]])),"")</f>
        <v>3</v>
      </c>
      <c r="E5" cm="1">
        <f t="array" ref="E5">fn_DaysSkiedCountByResortAndSeason(tbl_Resorts[[#This Row],[Name]],tbl_Resorts[[#Headers],[2025-2026]])</f>
        <v>1</v>
      </c>
      <c r="F5" t="str" cm="1">
        <f t="array" ref="F5">fn_DaysSkiedCountByResortAndSeason(tbl_Resorts[[#This Row],[Name]],tbl_Resorts[[#Headers],[2026-2027]])</f>
        <v/>
      </c>
      <c r="G5" t="str" cm="1">
        <f t="array" ref="G5">fn_DaysSkiedCountByResortAndSeason(tbl_Resorts[[#This Row],[Name]],tbl_Resorts[[#Headers],[2027-2028]])</f>
        <v/>
      </c>
      <c r="H5" t="str" cm="1">
        <f t="array" ref="H5">fn_DaysSkiedCountByResortAndSeason(tbl_Resorts[[#This Row],[Name]],tbl_Resorts[[#Headers],[2028-2029]])</f>
        <v/>
      </c>
      <c r="I5" t="str" cm="1">
        <f t="array" ref="I5">fn_DaysSkiedCountByResortAndSeason(tbl_Resorts[[#This Row],[Name]],tbl_Resorts[[#Headers],[2029-2030]])</f>
        <v/>
      </c>
    </row>
    <row r="6" spans="1:9" x14ac:dyDescent="0.35">
      <c r="A6" t="s">
        <v>29</v>
      </c>
      <c r="B6">
        <f>IFERROR(IF(tbl_Resorts[[#This Row],[Name]]="","",COUNTIF('2022-2023'!$C$11:$C$110,tbl_Resorts[[#This Row],[Name]])),"")</f>
        <v>0</v>
      </c>
      <c r="C6">
        <f>IFERROR(IF(tbl_Resorts[[#This Row],[Name]]="","",COUNTIF('2023-2024'!$C$11:$C$110,tbl_Resorts[[#This Row],[Name]])),"")</f>
        <v>1</v>
      </c>
      <c r="D6">
        <f>IFERROR(IF(tbl_Resorts[[#This Row],[Name]]="","",COUNTIF('2024-2025'!$C$14:$C$113,tbl_Resorts[[#This Row],[Name]])),"")</f>
        <v>0</v>
      </c>
      <c r="E6" cm="1">
        <f t="array" ref="E6">fn_DaysSkiedCountByResortAndSeason(tbl_Resorts[[#This Row],[Name]],tbl_Resorts[[#Headers],[2025-2026]])</f>
        <v>0</v>
      </c>
      <c r="F6" t="str" cm="1">
        <f t="array" ref="F6">fn_DaysSkiedCountByResortAndSeason(tbl_Resorts[[#This Row],[Name]],tbl_Resorts[[#Headers],[2026-2027]])</f>
        <v/>
      </c>
      <c r="G6" t="str" cm="1">
        <f t="array" ref="G6">fn_DaysSkiedCountByResortAndSeason(tbl_Resorts[[#This Row],[Name]],tbl_Resorts[[#Headers],[2027-2028]])</f>
        <v/>
      </c>
      <c r="H6" t="str" cm="1">
        <f t="array" ref="H6">fn_DaysSkiedCountByResortAndSeason(tbl_Resorts[[#This Row],[Name]],tbl_Resorts[[#Headers],[2028-2029]])</f>
        <v/>
      </c>
      <c r="I6" t="str" cm="1">
        <f t="array" ref="I6">fn_DaysSkiedCountByResortAndSeason(tbl_Resorts[[#This Row],[Name]],tbl_Resorts[[#Headers],[2029-2030]])</f>
        <v/>
      </c>
    </row>
    <row r="7" spans="1:9" x14ac:dyDescent="0.35">
      <c r="A7" t="s">
        <v>30</v>
      </c>
      <c r="B7">
        <f>IFERROR(IF(tbl_Resorts[[#This Row],[Name]]="","",COUNTIF('2022-2023'!$C$11:$C$110,tbl_Resorts[[#This Row],[Name]])),"")</f>
        <v>0</v>
      </c>
      <c r="C7">
        <f>IFERROR(IF(tbl_Resorts[[#This Row],[Name]]="","",COUNTIF('2023-2024'!$C$11:$C$110,tbl_Resorts[[#This Row],[Name]])),"")</f>
        <v>0</v>
      </c>
      <c r="D7">
        <f>IFERROR(IF(tbl_Resorts[[#This Row],[Name]]="","",COUNTIF('2024-2025'!$C$14:$C$113,tbl_Resorts[[#This Row],[Name]])),"")</f>
        <v>0</v>
      </c>
      <c r="E7" cm="1">
        <f t="array" ref="E7">fn_DaysSkiedCountByResortAndSeason(tbl_Resorts[[#This Row],[Name]],tbl_Resorts[[#Headers],[2025-2026]])</f>
        <v>0</v>
      </c>
      <c r="F7" t="str" cm="1">
        <f t="array" ref="F7">fn_DaysSkiedCountByResortAndSeason(tbl_Resorts[[#This Row],[Name]],tbl_Resorts[[#Headers],[2026-2027]])</f>
        <v/>
      </c>
      <c r="G7" t="str" cm="1">
        <f t="array" ref="G7">fn_DaysSkiedCountByResortAndSeason(tbl_Resorts[[#This Row],[Name]],tbl_Resorts[[#Headers],[2027-2028]])</f>
        <v/>
      </c>
      <c r="H7" t="str" cm="1">
        <f t="array" ref="H7">fn_DaysSkiedCountByResortAndSeason(tbl_Resorts[[#This Row],[Name]],tbl_Resorts[[#Headers],[2028-2029]])</f>
        <v/>
      </c>
      <c r="I7" t="str" cm="1">
        <f t="array" ref="I7">fn_DaysSkiedCountByResortAndSeason(tbl_Resorts[[#This Row],[Name]],tbl_Resorts[[#Headers],[2029-2030]])</f>
        <v/>
      </c>
    </row>
    <row r="8" spans="1:9" x14ac:dyDescent="0.35">
      <c r="A8" t="s">
        <v>52</v>
      </c>
      <c r="B8">
        <f>IFERROR(IF(tbl_Resorts[[#This Row],[Name]]="","",COUNTIF('2022-2023'!$C$11:$C$110,tbl_Resorts[[#This Row],[Name]])),"")</f>
        <v>0</v>
      </c>
      <c r="C8">
        <f>IFERROR(IF(tbl_Resorts[[#This Row],[Name]]="","",COUNTIF('2023-2024'!$C$11:$C$110,tbl_Resorts[[#This Row],[Name]])),"")</f>
        <v>0</v>
      </c>
      <c r="D8">
        <f>IFERROR(IF(tbl_Resorts[[#This Row],[Name]]="","",COUNTIF('2024-2025'!$C$14:$C$113,tbl_Resorts[[#This Row],[Name]])),"")</f>
        <v>0</v>
      </c>
      <c r="E8" cm="1">
        <f t="array" ref="E8">fn_DaysSkiedCountByResortAndSeason(tbl_Resorts[[#This Row],[Name]],tbl_Resorts[[#Headers],[2025-2026]])</f>
        <v>5</v>
      </c>
      <c r="F8" t="str" cm="1">
        <f t="array" ref="F8">fn_DaysSkiedCountByResortAndSeason(tbl_Resorts[[#This Row],[Name]],tbl_Resorts[[#Headers],[2026-2027]])</f>
        <v/>
      </c>
      <c r="G8" t="str" cm="1">
        <f t="array" ref="G8">fn_DaysSkiedCountByResortAndSeason(tbl_Resorts[[#This Row],[Name]],tbl_Resorts[[#Headers],[2027-2028]])</f>
        <v/>
      </c>
      <c r="H8" t="str" cm="1">
        <f t="array" ref="H8">fn_DaysSkiedCountByResortAndSeason(tbl_Resorts[[#This Row],[Name]],tbl_Resorts[[#Headers],[2028-2029]])</f>
        <v/>
      </c>
      <c r="I8" t="str" cm="1">
        <f t="array" ref="I8">fn_DaysSkiedCountByResortAndSeason(tbl_Resorts[[#This Row],[Name]],tbl_Resorts[[#Headers],[2029-2030]])</f>
        <v/>
      </c>
    </row>
    <row r="9" spans="1:9" x14ac:dyDescent="0.35">
      <c r="A9" t="s">
        <v>13</v>
      </c>
      <c r="B9">
        <f>IFERROR(IF(tbl_Resorts[[#This Row],[Name]]="","",COUNTIF('2022-2023'!$C$11:$C$110,tbl_Resorts[[#This Row],[Name]])),"")</f>
        <v>3</v>
      </c>
      <c r="C9">
        <f>IFERROR(IF(tbl_Resorts[[#This Row],[Name]]="","",COUNTIF('2023-2024'!$C$11:$C$110,tbl_Resorts[[#This Row],[Name]])),"")</f>
        <v>3</v>
      </c>
      <c r="D9">
        <f>IFERROR(IF(tbl_Resorts[[#This Row],[Name]]="","",COUNTIF('2024-2025'!$C$14:$C$113,tbl_Resorts[[#This Row],[Name]])),"")</f>
        <v>7</v>
      </c>
      <c r="E9" cm="1">
        <f t="array" ref="E9">fn_DaysSkiedCountByResortAndSeason(tbl_Resorts[[#This Row],[Name]],tbl_Resorts[[#Headers],[2025-2026]])</f>
        <v>6</v>
      </c>
      <c r="F9" t="str" cm="1">
        <f t="array" ref="F9">fn_DaysSkiedCountByResortAndSeason(tbl_Resorts[[#This Row],[Name]],tbl_Resorts[[#Headers],[2026-2027]])</f>
        <v/>
      </c>
      <c r="G9" t="str" cm="1">
        <f t="array" ref="G9">fn_DaysSkiedCountByResortAndSeason(tbl_Resorts[[#This Row],[Name]],tbl_Resorts[[#Headers],[2027-2028]])</f>
        <v/>
      </c>
      <c r="H9" t="str" cm="1">
        <f t="array" ref="H9">fn_DaysSkiedCountByResortAndSeason(tbl_Resorts[[#This Row],[Name]],tbl_Resorts[[#Headers],[2028-2029]])</f>
        <v/>
      </c>
      <c r="I9" t="str" cm="1">
        <f t="array" ref="I9">fn_DaysSkiedCountByResortAndSeason(tbl_Resorts[[#This Row],[Name]],tbl_Resorts[[#Headers],[2029-2030]])</f>
        <v/>
      </c>
    </row>
    <row r="10" spans="1:9" x14ac:dyDescent="0.35">
      <c r="A10" t="s">
        <v>38</v>
      </c>
      <c r="B10">
        <f>IFERROR(IF(tbl_Resorts[[#This Row],[Name]]="","",COUNTIF('2022-2023'!$C$11:$C$110,tbl_Resorts[[#This Row],[Name]])),"")</f>
        <v>0</v>
      </c>
      <c r="C10">
        <f>IFERROR(IF(tbl_Resorts[[#This Row],[Name]]="","",COUNTIF('2023-2024'!$C$11:$C$110,tbl_Resorts[[#This Row],[Name]])),"")</f>
        <v>0</v>
      </c>
      <c r="D10">
        <f>IFERROR(IF(tbl_Resorts[[#This Row],[Name]]="","",COUNTIF('2024-2025'!$C$14:$C$113,tbl_Resorts[[#This Row],[Name]])),"")</f>
        <v>2</v>
      </c>
      <c r="E10" cm="1">
        <f t="array" ref="E10">fn_DaysSkiedCountByResortAndSeason(tbl_Resorts[[#This Row],[Name]],tbl_Resorts[[#Headers],[2025-2026]])</f>
        <v>3</v>
      </c>
      <c r="F10" t="str" cm="1">
        <f t="array" ref="F10">fn_DaysSkiedCountByResortAndSeason(tbl_Resorts[[#This Row],[Name]],tbl_Resorts[[#Headers],[2026-2027]])</f>
        <v/>
      </c>
      <c r="G10" t="str" cm="1">
        <f t="array" ref="G10">fn_DaysSkiedCountByResortAndSeason(tbl_Resorts[[#This Row],[Name]],tbl_Resorts[[#Headers],[2027-2028]])</f>
        <v/>
      </c>
      <c r="H10" t="str" cm="1">
        <f t="array" ref="H10">fn_DaysSkiedCountByResortAndSeason(tbl_Resorts[[#This Row],[Name]],tbl_Resorts[[#Headers],[2028-2029]])</f>
        <v/>
      </c>
      <c r="I10" t="str" cm="1">
        <f t="array" ref="I10">fn_DaysSkiedCountByResortAndSeason(tbl_Resorts[[#This Row],[Name]],tbl_Resorts[[#Headers],[2029-2030]])</f>
        <v/>
      </c>
    </row>
    <row r="11" spans="1:9" x14ac:dyDescent="0.35">
      <c r="A11" t="s">
        <v>31</v>
      </c>
      <c r="B11">
        <f>IFERROR(IF(tbl_Resorts[[#This Row],[Name]]="","",COUNTIF('2022-2023'!$C$11:$C$110,tbl_Resorts[[#This Row],[Name]])),"")</f>
        <v>0</v>
      </c>
      <c r="C11">
        <f>IFERROR(IF(tbl_Resorts[[#This Row],[Name]]="","",COUNTIF('2023-2024'!$C$11:$C$110,tbl_Resorts[[#This Row],[Name]])),"")</f>
        <v>1</v>
      </c>
      <c r="D11">
        <f>IFERROR(IF(tbl_Resorts[[#This Row],[Name]]="","",COUNTIF('2024-2025'!$C$14:$C$113,tbl_Resorts[[#This Row],[Name]])),"")</f>
        <v>0</v>
      </c>
      <c r="E11" cm="1">
        <f t="array" ref="E11">fn_DaysSkiedCountByResortAndSeason(tbl_Resorts[[#This Row],[Name]],tbl_Resorts[[#Headers],[2025-2026]])</f>
        <v>0</v>
      </c>
      <c r="F11" t="str" cm="1">
        <f t="array" ref="F11">fn_DaysSkiedCountByResortAndSeason(tbl_Resorts[[#This Row],[Name]],tbl_Resorts[[#Headers],[2026-2027]])</f>
        <v/>
      </c>
      <c r="G11" t="str" cm="1">
        <f t="array" ref="G11">fn_DaysSkiedCountByResortAndSeason(tbl_Resorts[[#This Row],[Name]],tbl_Resorts[[#Headers],[2027-2028]])</f>
        <v/>
      </c>
      <c r="H11" t="str" cm="1">
        <f t="array" ref="H11">fn_DaysSkiedCountByResortAndSeason(tbl_Resorts[[#This Row],[Name]],tbl_Resorts[[#Headers],[2028-2029]])</f>
        <v/>
      </c>
      <c r="I11" t="str" cm="1">
        <f t="array" ref="I11">fn_DaysSkiedCountByResortAndSeason(tbl_Resorts[[#This Row],[Name]],tbl_Resorts[[#Headers],[2029-2030]])</f>
        <v/>
      </c>
    </row>
    <row r="12" spans="1:9" x14ac:dyDescent="0.35">
      <c r="A12" t="s">
        <v>9</v>
      </c>
      <c r="B12">
        <f>IFERROR(IF(tbl_Resorts[[#This Row],[Name]]="","",COUNTIF('2022-2023'!$C$11:$C$110,tbl_Resorts[[#This Row],[Name]])),"")</f>
        <v>2</v>
      </c>
      <c r="C12">
        <f>IFERROR(IF(tbl_Resorts[[#This Row],[Name]]="","",COUNTIF('2023-2024'!$C$11:$C$110,tbl_Resorts[[#This Row],[Name]])),"")</f>
        <v>0</v>
      </c>
      <c r="D12">
        <f>IFERROR(IF(tbl_Resorts[[#This Row],[Name]]="","",COUNTIF('2024-2025'!$C$14:$C$113,tbl_Resorts[[#This Row],[Name]])),"")</f>
        <v>3</v>
      </c>
      <c r="E12" cm="1">
        <f t="array" ref="E12">fn_DaysSkiedCountByResortAndSeason(tbl_Resorts[[#This Row],[Name]],tbl_Resorts[[#Headers],[2025-2026]])</f>
        <v>1</v>
      </c>
      <c r="F12" t="str" cm="1">
        <f t="array" ref="F12">fn_DaysSkiedCountByResortAndSeason(tbl_Resorts[[#This Row],[Name]],tbl_Resorts[[#Headers],[2026-2027]])</f>
        <v/>
      </c>
      <c r="G12" t="str" cm="1">
        <f t="array" ref="G12">fn_DaysSkiedCountByResortAndSeason(tbl_Resorts[[#This Row],[Name]],tbl_Resorts[[#Headers],[2027-2028]])</f>
        <v/>
      </c>
      <c r="H12" t="str" cm="1">
        <f t="array" ref="H12">fn_DaysSkiedCountByResortAndSeason(tbl_Resorts[[#This Row],[Name]],tbl_Resorts[[#Headers],[2028-2029]])</f>
        <v/>
      </c>
      <c r="I12" t="str" cm="1">
        <f t="array" ref="I12">fn_DaysSkiedCountByResortAndSeason(tbl_Resorts[[#This Row],[Name]],tbl_Resorts[[#Headers],[2029-2030]])</f>
        <v/>
      </c>
    </row>
    <row r="13" spans="1:9" x14ac:dyDescent="0.35">
      <c r="A13" t="s">
        <v>8</v>
      </c>
      <c r="B13">
        <f>IFERROR(IF(tbl_Resorts[[#This Row],[Name]]="","",COUNTIF('2022-2023'!$C$11:$C$110,tbl_Resorts[[#This Row],[Name]])),"")</f>
        <v>2</v>
      </c>
      <c r="C13">
        <f>IFERROR(IF(tbl_Resorts[[#This Row],[Name]]="","",COUNTIF('2023-2024'!$C$11:$C$110,tbl_Resorts[[#This Row],[Name]])),"")</f>
        <v>0</v>
      </c>
      <c r="D13">
        <f>IFERROR(IF(tbl_Resorts[[#This Row],[Name]]="","",COUNTIF('2024-2025'!$C$14:$C$113,tbl_Resorts[[#This Row],[Name]])),"")</f>
        <v>1</v>
      </c>
      <c r="E13" cm="1">
        <f t="array" ref="E13">fn_DaysSkiedCountByResortAndSeason(tbl_Resorts[[#This Row],[Name]],tbl_Resorts[[#Headers],[2025-2026]])</f>
        <v>1</v>
      </c>
      <c r="F13" t="str" cm="1">
        <f t="array" ref="F13">fn_DaysSkiedCountByResortAndSeason(tbl_Resorts[[#This Row],[Name]],tbl_Resorts[[#Headers],[2026-2027]])</f>
        <v/>
      </c>
      <c r="G13" t="str" cm="1">
        <f t="array" ref="G13">fn_DaysSkiedCountByResortAndSeason(tbl_Resorts[[#This Row],[Name]],tbl_Resorts[[#Headers],[2027-2028]])</f>
        <v/>
      </c>
      <c r="H13" t="str" cm="1">
        <f t="array" ref="H13">fn_DaysSkiedCountByResortAndSeason(tbl_Resorts[[#This Row],[Name]],tbl_Resorts[[#Headers],[2028-2029]])</f>
        <v/>
      </c>
      <c r="I13" t="str" cm="1">
        <f t="array" ref="I13">fn_DaysSkiedCountByResortAndSeason(tbl_Resorts[[#This Row],[Name]],tbl_Resorts[[#Headers],[2029-2030]])</f>
        <v/>
      </c>
    </row>
    <row r="14" spans="1:9" x14ac:dyDescent="0.35">
      <c r="A14" t="s">
        <v>53</v>
      </c>
      <c r="B14">
        <f>IFERROR(IF(tbl_Resorts[[#This Row],[Name]]="","",COUNTIF('2022-2023'!$C$11:$C$110,tbl_Resorts[[#This Row],[Name]])),"")</f>
        <v>0</v>
      </c>
      <c r="C14">
        <f>IFERROR(IF(tbl_Resorts[[#This Row],[Name]]="","",COUNTIF('2023-2024'!$C$11:$C$110,tbl_Resorts[[#This Row],[Name]])),"")</f>
        <v>0</v>
      </c>
      <c r="D14">
        <f>IFERROR(IF(tbl_Resorts[[#This Row],[Name]]="","",COUNTIF('2024-2025'!$C$14:$C$113,tbl_Resorts[[#This Row],[Name]])),"")</f>
        <v>0</v>
      </c>
      <c r="E14" cm="1">
        <f t="array" ref="E14">fn_DaysSkiedCountByResortAndSeason(tbl_Resorts[[#This Row],[Name]],tbl_Resorts[[#Headers],[2025-2026]])</f>
        <v>5</v>
      </c>
      <c r="F14" t="str" cm="1">
        <f t="array" ref="F14">fn_DaysSkiedCountByResortAndSeason(tbl_Resorts[[#This Row],[Name]],tbl_Resorts[[#Headers],[2026-2027]])</f>
        <v/>
      </c>
      <c r="G14" t="str" cm="1">
        <f t="array" ref="G14">fn_DaysSkiedCountByResortAndSeason(tbl_Resorts[[#This Row],[Name]],tbl_Resorts[[#Headers],[2027-2028]])</f>
        <v/>
      </c>
      <c r="H14" t="str" cm="1">
        <f t="array" ref="H14">fn_DaysSkiedCountByResortAndSeason(tbl_Resorts[[#This Row],[Name]],tbl_Resorts[[#Headers],[2028-2029]])</f>
        <v/>
      </c>
      <c r="I14" t="str" cm="1">
        <f t="array" ref="I14">fn_DaysSkiedCountByResortAndSeason(tbl_Resorts[[#This Row],[Name]],tbl_Resorts[[#Headers],[2029-2030]])</f>
        <v/>
      </c>
    </row>
    <row r="15" spans="1:9" x14ac:dyDescent="0.35">
      <c r="A15" t="s">
        <v>51</v>
      </c>
      <c r="B15">
        <f>IFERROR(IF(tbl_Resorts[[#This Row],[Name]]="","",COUNTIF('2022-2023'!$C$11:$C$110,tbl_Resorts[[#This Row],[Name]])),"")</f>
        <v>0</v>
      </c>
      <c r="C15">
        <f>IFERROR(IF(tbl_Resorts[[#This Row],[Name]]="","",COUNTIF('2023-2024'!$C$11:$C$110,tbl_Resorts[[#This Row],[Name]])),"")</f>
        <v>0</v>
      </c>
      <c r="D15">
        <f>IFERROR(IF(tbl_Resorts[[#This Row],[Name]]="","",COUNTIF('2024-2025'!$C$14:$C$113,tbl_Resorts[[#This Row],[Name]])),"")</f>
        <v>0</v>
      </c>
      <c r="E15" cm="1">
        <f t="array" ref="E15">fn_DaysSkiedCountByResortAndSeason(tbl_Resorts[[#This Row],[Name]],tbl_Resorts[[#Headers],[2025-2026]])</f>
        <v>4</v>
      </c>
      <c r="F15" t="str" cm="1">
        <f t="array" ref="F15">fn_DaysSkiedCountByResortAndSeason(tbl_Resorts[[#This Row],[Name]],tbl_Resorts[[#Headers],[2026-2027]])</f>
        <v/>
      </c>
      <c r="G15" t="str" cm="1">
        <f t="array" ref="G15">fn_DaysSkiedCountByResortAndSeason(tbl_Resorts[[#This Row],[Name]],tbl_Resorts[[#Headers],[2027-2028]])</f>
        <v/>
      </c>
      <c r="H15" t="str" cm="1">
        <f t="array" ref="H15">fn_DaysSkiedCountByResortAndSeason(tbl_Resorts[[#This Row],[Name]],tbl_Resorts[[#Headers],[2028-2029]])</f>
        <v/>
      </c>
      <c r="I15" t="str" cm="1">
        <f t="array" ref="I15">fn_DaysSkiedCountByResortAndSeason(tbl_Resorts[[#This Row],[Name]],tbl_Resorts[[#Headers],[2029-2030]])</f>
        <v/>
      </c>
    </row>
    <row r="16" spans="1:9" x14ac:dyDescent="0.35">
      <c r="A16" t="s">
        <v>515</v>
      </c>
      <c r="B16">
        <f>IFERROR(IF(tbl_Resorts[[#This Row],[Name]]="","",COUNTIF('2022-2023'!$C$11:$C$110,tbl_Resorts[[#This Row],[Name]])),"")</f>
        <v>0</v>
      </c>
      <c r="C16">
        <f>IFERROR(IF(tbl_Resorts[[#This Row],[Name]]="","",COUNTIF('2023-2024'!$C$11:$C$110,tbl_Resorts[[#This Row],[Name]])),"")</f>
        <v>0</v>
      </c>
      <c r="D16">
        <f>IFERROR(IF(tbl_Resorts[[#This Row],[Name]]="","",COUNTIF('2024-2025'!$C$14:$C$113,tbl_Resorts[[#This Row],[Name]])),"")</f>
        <v>0</v>
      </c>
      <c r="E16" cm="1">
        <f t="array" ref="E16">fn_DaysSkiedCountByResortAndSeason(tbl_Resorts[[#This Row],[Name]],tbl_Resorts[[#Headers],[2025-2026]])</f>
        <v>0</v>
      </c>
      <c r="F16" t="str" cm="1">
        <f t="array" ref="F16">fn_DaysSkiedCountByResortAndSeason(tbl_Resorts[[#This Row],[Name]],tbl_Resorts[[#Headers],[2026-2027]])</f>
        <v/>
      </c>
      <c r="G16" t="str" cm="1">
        <f t="array" ref="G16">fn_DaysSkiedCountByResortAndSeason(tbl_Resorts[[#This Row],[Name]],tbl_Resorts[[#Headers],[2027-2028]])</f>
        <v/>
      </c>
      <c r="H16" t="str" cm="1">
        <f t="array" ref="H16">fn_DaysSkiedCountByResortAndSeason(tbl_Resorts[[#This Row],[Name]],tbl_Resorts[[#Headers],[2028-2029]])</f>
        <v/>
      </c>
      <c r="I16" t="str" cm="1">
        <f t="array" ref="I16">fn_DaysSkiedCountByResortAndSeason(tbl_Resorts[[#This Row],[Name]],tbl_Resorts[[#Headers],[2029-2030]])</f>
        <v/>
      </c>
    </row>
    <row r="17" spans="1:9" x14ac:dyDescent="0.35">
      <c r="A17" t="s">
        <v>79</v>
      </c>
      <c r="B17">
        <f>IFERROR(IF(tbl_Resorts[[#This Row],[Name]]="","",COUNTIF('2022-2023'!$C$11:$C$110,tbl_Resorts[[#This Row],[Name]])),"")</f>
        <v>0</v>
      </c>
      <c r="C17">
        <f>IFERROR(IF(tbl_Resorts[[#This Row],[Name]]="","",COUNTIF('2023-2024'!$C$11:$C$110,tbl_Resorts[[#This Row],[Name]])),"")</f>
        <v>0</v>
      </c>
      <c r="D17">
        <f>IFERROR(IF(tbl_Resorts[[#This Row],[Name]]="","",COUNTIF('2024-2025'!$C$14:$C$113,tbl_Resorts[[#This Row],[Name]])),"")</f>
        <v>0</v>
      </c>
      <c r="E17" cm="1">
        <f t="array" ref="E17">fn_DaysSkiedCountByResortAndSeason(tbl_Resorts[[#This Row],[Name]],tbl_Resorts[[#Headers],[2025-2026]])</f>
        <v>1</v>
      </c>
      <c r="F17" t="str" cm="1">
        <f t="array" ref="F17">fn_DaysSkiedCountByResortAndSeason(tbl_Resorts[[#This Row],[Name]],tbl_Resorts[[#Headers],[2026-2027]])</f>
        <v/>
      </c>
      <c r="G17" t="str" cm="1">
        <f t="array" ref="G17">fn_DaysSkiedCountByResortAndSeason(tbl_Resorts[[#This Row],[Name]],tbl_Resorts[[#Headers],[2027-2028]])</f>
        <v/>
      </c>
      <c r="H17" t="str" cm="1">
        <f t="array" ref="H17">fn_DaysSkiedCountByResortAndSeason(tbl_Resorts[[#This Row],[Name]],tbl_Resorts[[#Headers],[2028-2029]])</f>
        <v/>
      </c>
      <c r="I17" t="str" cm="1">
        <f t="array" ref="I17">fn_DaysSkiedCountByResortAndSeason(tbl_Resorts[[#This Row],[Name]],tbl_Resorts[[#Headers],[2029-2030]])</f>
        <v/>
      </c>
    </row>
    <row r="18" spans="1:9" x14ac:dyDescent="0.35">
      <c r="A18" t="s">
        <v>7</v>
      </c>
      <c r="B18">
        <f>IFERROR(IF(tbl_Resorts[[#This Row],[Name]]="","",COUNTIF('2022-2023'!$C$11:$C$110,tbl_Resorts[[#This Row],[Name]])),"")</f>
        <v>18</v>
      </c>
      <c r="C18">
        <f>IFERROR(IF(tbl_Resorts[[#This Row],[Name]]="","",COUNTIF('2023-2024'!$C$11:$C$110,tbl_Resorts[[#This Row],[Name]])),"")</f>
        <v>0</v>
      </c>
      <c r="D18">
        <f>IFERROR(IF(tbl_Resorts[[#This Row],[Name]]="","",COUNTIF('2024-2025'!$C$14:$C$113,tbl_Resorts[[#This Row],[Name]])),"")</f>
        <v>0</v>
      </c>
      <c r="E18" cm="1">
        <f t="array" ref="E18">fn_DaysSkiedCountByResortAndSeason(tbl_Resorts[[#This Row],[Name]],tbl_Resorts[[#Headers],[2025-2026]])</f>
        <v>0</v>
      </c>
      <c r="F18" t="str" cm="1">
        <f t="array" ref="F18">fn_DaysSkiedCountByResortAndSeason(tbl_Resorts[[#This Row],[Name]],tbl_Resorts[[#Headers],[2026-2027]])</f>
        <v/>
      </c>
      <c r="G18" t="str" cm="1">
        <f t="array" ref="G18">fn_DaysSkiedCountByResortAndSeason(tbl_Resorts[[#This Row],[Name]],tbl_Resorts[[#Headers],[2027-2028]])</f>
        <v/>
      </c>
      <c r="H18" t="str" cm="1">
        <f t="array" ref="H18">fn_DaysSkiedCountByResortAndSeason(tbl_Resorts[[#This Row],[Name]],tbl_Resorts[[#Headers],[2028-2029]])</f>
        <v/>
      </c>
      <c r="I18" t="str" cm="1">
        <f t="array" ref="I18">fn_DaysSkiedCountByResortAndSeason(tbl_Resorts[[#This Row],[Name]],tbl_Resorts[[#Headers],[2029-2030]])</f>
        <v/>
      </c>
    </row>
    <row r="19" spans="1:9" x14ac:dyDescent="0.35">
      <c r="A19" t="s">
        <v>32</v>
      </c>
      <c r="B19">
        <f>IFERROR(IF(tbl_Resorts[[#This Row],[Name]]="","",COUNTIF('2022-2023'!$C$11:$C$110,tbl_Resorts[[#This Row],[Name]])),"")</f>
        <v>0</v>
      </c>
      <c r="C19">
        <f>IFERROR(IF(tbl_Resorts[[#This Row],[Name]]="","",COUNTIF('2023-2024'!$C$11:$C$110,tbl_Resorts[[#This Row],[Name]])),"")</f>
        <v>3</v>
      </c>
      <c r="D19">
        <f>IFERROR(IF(tbl_Resorts[[#This Row],[Name]]="","",COUNTIF('2024-2025'!$C$14:$C$113,tbl_Resorts[[#This Row],[Name]])),"")</f>
        <v>0</v>
      </c>
      <c r="E19" cm="1">
        <f t="array" ref="E19">fn_DaysSkiedCountByResortAndSeason(tbl_Resorts[[#This Row],[Name]],tbl_Resorts[[#Headers],[2025-2026]])</f>
        <v>0</v>
      </c>
      <c r="F19" t="str" cm="1">
        <f t="array" ref="F19">fn_DaysSkiedCountByResortAndSeason(tbl_Resorts[[#This Row],[Name]],tbl_Resorts[[#Headers],[2026-2027]])</f>
        <v/>
      </c>
      <c r="G19" t="str" cm="1">
        <f t="array" ref="G19">fn_DaysSkiedCountByResortAndSeason(tbl_Resorts[[#This Row],[Name]],tbl_Resorts[[#Headers],[2027-2028]])</f>
        <v/>
      </c>
      <c r="H19" t="str" cm="1">
        <f t="array" ref="H19">fn_DaysSkiedCountByResortAndSeason(tbl_Resorts[[#This Row],[Name]],tbl_Resorts[[#Headers],[2028-2029]])</f>
        <v/>
      </c>
      <c r="I19" t="str" cm="1">
        <f t="array" ref="I19">fn_DaysSkiedCountByResortAndSeason(tbl_Resorts[[#This Row],[Name]],tbl_Resorts[[#Headers],[2029-2030]])</f>
        <v/>
      </c>
    </row>
    <row r="20" spans="1:9" x14ac:dyDescent="0.35">
      <c r="A20" t="s">
        <v>33</v>
      </c>
      <c r="B20">
        <f>IFERROR(IF(tbl_Resorts[[#This Row],[Name]]="","",COUNTIF('2022-2023'!$C$11:$C$110,tbl_Resorts[[#This Row],[Name]])),"")</f>
        <v>0</v>
      </c>
      <c r="C20">
        <f>IFERROR(IF(tbl_Resorts[[#This Row],[Name]]="","",COUNTIF('2023-2024'!$C$11:$C$110,tbl_Resorts[[#This Row],[Name]])),"")</f>
        <v>1</v>
      </c>
      <c r="D20">
        <f>IFERROR(IF(tbl_Resorts[[#This Row],[Name]]="","",COUNTIF('2024-2025'!$C$14:$C$113,tbl_Resorts[[#This Row],[Name]])),"")</f>
        <v>0</v>
      </c>
      <c r="E20" cm="1">
        <f t="array" ref="E20">fn_DaysSkiedCountByResortAndSeason(tbl_Resorts[[#This Row],[Name]],tbl_Resorts[[#Headers],[2025-2026]])</f>
        <v>7</v>
      </c>
      <c r="F20" t="str" cm="1">
        <f t="array" ref="F20">fn_DaysSkiedCountByResortAndSeason(tbl_Resorts[[#This Row],[Name]],tbl_Resorts[[#Headers],[2026-2027]])</f>
        <v/>
      </c>
      <c r="G20" t="str" cm="1">
        <f t="array" ref="G20">fn_DaysSkiedCountByResortAndSeason(tbl_Resorts[[#This Row],[Name]],tbl_Resorts[[#Headers],[2027-2028]])</f>
        <v/>
      </c>
      <c r="H20" t="str" cm="1">
        <f t="array" ref="H20">fn_DaysSkiedCountByResortAndSeason(tbl_Resorts[[#This Row],[Name]],tbl_Resorts[[#Headers],[2028-2029]])</f>
        <v/>
      </c>
      <c r="I20" t="str" cm="1">
        <f t="array" ref="I20">fn_DaysSkiedCountByResortAndSeason(tbl_Resorts[[#This Row],[Name]],tbl_Resorts[[#Headers],[2029-2030]])</f>
        <v/>
      </c>
    </row>
    <row r="21" spans="1:9" x14ac:dyDescent="0.35">
      <c r="A21" t="s">
        <v>14</v>
      </c>
      <c r="B21">
        <f>IFERROR(IF(tbl_Resorts[[#This Row],[Name]]="","",COUNTIF('2022-2023'!$C$11:$C$110,tbl_Resorts[[#This Row],[Name]])),"")</f>
        <v>5</v>
      </c>
      <c r="C21">
        <f>IFERROR(IF(tbl_Resorts[[#This Row],[Name]]="","",COUNTIF('2023-2024'!$C$11:$C$110,tbl_Resorts[[#This Row],[Name]])),"")</f>
        <v>3</v>
      </c>
      <c r="D21">
        <f>IFERROR(IF(tbl_Resorts[[#This Row],[Name]]="","",COUNTIF('2024-2025'!$C$14:$C$113,tbl_Resorts[[#This Row],[Name]])),"")</f>
        <v>0</v>
      </c>
      <c r="E21" cm="1">
        <f t="array" ref="E21">fn_DaysSkiedCountByResortAndSeason(tbl_Resorts[[#This Row],[Name]],tbl_Resorts[[#Headers],[2025-2026]])</f>
        <v>0</v>
      </c>
      <c r="F21" t="str" cm="1">
        <f t="array" ref="F21">fn_DaysSkiedCountByResortAndSeason(tbl_Resorts[[#This Row],[Name]],tbl_Resorts[[#Headers],[2026-2027]])</f>
        <v/>
      </c>
      <c r="G21" t="str" cm="1">
        <f t="array" ref="G21">fn_DaysSkiedCountByResortAndSeason(tbl_Resorts[[#This Row],[Name]],tbl_Resorts[[#Headers],[2027-2028]])</f>
        <v/>
      </c>
      <c r="H21" t="str" cm="1">
        <f t="array" ref="H21">fn_DaysSkiedCountByResortAndSeason(tbl_Resorts[[#This Row],[Name]],tbl_Resorts[[#Headers],[2028-2029]])</f>
        <v/>
      </c>
      <c r="I21" t="str" cm="1">
        <f t="array" ref="I21">fn_DaysSkiedCountByResortAndSeason(tbl_Resorts[[#This Row],[Name]],tbl_Resorts[[#Headers],[2029-2030]])</f>
        <v/>
      </c>
    </row>
    <row r="22" spans="1:9" x14ac:dyDescent="0.35">
      <c r="A22" t="s">
        <v>11</v>
      </c>
      <c r="B22">
        <f>IFERROR(IF(tbl_Resorts[[#This Row],[Name]]="","",COUNTIF('2022-2023'!$C$11:$C$110,tbl_Resorts[[#This Row],[Name]])),"")</f>
        <v>1</v>
      </c>
      <c r="C22">
        <f>IFERROR(IF(tbl_Resorts[[#This Row],[Name]]="","",COUNTIF('2023-2024'!$C$11:$C$110,tbl_Resorts[[#This Row],[Name]])),"")</f>
        <v>0</v>
      </c>
      <c r="D22">
        <f>IFERROR(IF(tbl_Resorts[[#This Row],[Name]]="","",COUNTIF('2024-2025'!$C$14:$C$113,tbl_Resorts[[#This Row],[Name]])),"")</f>
        <v>2</v>
      </c>
      <c r="E22" cm="1">
        <f t="array" ref="E22">fn_DaysSkiedCountByResortAndSeason(tbl_Resorts[[#This Row],[Name]],tbl_Resorts[[#Headers],[2025-2026]])</f>
        <v>1</v>
      </c>
      <c r="F22" t="str" cm="1">
        <f t="array" ref="F22">fn_DaysSkiedCountByResortAndSeason(tbl_Resorts[[#This Row],[Name]],tbl_Resorts[[#Headers],[2026-2027]])</f>
        <v/>
      </c>
      <c r="G22" t="str" cm="1">
        <f t="array" ref="G22">fn_DaysSkiedCountByResortAndSeason(tbl_Resorts[[#This Row],[Name]],tbl_Resorts[[#Headers],[2027-2028]])</f>
        <v/>
      </c>
      <c r="H22" t="str" cm="1">
        <f t="array" ref="H22">fn_DaysSkiedCountByResortAndSeason(tbl_Resorts[[#This Row],[Name]],tbl_Resorts[[#Headers],[2028-2029]])</f>
        <v/>
      </c>
      <c r="I22" t="str" cm="1">
        <f t="array" ref="I22">fn_DaysSkiedCountByResortAndSeason(tbl_Resorts[[#This Row],[Name]],tbl_Resorts[[#Headers],[2029-2030]])</f>
        <v/>
      </c>
    </row>
    <row r="23" spans="1:9" x14ac:dyDescent="0.35">
      <c r="A23" t="s">
        <v>54</v>
      </c>
      <c r="B23">
        <f>IFERROR(IF(tbl_Resorts[[#This Row],[Name]]="","",COUNTIF('2022-2023'!$C$11:$C$110,tbl_Resorts[[#This Row],[Name]])),"")</f>
        <v>0</v>
      </c>
      <c r="C23">
        <f>IFERROR(IF(tbl_Resorts[[#This Row],[Name]]="","",COUNTIF('2023-2024'!$C$11:$C$110,tbl_Resorts[[#This Row],[Name]])),"")</f>
        <v>0</v>
      </c>
      <c r="D23">
        <f>IFERROR(IF(tbl_Resorts[[#This Row],[Name]]="","",COUNTIF('2024-2025'!$C$14:$C$113,tbl_Resorts[[#This Row],[Name]])),"")</f>
        <v>0</v>
      </c>
      <c r="E23" cm="1">
        <f t="array" ref="E23">fn_DaysSkiedCountByResortAndSeason(tbl_Resorts[[#This Row],[Name]],tbl_Resorts[[#Headers],[2025-2026]])</f>
        <v>1</v>
      </c>
      <c r="F23" t="str" cm="1">
        <f t="array" ref="F23">fn_DaysSkiedCountByResortAndSeason(tbl_Resorts[[#This Row],[Name]],tbl_Resorts[[#Headers],[2026-2027]])</f>
        <v/>
      </c>
      <c r="G23" t="str" cm="1">
        <f t="array" ref="G23">fn_DaysSkiedCountByResortAndSeason(tbl_Resorts[[#This Row],[Name]],tbl_Resorts[[#Headers],[2027-2028]])</f>
        <v/>
      </c>
      <c r="H23" t="str" cm="1">
        <f t="array" ref="H23">fn_DaysSkiedCountByResortAndSeason(tbl_Resorts[[#This Row],[Name]],tbl_Resorts[[#Headers],[2028-2029]])</f>
        <v/>
      </c>
      <c r="I23" t="str" cm="1">
        <f t="array" ref="I23">fn_DaysSkiedCountByResortAndSeason(tbl_Resorts[[#This Row],[Name]],tbl_Resorts[[#Headers],[2029-2030]])</f>
        <v/>
      </c>
    </row>
    <row r="24" spans="1:9" x14ac:dyDescent="0.35">
      <c r="A24" t="s">
        <v>28</v>
      </c>
      <c r="B24">
        <f>IFERROR(IF(tbl_Resorts[[#This Row],[Name]]="","",COUNTIF('2022-2023'!$C$11:$C$110,tbl_Resorts[[#This Row],[Name]])),"")</f>
        <v>0</v>
      </c>
      <c r="C24">
        <f>IFERROR(IF(tbl_Resorts[[#This Row],[Name]]="","",COUNTIF('2023-2024'!$C$11:$C$110,tbl_Resorts[[#This Row],[Name]])),"")</f>
        <v>1</v>
      </c>
      <c r="D24">
        <f>IFERROR(IF(tbl_Resorts[[#This Row],[Name]]="","",COUNTIF('2024-2025'!$C$14:$C$113,tbl_Resorts[[#This Row],[Name]])),"")</f>
        <v>0</v>
      </c>
      <c r="E24" cm="1">
        <f t="array" ref="E24">fn_DaysSkiedCountByResortAndSeason(tbl_Resorts[[#This Row],[Name]],tbl_Resorts[[#Headers],[2025-2026]])</f>
        <v>0</v>
      </c>
      <c r="F24" t="str" cm="1">
        <f t="array" ref="F24">fn_DaysSkiedCountByResortAndSeason(tbl_Resorts[[#This Row],[Name]],tbl_Resorts[[#Headers],[2026-2027]])</f>
        <v/>
      </c>
      <c r="G24" t="str" cm="1">
        <f t="array" ref="G24">fn_DaysSkiedCountByResortAndSeason(tbl_Resorts[[#This Row],[Name]],tbl_Resorts[[#Headers],[2027-2028]])</f>
        <v/>
      </c>
      <c r="H24" t="str" cm="1">
        <f t="array" ref="H24">fn_DaysSkiedCountByResortAndSeason(tbl_Resorts[[#This Row],[Name]],tbl_Resorts[[#Headers],[2028-2029]])</f>
        <v/>
      </c>
      <c r="I24" t="str" cm="1">
        <f t="array" ref="I24">fn_DaysSkiedCountByResortAndSeason(tbl_Resorts[[#This Row],[Name]],tbl_Resorts[[#Headers],[2029-2030]])</f>
        <v/>
      </c>
    </row>
    <row r="25" spans="1:9" x14ac:dyDescent="0.35">
      <c r="A25" t="s">
        <v>10</v>
      </c>
      <c r="B25">
        <f>IFERROR(IF(tbl_Resorts[[#This Row],[Name]]="","",COUNTIF('2022-2023'!$C$11:$C$110,tbl_Resorts[[#This Row],[Name]])),"")</f>
        <v>1</v>
      </c>
      <c r="C25">
        <f>IFERROR(IF(tbl_Resorts[[#This Row],[Name]]="","",COUNTIF('2023-2024'!$C$11:$C$110,tbl_Resorts[[#This Row],[Name]])),"")</f>
        <v>0</v>
      </c>
      <c r="D25">
        <f>IFERROR(IF(tbl_Resorts[[#This Row],[Name]]="","",COUNTIF('2024-2025'!$C$14:$C$113,tbl_Resorts[[#This Row],[Name]])),"")</f>
        <v>0</v>
      </c>
      <c r="E25" cm="1">
        <f t="array" ref="E25">fn_DaysSkiedCountByResortAndSeason(tbl_Resorts[[#This Row],[Name]],tbl_Resorts[[#Headers],[2025-2026]])</f>
        <v>1</v>
      </c>
      <c r="F25" t="str" cm="1">
        <f t="array" ref="F25">fn_DaysSkiedCountByResortAndSeason(tbl_Resorts[[#This Row],[Name]],tbl_Resorts[[#Headers],[2026-2027]])</f>
        <v/>
      </c>
      <c r="G25" t="str" cm="1">
        <f t="array" ref="G25">fn_DaysSkiedCountByResortAndSeason(tbl_Resorts[[#This Row],[Name]],tbl_Resorts[[#Headers],[2027-2028]])</f>
        <v/>
      </c>
      <c r="H25" t="str" cm="1">
        <f t="array" ref="H25">fn_DaysSkiedCountByResortAndSeason(tbl_Resorts[[#This Row],[Name]],tbl_Resorts[[#Headers],[2028-2029]])</f>
        <v/>
      </c>
      <c r="I25" t="str" cm="1">
        <f t="array" ref="I25">fn_DaysSkiedCountByResortAndSeason(tbl_Resorts[[#This Row],[Name]],tbl_Resorts[[#Headers],[2029-2030]])</f>
        <v/>
      </c>
    </row>
    <row r="26" spans="1:9" x14ac:dyDescent="0.35">
      <c r="A26" t="s">
        <v>6</v>
      </c>
      <c r="B26">
        <f>IFERROR(IF(tbl_Resorts[[#This Row],[Name]]="","",COUNTIF('2022-2023'!$C$11:$C$110,tbl_Resorts[[#This Row],[Name]])),"")</f>
        <v>7</v>
      </c>
      <c r="C26">
        <f>IFERROR(IF(tbl_Resorts[[#This Row],[Name]]="","",COUNTIF('2023-2024'!$C$11:$C$110,tbl_Resorts[[#This Row],[Name]])),"")</f>
        <v>0</v>
      </c>
      <c r="D26">
        <f>IFERROR(IF(tbl_Resorts[[#This Row],[Name]]="","",COUNTIF('2024-2025'!$C$14:$C$113,tbl_Resorts[[#This Row],[Name]])),"")</f>
        <v>6</v>
      </c>
      <c r="E26" cm="1">
        <f t="array" ref="E26">fn_DaysSkiedCountByResortAndSeason(tbl_Resorts[[#This Row],[Name]],tbl_Resorts[[#Headers],[2025-2026]])</f>
        <v>2</v>
      </c>
      <c r="F26" t="str" cm="1">
        <f t="array" ref="F26">fn_DaysSkiedCountByResortAndSeason(tbl_Resorts[[#This Row],[Name]],tbl_Resorts[[#Headers],[2026-2027]])</f>
        <v/>
      </c>
      <c r="G26" t="str" cm="1">
        <f t="array" ref="G26">fn_DaysSkiedCountByResortAndSeason(tbl_Resorts[[#This Row],[Name]],tbl_Resorts[[#Headers],[2027-2028]])</f>
        <v/>
      </c>
      <c r="H26" t="str" cm="1">
        <f t="array" ref="H26">fn_DaysSkiedCountByResortAndSeason(tbl_Resorts[[#This Row],[Name]],tbl_Resorts[[#Headers],[2028-2029]])</f>
        <v/>
      </c>
      <c r="I26" t="str" cm="1">
        <f t="array" ref="I26">fn_DaysSkiedCountByResortAndSeason(tbl_Resorts[[#This Row],[Name]],tbl_Resorts[[#Headers],[2029-2030]])</f>
        <v/>
      </c>
    </row>
    <row r="27" spans="1:9" x14ac:dyDescent="0.35">
      <c r="A27" t="s">
        <v>16</v>
      </c>
      <c r="B27">
        <f>IFERROR(IF(tbl_Resorts[[#This Row],[Name]]="","",COUNTIF('2022-2023'!$C$11:$C$110,tbl_Resorts[[#This Row],[Name]])),"")</f>
        <v>1</v>
      </c>
      <c r="C27">
        <f>IFERROR(IF(tbl_Resorts[[#This Row],[Name]]="","",COUNTIF('2023-2024'!$C$11:$C$110,tbl_Resorts[[#This Row],[Name]])),"")</f>
        <v>0</v>
      </c>
      <c r="D27">
        <f>IFERROR(IF(tbl_Resorts[[#This Row],[Name]]="","",COUNTIF('2024-2025'!$C$14:$C$113,tbl_Resorts[[#This Row],[Name]])),"")</f>
        <v>0</v>
      </c>
      <c r="E27" cm="1">
        <f t="array" ref="E27">fn_DaysSkiedCountByResortAndSeason(tbl_Resorts[[#This Row],[Name]],tbl_Resorts[[#Headers],[2025-2026]])</f>
        <v>0</v>
      </c>
      <c r="F27" t="str" cm="1">
        <f t="array" ref="F27">fn_DaysSkiedCountByResortAndSeason(tbl_Resorts[[#This Row],[Name]],tbl_Resorts[[#Headers],[2026-2027]])</f>
        <v/>
      </c>
      <c r="G27" t="str" cm="1">
        <f t="array" ref="G27">fn_DaysSkiedCountByResortAndSeason(tbl_Resorts[[#This Row],[Name]],tbl_Resorts[[#Headers],[2027-2028]])</f>
        <v/>
      </c>
      <c r="H27" t="str" cm="1">
        <f t="array" ref="H27">fn_DaysSkiedCountByResortAndSeason(tbl_Resorts[[#This Row],[Name]],tbl_Resorts[[#Headers],[2028-2029]])</f>
        <v/>
      </c>
      <c r="I27" t="str" cm="1">
        <f t="array" ref="I27">fn_DaysSkiedCountByResortAndSeason(tbl_Resorts[[#This Row],[Name]],tbl_Resorts[[#Headers],[2029-2030]])</f>
        <v/>
      </c>
    </row>
    <row r="28" spans="1:9" x14ac:dyDescent="0.35">
      <c r="A28" t="s">
        <v>12</v>
      </c>
      <c r="B28">
        <f>IFERROR(IF(tbl_Resorts[[#This Row],[Name]]="","",COUNTIF('2022-2023'!$C$11:$C$110,tbl_Resorts[[#This Row],[Name]])),"")</f>
        <v>6</v>
      </c>
      <c r="C28">
        <f>IFERROR(IF(tbl_Resorts[[#This Row],[Name]]="","",COUNTIF('2023-2024'!$C$11:$C$110,tbl_Resorts[[#This Row],[Name]])),"")</f>
        <v>26</v>
      </c>
      <c r="D28">
        <f>IFERROR(IF(tbl_Resorts[[#This Row],[Name]]="","",COUNTIF('2024-2025'!$C$14:$C$113,tbl_Resorts[[#This Row],[Name]])),"")</f>
        <v>10</v>
      </c>
      <c r="E28" cm="1">
        <f t="array" ref="E28">fn_DaysSkiedCountByResortAndSeason(tbl_Resorts[[#This Row],[Name]],tbl_Resorts[[#Headers],[2025-2026]])</f>
        <v>8</v>
      </c>
      <c r="F28" t="str" cm="1">
        <f t="array" ref="F28">fn_DaysSkiedCountByResortAndSeason(tbl_Resorts[[#This Row],[Name]],tbl_Resorts[[#Headers],[2026-2027]])</f>
        <v/>
      </c>
      <c r="G28" t="str" cm="1">
        <f t="array" ref="G28">fn_DaysSkiedCountByResortAndSeason(tbl_Resorts[[#This Row],[Name]],tbl_Resorts[[#Headers],[2027-2028]])</f>
        <v/>
      </c>
      <c r="H28" t="str" cm="1">
        <f t="array" ref="H28">fn_DaysSkiedCountByResortAndSeason(tbl_Resorts[[#This Row],[Name]],tbl_Resorts[[#Headers],[2028-2029]])</f>
        <v/>
      </c>
      <c r="I28" t="str" cm="1">
        <f t="array" ref="I28">fn_DaysSkiedCountByResortAndSeason(tbl_Resorts[[#This Row],[Name]],tbl_Resorts[[#Headers],[2029-2030]])</f>
        <v/>
      </c>
    </row>
    <row r="29" spans="1:9" x14ac:dyDescent="0.35">
      <c r="A29" t="s">
        <v>19</v>
      </c>
      <c r="B29">
        <f>IFERROR(IF(tbl_Resorts[[#This Row],[Name]]="","",COUNTIF('2022-2023'!$C$11:$C$110,tbl_Resorts[[#This Row],[Name]])),"")</f>
        <v>0</v>
      </c>
      <c r="C29">
        <f>IFERROR(IF(tbl_Resorts[[#This Row],[Name]]="","",COUNTIF('2023-2024'!$C$11:$C$110,tbl_Resorts[[#This Row],[Name]])),"")</f>
        <v>3</v>
      </c>
      <c r="D29">
        <f>IFERROR(IF(tbl_Resorts[[#This Row],[Name]]="","",COUNTIF('2024-2025'!$C$14:$C$113,tbl_Resorts[[#This Row],[Name]])),"")</f>
        <v>4</v>
      </c>
      <c r="E29" cm="1">
        <f t="array" ref="E29">fn_DaysSkiedCountByResortAndSeason(tbl_Resorts[[#This Row],[Name]],tbl_Resorts[[#Headers],[2025-2026]])</f>
        <v>0</v>
      </c>
      <c r="F29" t="str" cm="1">
        <f t="array" ref="F29">fn_DaysSkiedCountByResortAndSeason(tbl_Resorts[[#This Row],[Name]],tbl_Resorts[[#Headers],[2026-2027]])</f>
        <v/>
      </c>
      <c r="G29" t="str" cm="1">
        <f t="array" ref="G29">fn_DaysSkiedCountByResortAndSeason(tbl_Resorts[[#This Row],[Name]],tbl_Resorts[[#Headers],[2027-2028]])</f>
        <v/>
      </c>
      <c r="H29" t="str" cm="1">
        <f t="array" ref="H29">fn_DaysSkiedCountByResortAndSeason(tbl_Resorts[[#This Row],[Name]],tbl_Resorts[[#Headers],[2028-2029]])</f>
        <v/>
      </c>
      <c r="I29" t="str" cm="1">
        <f t="array" ref="I29">fn_DaysSkiedCountByResortAndSeason(tbl_Resorts[[#This Row],[Name]],tbl_Resorts[[#Headers],[2029-2030]])</f>
        <v/>
      </c>
    </row>
    <row r="30" spans="1:9" x14ac:dyDescent="0.35">
      <c r="A30" t="s">
        <v>5</v>
      </c>
      <c r="B30">
        <f>IFERROR(IF(tbl_Resorts[[#This Row],[Name]]="","",COUNTIF('2022-2023'!$C$11:$C$110,tbl_Resorts[[#This Row],[Name]])),"")</f>
        <v>3</v>
      </c>
      <c r="C30">
        <f>IFERROR(IF(tbl_Resorts[[#This Row],[Name]]="","",COUNTIF('2023-2024'!$C$11:$C$110,tbl_Resorts[[#This Row],[Name]])),"")</f>
        <v>5</v>
      </c>
      <c r="D30">
        <f>IFERROR(IF(tbl_Resorts[[#This Row],[Name]]="","",COUNTIF('2024-2025'!$C$14:$C$113,tbl_Resorts[[#This Row],[Name]])),"")</f>
        <v>9</v>
      </c>
      <c r="E30" cm="1">
        <f t="array" ref="E30">fn_DaysSkiedCountByResortAndSeason(tbl_Resorts[[#This Row],[Name]],tbl_Resorts[[#Headers],[2025-2026]])</f>
        <v>3</v>
      </c>
      <c r="F30" t="str" cm="1">
        <f t="array" ref="F30">fn_DaysSkiedCountByResortAndSeason(tbl_Resorts[[#This Row],[Name]],tbl_Resorts[[#Headers],[2026-2027]])</f>
        <v/>
      </c>
      <c r="G30" t="str" cm="1">
        <f t="array" ref="G30">fn_DaysSkiedCountByResortAndSeason(tbl_Resorts[[#This Row],[Name]],tbl_Resorts[[#Headers],[2027-2028]])</f>
        <v/>
      </c>
      <c r="H30" t="str" cm="1">
        <f t="array" ref="H30">fn_DaysSkiedCountByResortAndSeason(tbl_Resorts[[#This Row],[Name]],tbl_Resorts[[#Headers],[2028-2029]])</f>
        <v/>
      </c>
      <c r="I30" t="str" cm="1">
        <f t="array" ref="I30">fn_DaysSkiedCountByResortAndSeason(tbl_Resorts[[#This Row],[Name]],tbl_Resorts[[#Headers],[2029-2030]])</f>
        <v/>
      </c>
    </row>
    <row r="31" spans="1:9" x14ac:dyDescent="0.35">
      <c r="A31" t="s">
        <v>47</v>
      </c>
      <c r="B31">
        <f>SUBTOTAL(109,tbl_Resorts[2022-2023])</f>
        <v>50</v>
      </c>
      <c r="C31">
        <f>SUBTOTAL(109,tbl_Resorts[2023-2024])</f>
        <v>47</v>
      </c>
      <c r="D31">
        <f>SUBTOTAL(109,tbl_Resorts[2024-2025])</f>
        <v>51</v>
      </c>
      <c r="E31">
        <f>SUBTOTAL(109,tbl_Resorts[2025-2026])</f>
        <v>54</v>
      </c>
      <c r="F31">
        <f>SUBTOTAL(109,tbl_Resorts[2026-2027])</f>
        <v>0</v>
      </c>
      <c r="G31">
        <f>SUBTOTAL(109,tbl_Resorts[2027-2028])</f>
        <v>0</v>
      </c>
      <c r="H31">
        <f>SUBTOTAL(109,tbl_Resorts[2028-2029])</f>
        <v>0</v>
      </c>
      <c r="I31">
        <f>SUBTOTAL(109,tbl_Resorts[2029-2030])</f>
        <v>0</v>
      </c>
    </row>
  </sheetData>
  <sheetProtection sheet="1" objects="1" scenarios="1"/>
  <sortState xmlns:xlrd2="http://schemas.microsoft.com/office/spreadsheetml/2017/richdata2" ref="A4:A28">
    <sortCondition ref="A4:A28"/>
  </sortState>
  <mergeCells count="1">
    <mergeCell ref="B2:H2"/>
  </mergeCells>
  <phoneticPr fontId="7" type="noConversion"/>
  <pageMargins left="0.7" right="0.7" top="0.75" bottom="0.75" header="0.3" footer="0.3"/>
  <pageSetup orientation="portrait" horizontalDpi="1200" verticalDpi="12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F08C0F-17CE-4FA6-96A5-E99CAF9AA677}">
  <sheetPr codeName="SheetSkis"/>
  <dimension ref="A1:J6"/>
  <sheetViews>
    <sheetView workbookViewId="0">
      <selection sqref="A1:XFD1048576"/>
    </sheetView>
  </sheetViews>
  <sheetFormatPr defaultRowHeight="14.5" x14ac:dyDescent="0.35"/>
  <cols>
    <col min="2" max="2" width="23.81640625" customWidth="1"/>
    <col min="3" max="3" width="8.90625" customWidth="1"/>
    <col min="4" max="9" width="12.54296875" customWidth="1"/>
  </cols>
  <sheetData>
    <row r="1" spans="1:10" ht="16" x14ac:dyDescent="0.4">
      <c r="A1" s="81" t="s">
        <v>56</v>
      </c>
    </row>
    <row r="2" spans="1:10" x14ac:dyDescent="0.35">
      <c r="D2" s="82" t="s">
        <v>85</v>
      </c>
      <c r="E2" s="82"/>
      <c r="F2" s="82"/>
      <c r="G2" s="82"/>
      <c r="H2" s="82"/>
      <c r="I2" s="82"/>
      <c r="J2" s="82"/>
    </row>
    <row r="3" spans="1:10" x14ac:dyDescent="0.35">
      <c r="A3" s="142" t="s">
        <v>91</v>
      </c>
      <c r="B3" s="142" t="s">
        <v>25</v>
      </c>
      <c r="C3" s="142" t="s">
        <v>72</v>
      </c>
      <c r="D3" s="142" t="s">
        <v>60</v>
      </c>
      <c r="E3" s="142" t="s">
        <v>61</v>
      </c>
      <c r="F3" s="142" t="s">
        <v>62</v>
      </c>
      <c r="G3" s="142" t="s">
        <v>63</v>
      </c>
      <c r="H3" s="142" t="s">
        <v>64</v>
      </c>
      <c r="I3" s="142" t="s">
        <v>86</v>
      </c>
      <c r="J3" s="142" t="s">
        <v>47</v>
      </c>
    </row>
    <row r="4" spans="1:10" x14ac:dyDescent="0.35">
      <c r="A4">
        <v>1</v>
      </c>
      <c r="B4" t="s">
        <v>41</v>
      </c>
      <c r="C4" t="s">
        <v>73</v>
      </c>
      <c r="D4">
        <v>3</v>
      </c>
      <c r="E4" cm="1">
        <f t="array" ref="E4">fn_GetDaysSkiUsedCountBySeasonNameAndSkiName(tbl_Skis[[#Headers],[2025-2026]],tbl_Skis[[#This Row],[Name]])</f>
        <v>15</v>
      </c>
      <c r="F4" cm="1">
        <f t="array" ref="F4">fn_GetDaysSkiUsedCountBySeasonNameAndSkiName(tbl_Skis[[#Headers],[2026-2027]],tbl_Skis[[#This Row],[Name]])</f>
        <v>0</v>
      </c>
      <c r="G4" cm="1">
        <f t="array" ref="G4">fn_GetDaysSkiUsedCountBySeasonNameAndSkiName(tbl_Skis[[#Headers],[2027-2028]],tbl_Skis[[#This Row],[Name]])</f>
        <v>0</v>
      </c>
      <c r="H4" cm="1">
        <f t="array" ref="H4">fn_GetDaysSkiUsedCountBySeasonNameAndSkiName(tbl_Skis[[#Headers],[2028-2029]],tbl_Skis[[#This Row],[Name]])</f>
        <v>0</v>
      </c>
      <c r="I4" cm="1">
        <f t="array" ref="I4">fn_GetDaysSkiUsedCountBySeasonNameAndSkiName(tbl_Skis[[#Headers],[2029-2030]],tbl_Skis[[#This Row],[Name]])</f>
        <v>0</v>
      </c>
      <c r="J4">
        <f>SUM(tbl_Skis[[#This Row],[2024-2025]:[2029-2030]])</f>
        <v>18</v>
      </c>
    </row>
    <row r="5" spans="1:10" x14ac:dyDescent="0.35">
      <c r="A5">
        <v>2</v>
      </c>
      <c r="B5" t="s">
        <v>42</v>
      </c>
      <c r="C5" t="s">
        <v>69</v>
      </c>
      <c r="D5">
        <v>7</v>
      </c>
      <c r="E5" cm="1">
        <f t="array" ref="E5">fn_GetDaysSkiUsedCountBySeasonNameAndSkiName(tbl_Skis[[#Headers],[2025-2026]],tbl_Skis[[#This Row],[Name]])</f>
        <v>37</v>
      </c>
      <c r="F5" cm="1">
        <f t="array" ref="F5">fn_GetDaysSkiUsedCountBySeasonNameAndSkiName(tbl_Skis[[#Headers],[2026-2027]],tbl_Skis[[#This Row],[Name]])</f>
        <v>0</v>
      </c>
      <c r="G5" cm="1">
        <f t="array" ref="G5">fn_GetDaysSkiUsedCountBySeasonNameAndSkiName(tbl_Skis[[#Headers],[2027-2028]],tbl_Skis[[#This Row],[Name]])</f>
        <v>0</v>
      </c>
      <c r="H5" cm="1">
        <f t="array" ref="H5">fn_GetDaysSkiUsedCountBySeasonNameAndSkiName(tbl_Skis[[#Headers],[2028-2029]],tbl_Skis[[#This Row],[Name]])</f>
        <v>0</v>
      </c>
      <c r="I5" cm="1">
        <f t="array" ref="I5">fn_GetDaysSkiUsedCountBySeasonNameAndSkiName(tbl_Skis[[#Headers],[2029-2030]],tbl_Skis[[#This Row],[Name]])</f>
        <v>0</v>
      </c>
      <c r="J5">
        <f>SUM(tbl_Skis[[#This Row],[2024-2025]:[2029-2030]])</f>
        <v>44</v>
      </c>
    </row>
    <row r="6" spans="1:10" x14ac:dyDescent="0.35">
      <c r="A6">
        <v>3</v>
      </c>
      <c r="B6" t="s">
        <v>40</v>
      </c>
      <c r="C6" t="s">
        <v>74</v>
      </c>
      <c r="D6">
        <v>41</v>
      </c>
      <c r="E6" cm="1">
        <f t="array" ref="E6">fn_GetDaysSkiUsedCountBySeasonNameAndSkiName(tbl_Skis[[#Headers],[2025-2026]],tbl_Skis[[#This Row],[Name]])</f>
        <v>2</v>
      </c>
      <c r="F6" cm="1">
        <f t="array" ref="F6">fn_GetDaysSkiUsedCountBySeasonNameAndSkiName(tbl_Skis[[#Headers],[2026-2027]],tbl_Skis[[#This Row],[Name]])</f>
        <v>0</v>
      </c>
      <c r="G6" cm="1">
        <f t="array" ref="G6">fn_GetDaysSkiUsedCountBySeasonNameAndSkiName(tbl_Skis[[#Headers],[2027-2028]],tbl_Skis[[#This Row],[Name]])</f>
        <v>0</v>
      </c>
      <c r="H6" cm="1">
        <f t="array" ref="H6">fn_GetDaysSkiUsedCountBySeasonNameAndSkiName(tbl_Skis[[#Headers],[2028-2029]],tbl_Skis[[#This Row],[Name]])</f>
        <v>0</v>
      </c>
      <c r="I6" cm="1">
        <f t="array" ref="I6">fn_GetDaysSkiUsedCountBySeasonNameAndSkiName(tbl_Skis[[#Headers],[2029-2030]],tbl_Skis[[#This Row],[Name]])</f>
        <v>0</v>
      </c>
      <c r="J6">
        <f>SUM(tbl_Skis[[#This Row],[2024-2025]:[2029-2030]])</f>
        <v>43</v>
      </c>
    </row>
  </sheetData>
  <sheetProtection sheet="1" objects="1" scenarios="1"/>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E7D8F-5DA7-4673-A590-9986D894D7ED}">
  <sheetPr codeName="SheetMiscVals"/>
  <dimension ref="A1:C6"/>
  <sheetViews>
    <sheetView workbookViewId="0">
      <selection activeCell="B6" sqref="B6"/>
    </sheetView>
  </sheetViews>
  <sheetFormatPr defaultRowHeight="14.5" x14ac:dyDescent="0.35"/>
  <cols>
    <col min="1" max="1" width="27" customWidth="1"/>
    <col min="2" max="2" width="16.453125" customWidth="1"/>
    <col min="3" max="3" width="70.7265625" customWidth="1"/>
  </cols>
  <sheetData>
    <row r="1" spans="1:3" ht="16" x14ac:dyDescent="0.4">
      <c r="A1" s="81" t="s">
        <v>90</v>
      </c>
    </row>
    <row r="2" spans="1:3" ht="15" thickBot="1" x14ac:dyDescent="0.4"/>
    <row r="3" spans="1:3" ht="15" thickBot="1" x14ac:dyDescent="0.4">
      <c r="A3" s="144" t="s">
        <v>514</v>
      </c>
      <c r="B3" s="144"/>
      <c r="C3" s="144"/>
    </row>
    <row r="4" spans="1:3" ht="15" thickBot="1" x14ac:dyDescent="0.4">
      <c r="A4" s="83" t="s">
        <v>25</v>
      </c>
      <c r="B4" s="80" t="s">
        <v>81</v>
      </c>
      <c r="C4" s="84" t="s">
        <v>82</v>
      </c>
    </row>
    <row r="5" spans="1:3" x14ac:dyDescent="0.35">
      <c r="A5" s="85" t="s">
        <v>344</v>
      </c>
      <c r="B5" s="86" t="s">
        <v>80</v>
      </c>
      <c r="C5" s="87" t="s">
        <v>83</v>
      </c>
    </row>
    <row r="6" spans="1:3" x14ac:dyDescent="0.35">
      <c r="A6" s="85" t="s">
        <v>379</v>
      </c>
      <c r="B6" s="93" t="s">
        <v>380</v>
      </c>
      <c r="C6" s="87" t="s">
        <v>381</v>
      </c>
    </row>
  </sheetData>
  <sheetProtection sheet="1" objects="1" scenarios="1"/>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DC66F-E606-493A-81F9-223B066A8F90}">
  <sheetPr codeName="SheetExecUtils"/>
  <dimension ref="A1"/>
  <sheetViews>
    <sheetView tabSelected="1" workbookViewId="0">
      <selection activeCell="D7" sqref="D7"/>
    </sheetView>
  </sheetViews>
  <sheetFormatPr defaultRowHeight="14.5" x14ac:dyDescent="0.35"/>
  <sheetData>
    <row r="1" spans="1:1" ht="16" x14ac:dyDescent="0.4">
      <c r="A1" s="81" t="s">
        <v>89</v>
      </c>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RunProtectAllSheetsAndCharts" altText="Protect All Worksheets and Chartsheets">
                <anchor>
                  <from>
                    <xdr:col>0</xdr:col>
                    <xdr:colOff>596900</xdr:colOff>
                    <xdr:row>2</xdr:row>
                    <xdr:rowOff>133350</xdr:rowOff>
                  </from>
                  <to>
                    <xdr:col>5</xdr:col>
                    <xdr:colOff>292100</xdr:colOff>
                    <xdr:row>3</xdr:row>
                    <xdr:rowOff>171450</xdr:rowOff>
                  </to>
                </anchor>
              </controlPr>
            </control>
          </mc:Choice>
        </mc:AlternateContent>
        <mc:AlternateContent xmlns:mc="http://schemas.openxmlformats.org/markup-compatibility/2006">
          <mc:Choice Requires="x14">
            <control shapeId="9219" r:id="rId4" name="Button 3">
              <controlPr defaultSize="0" print="0" autoFill="0" autoPict="0" macro="[0]!RunUnprotectAllSheetsAndCharts" altText="Unprotect All Worksheets and Chartsheets">
                <anchor>
                  <from>
                    <xdr:col>1</xdr:col>
                    <xdr:colOff>0</xdr:colOff>
                    <xdr:row>4</xdr:row>
                    <xdr:rowOff>152400</xdr:rowOff>
                  </from>
                  <to>
                    <xdr:col>5</xdr:col>
                    <xdr:colOff>304800</xdr:colOff>
                    <xdr:row>6</xdr:row>
                    <xdr:rowOff>6350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62963-FA63-4335-905C-6CBD42169AC0}">
  <sheetPr codeName="SheetDvAllRpt"/>
  <dimension ref="A1:H943"/>
  <sheetViews>
    <sheetView workbookViewId="0"/>
  </sheetViews>
  <sheetFormatPr defaultRowHeight="13" x14ac:dyDescent="0.3"/>
  <cols>
    <col min="1" max="1" width="8.6328125" style="88" bestFit="1" customWidth="1"/>
    <col min="2" max="2" width="6.54296875" style="88" bestFit="1" customWidth="1"/>
    <col min="3" max="3" width="10.1796875" style="88" customWidth="1"/>
    <col min="4" max="4" width="10.08984375" style="88" customWidth="1"/>
    <col min="5" max="5" width="10.81640625" style="88" bestFit="1" customWidth="1"/>
    <col min="6" max="6" width="11.36328125" style="88" bestFit="1" customWidth="1"/>
    <col min="7" max="7" width="4.90625" style="88" bestFit="1" customWidth="1"/>
    <col min="8" max="8" width="9.54296875" style="88" customWidth="1"/>
    <col min="9" max="16384" width="8.7265625" style="88"/>
  </cols>
  <sheetData>
    <row r="1" spans="1:8" ht="16" x14ac:dyDescent="0.4">
      <c r="A1" s="89" t="s">
        <v>93</v>
      </c>
    </row>
    <row r="3" spans="1:8" x14ac:dyDescent="0.3">
      <c r="A3" s="90" t="s">
        <v>94</v>
      </c>
      <c r="B3" s="90" t="s">
        <v>95</v>
      </c>
      <c r="C3" s="90" t="s">
        <v>96</v>
      </c>
      <c r="D3" s="90" t="s">
        <v>97</v>
      </c>
      <c r="E3" s="90" t="s">
        <v>98</v>
      </c>
      <c r="F3" s="90" t="s">
        <v>99</v>
      </c>
      <c r="G3" s="90" t="s">
        <v>100</v>
      </c>
      <c r="H3" s="90" t="s">
        <v>101</v>
      </c>
    </row>
    <row r="4" spans="1:8" x14ac:dyDescent="0.3">
      <c r="A4" s="91" t="s">
        <v>58</v>
      </c>
      <c r="B4" s="91" t="s">
        <v>196</v>
      </c>
      <c r="C4" s="91" t="s">
        <v>103</v>
      </c>
      <c r="D4" s="91" t="s">
        <v>104</v>
      </c>
      <c r="E4" s="91" t="s">
        <v>105</v>
      </c>
      <c r="F4" s="91" t="s">
        <v>106</v>
      </c>
      <c r="G4" s="91" t="s">
        <v>107</v>
      </c>
      <c r="H4" s="91" t="s">
        <v>104</v>
      </c>
    </row>
    <row r="5" spans="1:8" x14ac:dyDescent="0.3">
      <c r="A5" s="91" t="s">
        <v>58</v>
      </c>
      <c r="B5" s="91" t="s">
        <v>197</v>
      </c>
      <c r="C5" s="91" t="s">
        <v>103</v>
      </c>
      <c r="D5" s="91" t="s">
        <v>104</v>
      </c>
      <c r="E5" s="91" t="s">
        <v>105</v>
      </c>
      <c r="F5" s="91" t="s">
        <v>106</v>
      </c>
      <c r="G5" s="91" t="s">
        <v>107</v>
      </c>
      <c r="H5" s="91" t="s">
        <v>104</v>
      </c>
    </row>
    <row r="6" spans="1:8" x14ac:dyDescent="0.3">
      <c r="A6" s="91" t="s">
        <v>58</v>
      </c>
      <c r="B6" s="91" t="s">
        <v>198</v>
      </c>
      <c r="C6" s="91" t="s">
        <v>103</v>
      </c>
      <c r="D6" s="91" t="s">
        <v>104</v>
      </c>
      <c r="E6" s="91" t="s">
        <v>105</v>
      </c>
      <c r="F6" s="91" t="s">
        <v>106</v>
      </c>
      <c r="G6" s="91" t="s">
        <v>107</v>
      </c>
      <c r="H6" s="91" t="s">
        <v>104</v>
      </c>
    </row>
    <row r="7" spans="1:8" x14ac:dyDescent="0.3">
      <c r="A7" s="91" t="s">
        <v>58</v>
      </c>
      <c r="B7" s="91" t="s">
        <v>199</v>
      </c>
      <c r="C7" s="91" t="s">
        <v>103</v>
      </c>
      <c r="D7" s="91" t="s">
        <v>104</v>
      </c>
      <c r="E7" s="91" t="s">
        <v>105</v>
      </c>
      <c r="F7" s="91" t="s">
        <v>106</v>
      </c>
      <c r="G7" s="91" t="s">
        <v>107</v>
      </c>
      <c r="H7" s="91" t="s">
        <v>104</v>
      </c>
    </row>
    <row r="8" spans="1:8" x14ac:dyDescent="0.3">
      <c r="A8" s="91" t="s">
        <v>58</v>
      </c>
      <c r="B8" s="91" t="s">
        <v>200</v>
      </c>
      <c r="C8" s="91" t="s">
        <v>103</v>
      </c>
      <c r="D8" s="91" t="s">
        <v>104</v>
      </c>
      <c r="E8" s="91" t="s">
        <v>105</v>
      </c>
      <c r="F8" s="91" t="s">
        <v>106</v>
      </c>
      <c r="G8" s="91" t="s">
        <v>107</v>
      </c>
      <c r="H8" s="91" t="s">
        <v>104</v>
      </c>
    </row>
    <row r="9" spans="1:8" x14ac:dyDescent="0.3">
      <c r="A9" s="91" t="s">
        <v>58</v>
      </c>
      <c r="B9" s="91" t="s">
        <v>201</v>
      </c>
      <c r="C9" s="91" t="s">
        <v>103</v>
      </c>
      <c r="D9" s="91" t="s">
        <v>104</v>
      </c>
      <c r="E9" s="91" t="s">
        <v>105</v>
      </c>
      <c r="F9" s="91" t="s">
        <v>106</v>
      </c>
      <c r="G9" s="91" t="s">
        <v>107</v>
      </c>
      <c r="H9" s="91" t="s">
        <v>104</v>
      </c>
    </row>
    <row r="10" spans="1:8" x14ac:dyDescent="0.3">
      <c r="A10" s="91" t="s">
        <v>58</v>
      </c>
      <c r="B10" s="91" t="s">
        <v>202</v>
      </c>
      <c r="C10" s="91" t="s">
        <v>103</v>
      </c>
      <c r="D10" s="91" t="s">
        <v>104</v>
      </c>
      <c r="E10" s="91" t="s">
        <v>105</v>
      </c>
      <c r="F10" s="91" t="s">
        <v>106</v>
      </c>
      <c r="G10" s="91" t="s">
        <v>107</v>
      </c>
      <c r="H10" s="91" t="s">
        <v>104</v>
      </c>
    </row>
    <row r="11" spans="1:8" x14ac:dyDescent="0.3">
      <c r="A11" s="91" t="s">
        <v>58</v>
      </c>
      <c r="B11" s="91" t="s">
        <v>203</v>
      </c>
      <c r="C11" s="91" t="s">
        <v>103</v>
      </c>
      <c r="D11" s="91" t="s">
        <v>104</v>
      </c>
      <c r="E11" s="91" t="s">
        <v>105</v>
      </c>
      <c r="F11" s="91" t="s">
        <v>106</v>
      </c>
      <c r="G11" s="91" t="s">
        <v>107</v>
      </c>
      <c r="H11" s="91" t="s">
        <v>104</v>
      </c>
    </row>
    <row r="12" spans="1:8" x14ac:dyDescent="0.3">
      <c r="A12" s="91" t="s">
        <v>58</v>
      </c>
      <c r="B12" s="91" t="s">
        <v>204</v>
      </c>
      <c r="C12" s="91" t="s">
        <v>103</v>
      </c>
      <c r="D12" s="91" t="s">
        <v>104</v>
      </c>
      <c r="E12" s="91" t="s">
        <v>105</v>
      </c>
      <c r="F12" s="91" t="s">
        <v>106</v>
      </c>
      <c r="G12" s="91" t="s">
        <v>107</v>
      </c>
      <c r="H12" s="91" t="s">
        <v>104</v>
      </c>
    </row>
    <row r="13" spans="1:8" x14ac:dyDescent="0.3">
      <c r="A13" s="91" t="s">
        <v>58</v>
      </c>
      <c r="B13" s="91" t="s">
        <v>205</v>
      </c>
      <c r="C13" s="91" t="s">
        <v>103</v>
      </c>
      <c r="D13" s="91" t="s">
        <v>104</v>
      </c>
      <c r="E13" s="91" t="s">
        <v>105</v>
      </c>
      <c r="F13" s="91" t="s">
        <v>106</v>
      </c>
      <c r="G13" s="91" t="s">
        <v>107</v>
      </c>
      <c r="H13" s="91" t="s">
        <v>104</v>
      </c>
    </row>
    <row r="14" spans="1:8" x14ac:dyDescent="0.3">
      <c r="A14" s="91" t="s">
        <v>58</v>
      </c>
      <c r="B14" s="91" t="s">
        <v>102</v>
      </c>
      <c r="C14" s="91" t="s">
        <v>103</v>
      </c>
      <c r="D14" s="91" t="s">
        <v>104</v>
      </c>
      <c r="E14" s="91" t="s">
        <v>105</v>
      </c>
      <c r="F14" s="91" t="s">
        <v>106</v>
      </c>
      <c r="G14" s="91" t="s">
        <v>107</v>
      </c>
      <c r="H14" s="91" t="s">
        <v>104</v>
      </c>
    </row>
    <row r="15" spans="1:8" x14ac:dyDescent="0.3">
      <c r="A15" s="91" t="s">
        <v>58</v>
      </c>
      <c r="B15" s="91" t="s">
        <v>206</v>
      </c>
      <c r="C15" s="91" t="s">
        <v>103</v>
      </c>
      <c r="D15" s="91" t="s">
        <v>104</v>
      </c>
      <c r="E15" s="91" t="s">
        <v>105</v>
      </c>
      <c r="F15" s="91" t="s">
        <v>106</v>
      </c>
      <c r="G15" s="91" t="s">
        <v>107</v>
      </c>
      <c r="H15" s="91" t="s">
        <v>104</v>
      </c>
    </row>
    <row r="16" spans="1:8" x14ac:dyDescent="0.3">
      <c r="A16" s="91" t="s">
        <v>58</v>
      </c>
      <c r="B16" s="91" t="s">
        <v>108</v>
      </c>
      <c r="C16" s="91" t="s">
        <v>103</v>
      </c>
      <c r="D16" s="91" t="s">
        <v>104</v>
      </c>
      <c r="E16" s="91" t="s">
        <v>105</v>
      </c>
      <c r="F16" s="91" t="s">
        <v>106</v>
      </c>
      <c r="G16" s="91" t="s">
        <v>107</v>
      </c>
      <c r="H16" s="91" t="s">
        <v>104</v>
      </c>
    </row>
    <row r="17" spans="1:8" x14ac:dyDescent="0.3">
      <c r="A17" s="91" t="s">
        <v>58</v>
      </c>
      <c r="B17" s="91" t="s">
        <v>109</v>
      </c>
      <c r="C17" s="91" t="s">
        <v>103</v>
      </c>
      <c r="D17" s="91" t="s">
        <v>104</v>
      </c>
      <c r="E17" s="91" t="s">
        <v>105</v>
      </c>
      <c r="F17" s="91" t="s">
        <v>106</v>
      </c>
      <c r="G17" s="91" t="s">
        <v>107</v>
      </c>
      <c r="H17" s="91" t="s">
        <v>104</v>
      </c>
    </row>
    <row r="18" spans="1:8" x14ac:dyDescent="0.3">
      <c r="A18" s="91" t="s">
        <v>58</v>
      </c>
      <c r="B18" s="91" t="s">
        <v>110</v>
      </c>
      <c r="C18" s="91" t="s">
        <v>103</v>
      </c>
      <c r="D18" s="91" t="s">
        <v>104</v>
      </c>
      <c r="E18" s="91" t="s">
        <v>105</v>
      </c>
      <c r="F18" s="91" t="s">
        <v>106</v>
      </c>
      <c r="G18" s="91" t="s">
        <v>107</v>
      </c>
      <c r="H18" s="91" t="s">
        <v>104</v>
      </c>
    </row>
    <row r="19" spans="1:8" x14ac:dyDescent="0.3">
      <c r="A19" s="91" t="s">
        <v>58</v>
      </c>
      <c r="B19" s="91" t="s">
        <v>111</v>
      </c>
      <c r="C19" s="91" t="s">
        <v>103</v>
      </c>
      <c r="D19" s="91" t="s">
        <v>104</v>
      </c>
      <c r="E19" s="91" t="s">
        <v>105</v>
      </c>
      <c r="F19" s="91" t="s">
        <v>106</v>
      </c>
      <c r="G19" s="91" t="s">
        <v>107</v>
      </c>
      <c r="H19" s="91" t="s">
        <v>104</v>
      </c>
    </row>
    <row r="20" spans="1:8" x14ac:dyDescent="0.3">
      <c r="A20" s="91" t="s">
        <v>58</v>
      </c>
      <c r="B20" s="91" t="s">
        <v>112</v>
      </c>
      <c r="C20" s="91" t="s">
        <v>103</v>
      </c>
      <c r="D20" s="91" t="s">
        <v>104</v>
      </c>
      <c r="E20" s="91" t="s">
        <v>105</v>
      </c>
      <c r="F20" s="91" t="s">
        <v>106</v>
      </c>
      <c r="G20" s="91" t="s">
        <v>107</v>
      </c>
      <c r="H20" s="91" t="s">
        <v>104</v>
      </c>
    </row>
    <row r="21" spans="1:8" x14ac:dyDescent="0.3">
      <c r="A21" s="91" t="s">
        <v>58</v>
      </c>
      <c r="B21" s="91" t="s">
        <v>113</v>
      </c>
      <c r="C21" s="91" t="s">
        <v>103</v>
      </c>
      <c r="D21" s="91" t="s">
        <v>104</v>
      </c>
      <c r="E21" s="91" t="s">
        <v>105</v>
      </c>
      <c r="F21" s="91" t="s">
        <v>106</v>
      </c>
      <c r="G21" s="91" t="s">
        <v>107</v>
      </c>
      <c r="H21" s="91" t="s">
        <v>104</v>
      </c>
    </row>
    <row r="22" spans="1:8" x14ac:dyDescent="0.3">
      <c r="A22" s="91" t="s">
        <v>58</v>
      </c>
      <c r="B22" s="91" t="s">
        <v>114</v>
      </c>
      <c r="C22" s="91" t="s">
        <v>103</v>
      </c>
      <c r="D22" s="91" t="s">
        <v>104</v>
      </c>
      <c r="E22" s="91" t="s">
        <v>105</v>
      </c>
      <c r="F22" s="91" t="s">
        <v>106</v>
      </c>
      <c r="G22" s="91" t="s">
        <v>107</v>
      </c>
      <c r="H22" s="91" t="s">
        <v>104</v>
      </c>
    </row>
    <row r="23" spans="1:8" x14ac:dyDescent="0.3">
      <c r="A23" s="91" t="s">
        <v>58</v>
      </c>
      <c r="B23" s="91" t="s">
        <v>115</v>
      </c>
      <c r="C23" s="91" t="s">
        <v>103</v>
      </c>
      <c r="D23" s="91" t="s">
        <v>104</v>
      </c>
      <c r="E23" s="91" t="s">
        <v>105</v>
      </c>
      <c r="F23" s="91" t="s">
        <v>106</v>
      </c>
      <c r="G23" s="91" t="s">
        <v>107</v>
      </c>
      <c r="H23" s="91" t="s">
        <v>104</v>
      </c>
    </row>
    <row r="24" spans="1:8" x14ac:dyDescent="0.3">
      <c r="A24" s="91" t="s">
        <v>58</v>
      </c>
      <c r="B24" s="91" t="s">
        <v>116</v>
      </c>
      <c r="C24" s="91" t="s">
        <v>103</v>
      </c>
      <c r="D24" s="91" t="s">
        <v>104</v>
      </c>
      <c r="E24" s="91" t="s">
        <v>105</v>
      </c>
      <c r="F24" s="91" t="s">
        <v>106</v>
      </c>
      <c r="G24" s="91" t="s">
        <v>107</v>
      </c>
      <c r="H24" s="91" t="s">
        <v>104</v>
      </c>
    </row>
    <row r="25" spans="1:8" x14ac:dyDescent="0.3">
      <c r="A25" s="91" t="s">
        <v>58</v>
      </c>
      <c r="B25" s="91" t="s">
        <v>117</v>
      </c>
      <c r="C25" s="91" t="s">
        <v>103</v>
      </c>
      <c r="D25" s="91" t="s">
        <v>104</v>
      </c>
      <c r="E25" s="91" t="s">
        <v>105</v>
      </c>
      <c r="F25" s="91" t="s">
        <v>106</v>
      </c>
      <c r="G25" s="91" t="s">
        <v>107</v>
      </c>
      <c r="H25" s="91" t="s">
        <v>104</v>
      </c>
    </row>
    <row r="26" spans="1:8" x14ac:dyDescent="0.3">
      <c r="A26" s="91" t="s">
        <v>58</v>
      </c>
      <c r="B26" s="91" t="s">
        <v>118</v>
      </c>
      <c r="C26" s="91" t="s">
        <v>103</v>
      </c>
      <c r="D26" s="91" t="s">
        <v>104</v>
      </c>
      <c r="E26" s="91" t="s">
        <v>105</v>
      </c>
      <c r="F26" s="91" t="s">
        <v>106</v>
      </c>
      <c r="G26" s="91" t="s">
        <v>107</v>
      </c>
      <c r="H26" s="91" t="s">
        <v>104</v>
      </c>
    </row>
    <row r="27" spans="1:8" x14ac:dyDescent="0.3">
      <c r="A27" s="91" t="s">
        <v>58</v>
      </c>
      <c r="B27" s="91" t="s">
        <v>119</v>
      </c>
      <c r="C27" s="91" t="s">
        <v>103</v>
      </c>
      <c r="D27" s="91" t="s">
        <v>104</v>
      </c>
      <c r="E27" s="91" t="s">
        <v>105</v>
      </c>
      <c r="F27" s="91" t="s">
        <v>106</v>
      </c>
      <c r="G27" s="91" t="s">
        <v>107</v>
      </c>
      <c r="H27" s="91" t="s">
        <v>104</v>
      </c>
    </row>
    <row r="28" spans="1:8" x14ac:dyDescent="0.3">
      <c r="A28" s="91" t="s">
        <v>58</v>
      </c>
      <c r="B28" s="91" t="s">
        <v>120</v>
      </c>
      <c r="C28" s="91" t="s">
        <v>103</v>
      </c>
      <c r="D28" s="91" t="s">
        <v>104</v>
      </c>
      <c r="E28" s="91" t="s">
        <v>105</v>
      </c>
      <c r="F28" s="91" t="s">
        <v>106</v>
      </c>
      <c r="G28" s="91" t="s">
        <v>107</v>
      </c>
      <c r="H28" s="91" t="s">
        <v>104</v>
      </c>
    </row>
    <row r="29" spans="1:8" x14ac:dyDescent="0.3">
      <c r="A29" s="91" t="s">
        <v>58</v>
      </c>
      <c r="B29" s="91" t="s">
        <v>121</v>
      </c>
      <c r="C29" s="91" t="s">
        <v>103</v>
      </c>
      <c r="D29" s="91" t="s">
        <v>104</v>
      </c>
      <c r="E29" s="91" t="s">
        <v>105</v>
      </c>
      <c r="F29" s="91" t="s">
        <v>106</v>
      </c>
      <c r="G29" s="91" t="s">
        <v>107</v>
      </c>
      <c r="H29" s="91" t="s">
        <v>104</v>
      </c>
    </row>
    <row r="30" spans="1:8" x14ac:dyDescent="0.3">
      <c r="A30" s="91" t="s">
        <v>58</v>
      </c>
      <c r="B30" s="91" t="s">
        <v>122</v>
      </c>
      <c r="C30" s="91" t="s">
        <v>103</v>
      </c>
      <c r="D30" s="91" t="s">
        <v>104</v>
      </c>
      <c r="E30" s="91" t="s">
        <v>105</v>
      </c>
      <c r="F30" s="91" t="s">
        <v>106</v>
      </c>
      <c r="G30" s="91" t="s">
        <v>107</v>
      </c>
      <c r="H30" s="91" t="s">
        <v>104</v>
      </c>
    </row>
    <row r="31" spans="1:8" x14ac:dyDescent="0.3">
      <c r="A31" s="91" t="s">
        <v>58</v>
      </c>
      <c r="B31" s="91" t="s">
        <v>123</v>
      </c>
      <c r="C31" s="91" t="s">
        <v>103</v>
      </c>
      <c r="D31" s="91" t="s">
        <v>104</v>
      </c>
      <c r="E31" s="91" t="s">
        <v>105</v>
      </c>
      <c r="F31" s="91" t="s">
        <v>106</v>
      </c>
      <c r="G31" s="91" t="s">
        <v>107</v>
      </c>
      <c r="H31" s="91" t="s">
        <v>104</v>
      </c>
    </row>
    <row r="32" spans="1:8" x14ac:dyDescent="0.3">
      <c r="A32" s="91" t="s">
        <v>58</v>
      </c>
      <c r="B32" s="91" t="s">
        <v>124</v>
      </c>
      <c r="C32" s="91" t="s">
        <v>103</v>
      </c>
      <c r="D32" s="91" t="s">
        <v>104</v>
      </c>
      <c r="E32" s="91" t="s">
        <v>105</v>
      </c>
      <c r="F32" s="91" t="s">
        <v>106</v>
      </c>
      <c r="G32" s="91" t="s">
        <v>107</v>
      </c>
      <c r="H32" s="91" t="s">
        <v>104</v>
      </c>
    </row>
    <row r="33" spans="1:8" x14ac:dyDescent="0.3">
      <c r="A33" s="91" t="s">
        <v>58</v>
      </c>
      <c r="B33" s="91" t="s">
        <v>125</v>
      </c>
      <c r="C33" s="91" t="s">
        <v>103</v>
      </c>
      <c r="D33" s="91" t="s">
        <v>104</v>
      </c>
      <c r="E33" s="91" t="s">
        <v>105</v>
      </c>
      <c r="F33" s="91" t="s">
        <v>106</v>
      </c>
      <c r="G33" s="91" t="s">
        <v>107</v>
      </c>
      <c r="H33" s="91" t="s">
        <v>104</v>
      </c>
    </row>
    <row r="34" spans="1:8" x14ac:dyDescent="0.3">
      <c r="A34" s="91" t="s">
        <v>58</v>
      </c>
      <c r="B34" s="91" t="s">
        <v>126</v>
      </c>
      <c r="C34" s="91" t="s">
        <v>103</v>
      </c>
      <c r="D34" s="91" t="s">
        <v>104</v>
      </c>
      <c r="E34" s="91" t="s">
        <v>105</v>
      </c>
      <c r="F34" s="91" t="s">
        <v>106</v>
      </c>
      <c r="G34" s="91" t="s">
        <v>107</v>
      </c>
      <c r="H34" s="91" t="s">
        <v>104</v>
      </c>
    </row>
    <row r="35" spans="1:8" x14ac:dyDescent="0.3">
      <c r="A35" s="91" t="s">
        <v>58</v>
      </c>
      <c r="B35" s="91" t="s">
        <v>127</v>
      </c>
      <c r="C35" s="91" t="s">
        <v>103</v>
      </c>
      <c r="D35" s="91" t="s">
        <v>104</v>
      </c>
      <c r="E35" s="91" t="s">
        <v>105</v>
      </c>
      <c r="F35" s="91" t="s">
        <v>106</v>
      </c>
      <c r="G35" s="91" t="s">
        <v>107</v>
      </c>
      <c r="H35" s="91" t="s">
        <v>104</v>
      </c>
    </row>
    <row r="36" spans="1:8" x14ac:dyDescent="0.3">
      <c r="A36" s="91" t="s">
        <v>58</v>
      </c>
      <c r="B36" s="91" t="s">
        <v>128</v>
      </c>
      <c r="C36" s="91" t="s">
        <v>103</v>
      </c>
      <c r="D36" s="91" t="s">
        <v>104</v>
      </c>
      <c r="E36" s="91" t="s">
        <v>105</v>
      </c>
      <c r="F36" s="91" t="s">
        <v>106</v>
      </c>
      <c r="G36" s="91" t="s">
        <v>107</v>
      </c>
      <c r="H36" s="91" t="s">
        <v>104</v>
      </c>
    </row>
    <row r="37" spans="1:8" x14ac:dyDescent="0.3">
      <c r="A37" s="91" t="s">
        <v>58</v>
      </c>
      <c r="B37" s="91" t="s">
        <v>129</v>
      </c>
      <c r="C37" s="91" t="s">
        <v>103</v>
      </c>
      <c r="D37" s="91" t="s">
        <v>104</v>
      </c>
      <c r="E37" s="91" t="s">
        <v>105</v>
      </c>
      <c r="F37" s="91" t="s">
        <v>106</v>
      </c>
      <c r="G37" s="91" t="s">
        <v>107</v>
      </c>
      <c r="H37" s="91" t="s">
        <v>104</v>
      </c>
    </row>
    <row r="38" spans="1:8" x14ac:dyDescent="0.3">
      <c r="A38" s="91" t="s">
        <v>58</v>
      </c>
      <c r="B38" s="91" t="s">
        <v>130</v>
      </c>
      <c r="C38" s="91" t="s">
        <v>103</v>
      </c>
      <c r="D38" s="91" t="s">
        <v>104</v>
      </c>
      <c r="E38" s="91" t="s">
        <v>105</v>
      </c>
      <c r="F38" s="91" t="s">
        <v>106</v>
      </c>
      <c r="G38" s="91" t="s">
        <v>107</v>
      </c>
      <c r="H38" s="91" t="s">
        <v>104</v>
      </c>
    </row>
    <row r="39" spans="1:8" x14ac:dyDescent="0.3">
      <c r="A39" s="91" t="s">
        <v>58</v>
      </c>
      <c r="B39" s="91" t="s">
        <v>131</v>
      </c>
      <c r="C39" s="91" t="s">
        <v>103</v>
      </c>
      <c r="D39" s="91" t="s">
        <v>104</v>
      </c>
      <c r="E39" s="91" t="s">
        <v>105</v>
      </c>
      <c r="F39" s="91" t="s">
        <v>106</v>
      </c>
      <c r="G39" s="91" t="s">
        <v>107</v>
      </c>
      <c r="H39" s="91" t="s">
        <v>104</v>
      </c>
    </row>
    <row r="40" spans="1:8" x14ac:dyDescent="0.3">
      <c r="A40" s="91" t="s">
        <v>58</v>
      </c>
      <c r="B40" s="91" t="s">
        <v>132</v>
      </c>
      <c r="C40" s="91" t="s">
        <v>103</v>
      </c>
      <c r="D40" s="91" t="s">
        <v>104</v>
      </c>
      <c r="E40" s="91" t="s">
        <v>105</v>
      </c>
      <c r="F40" s="91" t="s">
        <v>106</v>
      </c>
      <c r="G40" s="91" t="s">
        <v>107</v>
      </c>
      <c r="H40" s="91" t="s">
        <v>104</v>
      </c>
    </row>
    <row r="41" spans="1:8" x14ac:dyDescent="0.3">
      <c r="A41" s="91" t="s">
        <v>58</v>
      </c>
      <c r="B41" s="91" t="s">
        <v>133</v>
      </c>
      <c r="C41" s="91" t="s">
        <v>103</v>
      </c>
      <c r="D41" s="91" t="s">
        <v>104</v>
      </c>
      <c r="E41" s="91" t="s">
        <v>105</v>
      </c>
      <c r="F41" s="91" t="s">
        <v>106</v>
      </c>
      <c r="G41" s="91" t="s">
        <v>107</v>
      </c>
      <c r="H41" s="91" t="s">
        <v>104</v>
      </c>
    </row>
    <row r="42" spans="1:8" x14ac:dyDescent="0.3">
      <c r="A42" s="91" t="s">
        <v>58</v>
      </c>
      <c r="B42" s="91" t="s">
        <v>134</v>
      </c>
      <c r="C42" s="91" t="s">
        <v>103</v>
      </c>
      <c r="D42" s="91" t="s">
        <v>104</v>
      </c>
      <c r="E42" s="91" t="s">
        <v>105</v>
      </c>
      <c r="F42" s="91" t="s">
        <v>106</v>
      </c>
      <c r="G42" s="91" t="s">
        <v>107</v>
      </c>
      <c r="H42" s="91" t="s">
        <v>104</v>
      </c>
    </row>
    <row r="43" spans="1:8" x14ac:dyDescent="0.3">
      <c r="A43" s="91" t="s">
        <v>58</v>
      </c>
      <c r="B43" s="91" t="s">
        <v>135</v>
      </c>
      <c r="C43" s="91" t="s">
        <v>103</v>
      </c>
      <c r="D43" s="91" t="s">
        <v>104</v>
      </c>
      <c r="E43" s="91" t="s">
        <v>105</v>
      </c>
      <c r="F43" s="91" t="s">
        <v>106</v>
      </c>
      <c r="G43" s="91" t="s">
        <v>107</v>
      </c>
      <c r="H43" s="91" t="s">
        <v>104</v>
      </c>
    </row>
    <row r="44" spans="1:8" x14ac:dyDescent="0.3">
      <c r="A44" s="91" t="s">
        <v>58</v>
      </c>
      <c r="B44" s="91" t="s">
        <v>136</v>
      </c>
      <c r="C44" s="91" t="s">
        <v>103</v>
      </c>
      <c r="D44" s="91" t="s">
        <v>104</v>
      </c>
      <c r="E44" s="91" t="s">
        <v>105</v>
      </c>
      <c r="F44" s="91" t="s">
        <v>106</v>
      </c>
      <c r="G44" s="91" t="s">
        <v>107</v>
      </c>
      <c r="H44" s="91" t="s">
        <v>104</v>
      </c>
    </row>
    <row r="45" spans="1:8" x14ac:dyDescent="0.3">
      <c r="A45" s="91" t="s">
        <v>58</v>
      </c>
      <c r="B45" s="91" t="s">
        <v>137</v>
      </c>
      <c r="C45" s="91" t="s">
        <v>103</v>
      </c>
      <c r="D45" s="91" t="s">
        <v>104</v>
      </c>
      <c r="E45" s="91" t="s">
        <v>105</v>
      </c>
      <c r="F45" s="91" t="s">
        <v>106</v>
      </c>
      <c r="G45" s="91" t="s">
        <v>107</v>
      </c>
      <c r="H45" s="91" t="s">
        <v>104</v>
      </c>
    </row>
    <row r="46" spans="1:8" x14ac:dyDescent="0.3">
      <c r="A46" s="91" t="s">
        <v>58</v>
      </c>
      <c r="B46" s="91" t="s">
        <v>138</v>
      </c>
      <c r="C46" s="91" t="s">
        <v>103</v>
      </c>
      <c r="D46" s="91" t="s">
        <v>104</v>
      </c>
      <c r="E46" s="91" t="s">
        <v>105</v>
      </c>
      <c r="F46" s="91" t="s">
        <v>106</v>
      </c>
      <c r="G46" s="91" t="s">
        <v>107</v>
      </c>
      <c r="H46" s="91" t="s">
        <v>104</v>
      </c>
    </row>
    <row r="47" spans="1:8" x14ac:dyDescent="0.3">
      <c r="A47" s="91" t="s">
        <v>58</v>
      </c>
      <c r="B47" s="91" t="s">
        <v>139</v>
      </c>
      <c r="C47" s="91" t="s">
        <v>103</v>
      </c>
      <c r="D47" s="91" t="s">
        <v>104</v>
      </c>
      <c r="E47" s="91" t="s">
        <v>105</v>
      </c>
      <c r="F47" s="91" t="s">
        <v>106</v>
      </c>
      <c r="G47" s="91" t="s">
        <v>107</v>
      </c>
      <c r="H47" s="91" t="s">
        <v>104</v>
      </c>
    </row>
    <row r="48" spans="1:8" x14ac:dyDescent="0.3">
      <c r="A48" s="91" t="s">
        <v>58</v>
      </c>
      <c r="B48" s="91" t="s">
        <v>140</v>
      </c>
      <c r="C48" s="91" t="s">
        <v>103</v>
      </c>
      <c r="D48" s="91" t="s">
        <v>104</v>
      </c>
      <c r="E48" s="91" t="s">
        <v>105</v>
      </c>
      <c r="F48" s="91" t="s">
        <v>106</v>
      </c>
      <c r="G48" s="91" t="s">
        <v>107</v>
      </c>
      <c r="H48" s="91" t="s">
        <v>104</v>
      </c>
    </row>
    <row r="49" spans="1:8" x14ac:dyDescent="0.3">
      <c r="A49" s="91" t="s">
        <v>58</v>
      </c>
      <c r="B49" s="91" t="s">
        <v>141</v>
      </c>
      <c r="C49" s="91" t="s">
        <v>103</v>
      </c>
      <c r="D49" s="91" t="s">
        <v>104</v>
      </c>
      <c r="E49" s="91" t="s">
        <v>105</v>
      </c>
      <c r="F49" s="91" t="s">
        <v>106</v>
      </c>
      <c r="G49" s="91" t="s">
        <v>107</v>
      </c>
      <c r="H49" s="91" t="s">
        <v>104</v>
      </c>
    </row>
    <row r="50" spans="1:8" x14ac:dyDescent="0.3">
      <c r="A50" s="91" t="s">
        <v>58</v>
      </c>
      <c r="B50" s="91" t="s">
        <v>142</v>
      </c>
      <c r="C50" s="91" t="s">
        <v>103</v>
      </c>
      <c r="D50" s="91" t="s">
        <v>104</v>
      </c>
      <c r="E50" s="91" t="s">
        <v>105</v>
      </c>
      <c r="F50" s="91" t="s">
        <v>106</v>
      </c>
      <c r="G50" s="91" t="s">
        <v>107</v>
      </c>
      <c r="H50" s="91" t="s">
        <v>104</v>
      </c>
    </row>
    <row r="51" spans="1:8" x14ac:dyDescent="0.3">
      <c r="A51" s="91" t="s">
        <v>58</v>
      </c>
      <c r="B51" s="91" t="s">
        <v>143</v>
      </c>
      <c r="C51" s="91" t="s">
        <v>103</v>
      </c>
      <c r="D51" s="91" t="s">
        <v>104</v>
      </c>
      <c r="E51" s="91" t="s">
        <v>105</v>
      </c>
      <c r="F51" s="91" t="s">
        <v>106</v>
      </c>
      <c r="G51" s="91" t="s">
        <v>107</v>
      </c>
      <c r="H51" s="91" t="s">
        <v>104</v>
      </c>
    </row>
    <row r="52" spans="1:8" x14ac:dyDescent="0.3">
      <c r="A52" s="91" t="s">
        <v>58</v>
      </c>
      <c r="B52" s="91" t="s">
        <v>144</v>
      </c>
      <c r="C52" s="91" t="s">
        <v>103</v>
      </c>
      <c r="D52" s="91" t="s">
        <v>104</v>
      </c>
      <c r="E52" s="91" t="s">
        <v>105</v>
      </c>
      <c r="F52" s="91" t="s">
        <v>106</v>
      </c>
      <c r="G52" s="91" t="s">
        <v>107</v>
      </c>
      <c r="H52" s="91" t="s">
        <v>104</v>
      </c>
    </row>
    <row r="53" spans="1:8" x14ac:dyDescent="0.3">
      <c r="A53" s="91" t="s">
        <v>58</v>
      </c>
      <c r="B53" s="91" t="s">
        <v>145</v>
      </c>
      <c r="C53" s="91" t="s">
        <v>103</v>
      </c>
      <c r="D53" s="91" t="s">
        <v>104</v>
      </c>
      <c r="E53" s="91" t="s">
        <v>105</v>
      </c>
      <c r="F53" s="91" t="s">
        <v>106</v>
      </c>
      <c r="G53" s="91" t="s">
        <v>107</v>
      </c>
      <c r="H53" s="91" t="s">
        <v>104</v>
      </c>
    </row>
    <row r="54" spans="1:8" x14ac:dyDescent="0.3">
      <c r="A54" s="91" t="s">
        <v>58</v>
      </c>
      <c r="B54" s="91" t="s">
        <v>146</v>
      </c>
      <c r="C54" s="91" t="s">
        <v>103</v>
      </c>
      <c r="D54" s="91" t="s">
        <v>104</v>
      </c>
      <c r="E54" s="91" t="s">
        <v>105</v>
      </c>
      <c r="F54" s="91" t="s">
        <v>106</v>
      </c>
      <c r="G54" s="91" t="s">
        <v>107</v>
      </c>
      <c r="H54" s="91" t="s">
        <v>104</v>
      </c>
    </row>
    <row r="55" spans="1:8" x14ac:dyDescent="0.3">
      <c r="A55" s="91" t="s">
        <v>58</v>
      </c>
      <c r="B55" s="91" t="s">
        <v>147</v>
      </c>
      <c r="C55" s="91" t="s">
        <v>103</v>
      </c>
      <c r="D55" s="91" t="s">
        <v>104</v>
      </c>
      <c r="E55" s="91" t="s">
        <v>105</v>
      </c>
      <c r="F55" s="91" t="s">
        <v>106</v>
      </c>
      <c r="G55" s="91" t="s">
        <v>107</v>
      </c>
      <c r="H55" s="91" t="s">
        <v>104</v>
      </c>
    </row>
    <row r="56" spans="1:8" x14ac:dyDescent="0.3">
      <c r="A56" s="91" t="s">
        <v>58</v>
      </c>
      <c r="B56" s="91" t="s">
        <v>148</v>
      </c>
      <c r="C56" s="91" t="s">
        <v>103</v>
      </c>
      <c r="D56" s="91" t="s">
        <v>104</v>
      </c>
      <c r="E56" s="91" t="s">
        <v>105</v>
      </c>
      <c r="F56" s="91" t="s">
        <v>106</v>
      </c>
      <c r="G56" s="91" t="s">
        <v>107</v>
      </c>
      <c r="H56" s="91" t="s">
        <v>104</v>
      </c>
    </row>
    <row r="57" spans="1:8" x14ac:dyDescent="0.3">
      <c r="A57" s="91" t="s">
        <v>58</v>
      </c>
      <c r="B57" s="91" t="s">
        <v>149</v>
      </c>
      <c r="C57" s="91" t="s">
        <v>103</v>
      </c>
      <c r="D57" s="91" t="s">
        <v>104</v>
      </c>
      <c r="E57" s="91" t="s">
        <v>105</v>
      </c>
      <c r="F57" s="91" t="s">
        <v>106</v>
      </c>
      <c r="G57" s="91" t="s">
        <v>107</v>
      </c>
      <c r="H57" s="91" t="s">
        <v>104</v>
      </c>
    </row>
    <row r="58" spans="1:8" x14ac:dyDescent="0.3">
      <c r="A58" s="91" t="s">
        <v>58</v>
      </c>
      <c r="B58" s="91" t="s">
        <v>150</v>
      </c>
      <c r="C58" s="91" t="s">
        <v>103</v>
      </c>
      <c r="D58" s="91" t="s">
        <v>104</v>
      </c>
      <c r="E58" s="91" t="s">
        <v>105</v>
      </c>
      <c r="F58" s="91" t="s">
        <v>106</v>
      </c>
      <c r="G58" s="91" t="s">
        <v>107</v>
      </c>
      <c r="H58" s="91" t="s">
        <v>104</v>
      </c>
    </row>
    <row r="59" spans="1:8" x14ac:dyDescent="0.3">
      <c r="A59" s="91" t="s">
        <v>58</v>
      </c>
      <c r="B59" s="91" t="s">
        <v>151</v>
      </c>
      <c r="C59" s="91" t="s">
        <v>103</v>
      </c>
      <c r="D59" s="91" t="s">
        <v>104</v>
      </c>
      <c r="E59" s="91" t="s">
        <v>105</v>
      </c>
      <c r="F59" s="91" t="s">
        <v>106</v>
      </c>
      <c r="G59" s="91" t="s">
        <v>107</v>
      </c>
      <c r="H59" s="91" t="s">
        <v>104</v>
      </c>
    </row>
    <row r="60" spans="1:8" x14ac:dyDescent="0.3">
      <c r="A60" s="91" t="s">
        <v>58</v>
      </c>
      <c r="B60" s="91" t="s">
        <v>152</v>
      </c>
      <c r="C60" s="91" t="s">
        <v>103</v>
      </c>
      <c r="D60" s="91" t="s">
        <v>104</v>
      </c>
      <c r="E60" s="91" t="s">
        <v>105</v>
      </c>
      <c r="F60" s="91" t="s">
        <v>106</v>
      </c>
      <c r="G60" s="91" t="s">
        <v>107</v>
      </c>
      <c r="H60" s="91" t="s">
        <v>104</v>
      </c>
    </row>
    <row r="61" spans="1:8" x14ac:dyDescent="0.3">
      <c r="A61" s="91" t="s">
        <v>58</v>
      </c>
      <c r="B61" s="91" t="s">
        <v>153</v>
      </c>
      <c r="C61" s="91" t="s">
        <v>103</v>
      </c>
      <c r="D61" s="91" t="s">
        <v>104</v>
      </c>
      <c r="E61" s="91" t="s">
        <v>105</v>
      </c>
      <c r="F61" s="91" t="s">
        <v>106</v>
      </c>
      <c r="G61" s="91" t="s">
        <v>107</v>
      </c>
      <c r="H61" s="91" t="s">
        <v>104</v>
      </c>
    </row>
    <row r="62" spans="1:8" x14ac:dyDescent="0.3">
      <c r="A62" s="91" t="s">
        <v>58</v>
      </c>
      <c r="B62" s="91" t="s">
        <v>154</v>
      </c>
      <c r="C62" s="91" t="s">
        <v>103</v>
      </c>
      <c r="D62" s="91" t="s">
        <v>104</v>
      </c>
      <c r="E62" s="91" t="s">
        <v>105</v>
      </c>
      <c r="F62" s="91" t="s">
        <v>106</v>
      </c>
      <c r="G62" s="91" t="s">
        <v>107</v>
      </c>
      <c r="H62" s="91" t="s">
        <v>104</v>
      </c>
    </row>
    <row r="63" spans="1:8" x14ac:dyDescent="0.3">
      <c r="A63" s="91" t="s">
        <v>58</v>
      </c>
      <c r="B63" s="91" t="s">
        <v>155</v>
      </c>
      <c r="C63" s="91" t="s">
        <v>103</v>
      </c>
      <c r="D63" s="91" t="s">
        <v>104</v>
      </c>
      <c r="E63" s="91" t="s">
        <v>105</v>
      </c>
      <c r="F63" s="91" t="s">
        <v>106</v>
      </c>
      <c r="G63" s="91" t="s">
        <v>107</v>
      </c>
      <c r="H63" s="91" t="s">
        <v>104</v>
      </c>
    </row>
    <row r="64" spans="1:8" x14ac:dyDescent="0.3">
      <c r="A64" s="91" t="s">
        <v>58</v>
      </c>
      <c r="B64" s="91" t="s">
        <v>156</v>
      </c>
      <c r="C64" s="91" t="s">
        <v>103</v>
      </c>
      <c r="D64" s="91" t="s">
        <v>104</v>
      </c>
      <c r="E64" s="91" t="s">
        <v>105</v>
      </c>
      <c r="F64" s="91" t="s">
        <v>106</v>
      </c>
      <c r="G64" s="91" t="s">
        <v>107</v>
      </c>
      <c r="H64" s="91" t="s">
        <v>104</v>
      </c>
    </row>
    <row r="65" spans="1:8" x14ac:dyDescent="0.3">
      <c r="A65" s="91" t="s">
        <v>58</v>
      </c>
      <c r="B65" s="91" t="s">
        <v>157</v>
      </c>
      <c r="C65" s="91" t="s">
        <v>103</v>
      </c>
      <c r="D65" s="91" t="s">
        <v>104</v>
      </c>
      <c r="E65" s="91" t="s">
        <v>105</v>
      </c>
      <c r="F65" s="91" t="s">
        <v>106</v>
      </c>
      <c r="G65" s="91" t="s">
        <v>107</v>
      </c>
      <c r="H65" s="91" t="s">
        <v>104</v>
      </c>
    </row>
    <row r="66" spans="1:8" x14ac:dyDescent="0.3">
      <c r="A66" s="91" t="s">
        <v>58</v>
      </c>
      <c r="B66" s="91" t="s">
        <v>158</v>
      </c>
      <c r="C66" s="91" t="s">
        <v>103</v>
      </c>
      <c r="D66" s="91" t="s">
        <v>104</v>
      </c>
      <c r="E66" s="91" t="s">
        <v>105</v>
      </c>
      <c r="F66" s="91" t="s">
        <v>106</v>
      </c>
      <c r="G66" s="91" t="s">
        <v>107</v>
      </c>
      <c r="H66" s="91" t="s">
        <v>104</v>
      </c>
    </row>
    <row r="67" spans="1:8" x14ac:dyDescent="0.3">
      <c r="A67" s="91" t="s">
        <v>58</v>
      </c>
      <c r="B67" s="91" t="s">
        <v>159</v>
      </c>
      <c r="C67" s="91" t="s">
        <v>103</v>
      </c>
      <c r="D67" s="91" t="s">
        <v>104</v>
      </c>
      <c r="E67" s="91" t="s">
        <v>105</v>
      </c>
      <c r="F67" s="91" t="s">
        <v>106</v>
      </c>
      <c r="G67" s="91" t="s">
        <v>107</v>
      </c>
      <c r="H67" s="91" t="s">
        <v>104</v>
      </c>
    </row>
    <row r="68" spans="1:8" x14ac:dyDescent="0.3">
      <c r="A68" s="91" t="s">
        <v>58</v>
      </c>
      <c r="B68" s="91" t="s">
        <v>160</v>
      </c>
      <c r="C68" s="91" t="s">
        <v>103</v>
      </c>
      <c r="D68" s="91" t="s">
        <v>104</v>
      </c>
      <c r="E68" s="91" t="s">
        <v>105</v>
      </c>
      <c r="F68" s="91" t="s">
        <v>106</v>
      </c>
      <c r="G68" s="91" t="s">
        <v>107</v>
      </c>
      <c r="H68" s="91" t="s">
        <v>104</v>
      </c>
    </row>
    <row r="69" spans="1:8" x14ac:dyDescent="0.3">
      <c r="A69" s="91" t="s">
        <v>58</v>
      </c>
      <c r="B69" s="91" t="s">
        <v>161</v>
      </c>
      <c r="C69" s="91" t="s">
        <v>103</v>
      </c>
      <c r="D69" s="91" t="s">
        <v>104</v>
      </c>
      <c r="E69" s="91" t="s">
        <v>105</v>
      </c>
      <c r="F69" s="91" t="s">
        <v>106</v>
      </c>
      <c r="G69" s="91" t="s">
        <v>107</v>
      </c>
      <c r="H69" s="91" t="s">
        <v>104</v>
      </c>
    </row>
    <row r="70" spans="1:8" x14ac:dyDescent="0.3">
      <c r="A70" s="91" t="s">
        <v>58</v>
      </c>
      <c r="B70" s="91" t="s">
        <v>162</v>
      </c>
      <c r="C70" s="91" t="s">
        <v>103</v>
      </c>
      <c r="D70" s="91" t="s">
        <v>104</v>
      </c>
      <c r="E70" s="91" t="s">
        <v>105</v>
      </c>
      <c r="F70" s="91" t="s">
        <v>106</v>
      </c>
      <c r="G70" s="91" t="s">
        <v>107</v>
      </c>
      <c r="H70" s="91" t="s">
        <v>104</v>
      </c>
    </row>
    <row r="71" spans="1:8" x14ac:dyDescent="0.3">
      <c r="A71" s="91" t="s">
        <v>58</v>
      </c>
      <c r="B71" s="91" t="s">
        <v>163</v>
      </c>
      <c r="C71" s="91" t="s">
        <v>103</v>
      </c>
      <c r="D71" s="91" t="s">
        <v>104</v>
      </c>
      <c r="E71" s="91" t="s">
        <v>105</v>
      </c>
      <c r="F71" s="91" t="s">
        <v>106</v>
      </c>
      <c r="G71" s="91" t="s">
        <v>107</v>
      </c>
      <c r="H71" s="91" t="s">
        <v>104</v>
      </c>
    </row>
    <row r="72" spans="1:8" x14ac:dyDescent="0.3">
      <c r="A72" s="91" t="s">
        <v>58</v>
      </c>
      <c r="B72" s="91" t="s">
        <v>164</v>
      </c>
      <c r="C72" s="91" t="s">
        <v>103</v>
      </c>
      <c r="D72" s="91" t="s">
        <v>104</v>
      </c>
      <c r="E72" s="91" t="s">
        <v>105</v>
      </c>
      <c r="F72" s="91" t="s">
        <v>106</v>
      </c>
      <c r="G72" s="91" t="s">
        <v>107</v>
      </c>
      <c r="H72" s="91" t="s">
        <v>104</v>
      </c>
    </row>
    <row r="73" spans="1:8" x14ac:dyDescent="0.3">
      <c r="A73" s="91" t="s">
        <v>58</v>
      </c>
      <c r="B73" s="91" t="s">
        <v>165</v>
      </c>
      <c r="C73" s="91" t="s">
        <v>103</v>
      </c>
      <c r="D73" s="91" t="s">
        <v>104</v>
      </c>
      <c r="E73" s="91" t="s">
        <v>105</v>
      </c>
      <c r="F73" s="91" t="s">
        <v>106</v>
      </c>
      <c r="G73" s="91" t="s">
        <v>107</v>
      </c>
      <c r="H73" s="91" t="s">
        <v>104</v>
      </c>
    </row>
    <row r="74" spans="1:8" x14ac:dyDescent="0.3">
      <c r="A74" s="91" t="s">
        <v>58</v>
      </c>
      <c r="B74" s="91" t="s">
        <v>166</v>
      </c>
      <c r="C74" s="91" t="s">
        <v>103</v>
      </c>
      <c r="D74" s="91" t="s">
        <v>104</v>
      </c>
      <c r="E74" s="91" t="s">
        <v>105</v>
      </c>
      <c r="F74" s="91" t="s">
        <v>106</v>
      </c>
      <c r="G74" s="91" t="s">
        <v>107</v>
      </c>
      <c r="H74" s="91" t="s">
        <v>104</v>
      </c>
    </row>
    <row r="75" spans="1:8" x14ac:dyDescent="0.3">
      <c r="A75" s="91" t="s">
        <v>58</v>
      </c>
      <c r="B75" s="91" t="s">
        <v>167</v>
      </c>
      <c r="C75" s="91" t="s">
        <v>103</v>
      </c>
      <c r="D75" s="91" t="s">
        <v>104</v>
      </c>
      <c r="E75" s="91" t="s">
        <v>105</v>
      </c>
      <c r="F75" s="91" t="s">
        <v>106</v>
      </c>
      <c r="G75" s="91" t="s">
        <v>107</v>
      </c>
      <c r="H75" s="91" t="s">
        <v>104</v>
      </c>
    </row>
    <row r="76" spans="1:8" x14ac:dyDescent="0.3">
      <c r="A76" s="91" t="s">
        <v>58</v>
      </c>
      <c r="B76" s="91" t="s">
        <v>168</v>
      </c>
      <c r="C76" s="91" t="s">
        <v>103</v>
      </c>
      <c r="D76" s="91" t="s">
        <v>104</v>
      </c>
      <c r="E76" s="91" t="s">
        <v>105</v>
      </c>
      <c r="F76" s="91" t="s">
        <v>106</v>
      </c>
      <c r="G76" s="91" t="s">
        <v>107</v>
      </c>
      <c r="H76" s="91" t="s">
        <v>104</v>
      </c>
    </row>
    <row r="77" spans="1:8" x14ac:dyDescent="0.3">
      <c r="A77" s="91" t="s">
        <v>58</v>
      </c>
      <c r="B77" s="91" t="s">
        <v>169</v>
      </c>
      <c r="C77" s="91" t="s">
        <v>103</v>
      </c>
      <c r="D77" s="91" t="s">
        <v>104</v>
      </c>
      <c r="E77" s="91" t="s">
        <v>105</v>
      </c>
      <c r="F77" s="91" t="s">
        <v>106</v>
      </c>
      <c r="G77" s="91" t="s">
        <v>107</v>
      </c>
      <c r="H77" s="91" t="s">
        <v>104</v>
      </c>
    </row>
    <row r="78" spans="1:8" x14ac:dyDescent="0.3">
      <c r="A78" s="91" t="s">
        <v>58</v>
      </c>
      <c r="B78" s="91" t="s">
        <v>170</v>
      </c>
      <c r="C78" s="91" t="s">
        <v>103</v>
      </c>
      <c r="D78" s="91" t="s">
        <v>104</v>
      </c>
      <c r="E78" s="91" t="s">
        <v>105</v>
      </c>
      <c r="F78" s="91" t="s">
        <v>106</v>
      </c>
      <c r="G78" s="91" t="s">
        <v>107</v>
      </c>
      <c r="H78" s="91" t="s">
        <v>104</v>
      </c>
    </row>
    <row r="79" spans="1:8" x14ac:dyDescent="0.3">
      <c r="A79" s="91" t="s">
        <v>58</v>
      </c>
      <c r="B79" s="91" t="s">
        <v>171</v>
      </c>
      <c r="C79" s="91" t="s">
        <v>103</v>
      </c>
      <c r="D79" s="91" t="s">
        <v>104</v>
      </c>
      <c r="E79" s="91" t="s">
        <v>105</v>
      </c>
      <c r="F79" s="91" t="s">
        <v>106</v>
      </c>
      <c r="G79" s="91" t="s">
        <v>107</v>
      </c>
      <c r="H79" s="91" t="s">
        <v>104</v>
      </c>
    </row>
    <row r="80" spans="1:8" x14ac:dyDescent="0.3">
      <c r="A80" s="91" t="s">
        <v>58</v>
      </c>
      <c r="B80" s="91" t="s">
        <v>172</v>
      </c>
      <c r="C80" s="91" t="s">
        <v>103</v>
      </c>
      <c r="D80" s="91" t="s">
        <v>104</v>
      </c>
      <c r="E80" s="91" t="s">
        <v>105</v>
      </c>
      <c r="F80" s="91" t="s">
        <v>106</v>
      </c>
      <c r="G80" s="91" t="s">
        <v>107</v>
      </c>
      <c r="H80" s="91" t="s">
        <v>104</v>
      </c>
    </row>
    <row r="81" spans="1:8" x14ac:dyDescent="0.3">
      <c r="A81" s="91" t="s">
        <v>58</v>
      </c>
      <c r="B81" s="91" t="s">
        <v>173</v>
      </c>
      <c r="C81" s="91" t="s">
        <v>103</v>
      </c>
      <c r="D81" s="91" t="s">
        <v>104</v>
      </c>
      <c r="E81" s="91" t="s">
        <v>105</v>
      </c>
      <c r="F81" s="91" t="s">
        <v>106</v>
      </c>
      <c r="G81" s="91" t="s">
        <v>107</v>
      </c>
      <c r="H81" s="91" t="s">
        <v>104</v>
      </c>
    </row>
    <row r="82" spans="1:8" x14ac:dyDescent="0.3">
      <c r="A82" s="91" t="s">
        <v>58</v>
      </c>
      <c r="B82" s="91" t="s">
        <v>174</v>
      </c>
      <c r="C82" s="91" t="s">
        <v>103</v>
      </c>
      <c r="D82" s="91" t="s">
        <v>104</v>
      </c>
      <c r="E82" s="91" t="s">
        <v>105</v>
      </c>
      <c r="F82" s="91" t="s">
        <v>106</v>
      </c>
      <c r="G82" s="91" t="s">
        <v>107</v>
      </c>
      <c r="H82" s="91" t="s">
        <v>104</v>
      </c>
    </row>
    <row r="83" spans="1:8" x14ac:dyDescent="0.3">
      <c r="A83" s="91" t="s">
        <v>58</v>
      </c>
      <c r="B83" s="91" t="s">
        <v>175</v>
      </c>
      <c r="C83" s="91" t="s">
        <v>103</v>
      </c>
      <c r="D83" s="91" t="s">
        <v>104</v>
      </c>
      <c r="E83" s="91" t="s">
        <v>105</v>
      </c>
      <c r="F83" s="91" t="s">
        <v>106</v>
      </c>
      <c r="G83" s="91" t="s">
        <v>107</v>
      </c>
      <c r="H83" s="91" t="s">
        <v>104</v>
      </c>
    </row>
    <row r="84" spans="1:8" x14ac:dyDescent="0.3">
      <c r="A84" s="91" t="s">
        <v>58</v>
      </c>
      <c r="B84" s="91" t="s">
        <v>176</v>
      </c>
      <c r="C84" s="91" t="s">
        <v>103</v>
      </c>
      <c r="D84" s="91" t="s">
        <v>104</v>
      </c>
      <c r="E84" s="91" t="s">
        <v>105</v>
      </c>
      <c r="F84" s="91" t="s">
        <v>106</v>
      </c>
      <c r="G84" s="91" t="s">
        <v>107</v>
      </c>
      <c r="H84" s="91" t="s">
        <v>104</v>
      </c>
    </row>
    <row r="85" spans="1:8" x14ac:dyDescent="0.3">
      <c r="A85" s="91" t="s">
        <v>58</v>
      </c>
      <c r="B85" s="91" t="s">
        <v>177</v>
      </c>
      <c r="C85" s="91" t="s">
        <v>103</v>
      </c>
      <c r="D85" s="91" t="s">
        <v>104</v>
      </c>
      <c r="E85" s="91" t="s">
        <v>105</v>
      </c>
      <c r="F85" s="91" t="s">
        <v>106</v>
      </c>
      <c r="G85" s="91" t="s">
        <v>107</v>
      </c>
      <c r="H85" s="91" t="s">
        <v>104</v>
      </c>
    </row>
    <row r="86" spans="1:8" x14ac:dyDescent="0.3">
      <c r="A86" s="91" t="s">
        <v>58</v>
      </c>
      <c r="B86" s="91" t="s">
        <v>178</v>
      </c>
      <c r="C86" s="91" t="s">
        <v>103</v>
      </c>
      <c r="D86" s="91" t="s">
        <v>104</v>
      </c>
      <c r="E86" s="91" t="s">
        <v>105</v>
      </c>
      <c r="F86" s="91" t="s">
        <v>106</v>
      </c>
      <c r="G86" s="91" t="s">
        <v>107</v>
      </c>
      <c r="H86" s="91" t="s">
        <v>104</v>
      </c>
    </row>
    <row r="87" spans="1:8" x14ac:dyDescent="0.3">
      <c r="A87" s="91" t="s">
        <v>58</v>
      </c>
      <c r="B87" s="91" t="s">
        <v>179</v>
      </c>
      <c r="C87" s="91" t="s">
        <v>103</v>
      </c>
      <c r="D87" s="91" t="s">
        <v>104</v>
      </c>
      <c r="E87" s="91" t="s">
        <v>105</v>
      </c>
      <c r="F87" s="91" t="s">
        <v>106</v>
      </c>
      <c r="G87" s="91" t="s">
        <v>107</v>
      </c>
      <c r="H87" s="91" t="s">
        <v>104</v>
      </c>
    </row>
    <row r="88" spans="1:8" x14ac:dyDescent="0.3">
      <c r="A88" s="91" t="s">
        <v>58</v>
      </c>
      <c r="B88" s="91" t="s">
        <v>180</v>
      </c>
      <c r="C88" s="91" t="s">
        <v>103</v>
      </c>
      <c r="D88" s="91" t="s">
        <v>104</v>
      </c>
      <c r="E88" s="91" t="s">
        <v>105</v>
      </c>
      <c r="F88" s="91" t="s">
        <v>106</v>
      </c>
      <c r="G88" s="91" t="s">
        <v>107</v>
      </c>
      <c r="H88" s="91" t="s">
        <v>104</v>
      </c>
    </row>
    <row r="89" spans="1:8" x14ac:dyDescent="0.3">
      <c r="A89" s="91" t="s">
        <v>58</v>
      </c>
      <c r="B89" s="91" t="s">
        <v>181</v>
      </c>
      <c r="C89" s="91" t="s">
        <v>103</v>
      </c>
      <c r="D89" s="91" t="s">
        <v>104</v>
      </c>
      <c r="E89" s="91" t="s">
        <v>105</v>
      </c>
      <c r="F89" s="91" t="s">
        <v>106</v>
      </c>
      <c r="G89" s="91" t="s">
        <v>107</v>
      </c>
      <c r="H89" s="91" t="s">
        <v>104</v>
      </c>
    </row>
    <row r="90" spans="1:8" x14ac:dyDescent="0.3">
      <c r="A90" s="91" t="s">
        <v>58</v>
      </c>
      <c r="B90" s="91" t="s">
        <v>182</v>
      </c>
      <c r="C90" s="91" t="s">
        <v>103</v>
      </c>
      <c r="D90" s="91" t="s">
        <v>104</v>
      </c>
      <c r="E90" s="91" t="s">
        <v>105</v>
      </c>
      <c r="F90" s="91" t="s">
        <v>106</v>
      </c>
      <c r="G90" s="91" t="s">
        <v>107</v>
      </c>
      <c r="H90" s="91" t="s">
        <v>104</v>
      </c>
    </row>
    <row r="91" spans="1:8" x14ac:dyDescent="0.3">
      <c r="A91" s="91" t="s">
        <v>58</v>
      </c>
      <c r="B91" s="91" t="s">
        <v>183</v>
      </c>
      <c r="C91" s="91" t="s">
        <v>103</v>
      </c>
      <c r="D91" s="91" t="s">
        <v>104</v>
      </c>
      <c r="E91" s="91" t="s">
        <v>105</v>
      </c>
      <c r="F91" s="91" t="s">
        <v>106</v>
      </c>
      <c r="G91" s="91" t="s">
        <v>107</v>
      </c>
      <c r="H91" s="91" t="s">
        <v>104</v>
      </c>
    </row>
    <row r="92" spans="1:8" x14ac:dyDescent="0.3">
      <c r="A92" s="91" t="s">
        <v>58</v>
      </c>
      <c r="B92" s="91" t="s">
        <v>184</v>
      </c>
      <c r="C92" s="91" t="s">
        <v>103</v>
      </c>
      <c r="D92" s="91" t="s">
        <v>104</v>
      </c>
      <c r="E92" s="91" t="s">
        <v>105</v>
      </c>
      <c r="F92" s="91" t="s">
        <v>106</v>
      </c>
      <c r="G92" s="91" t="s">
        <v>107</v>
      </c>
      <c r="H92" s="91" t="s">
        <v>104</v>
      </c>
    </row>
    <row r="93" spans="1:8" x14ac:dyDescent="0.3">
      <c r="A93" s="91" t="s">
        <v>58</v>
      </c>
      <c r="B93" s="91" t="s">
        <v>185</v>
      </c>
      <c r="C93" s="91" t="s">
        <v>103</v>
      </c>
      <c r="D93" s="91" t="s">
        <v>104</v>
      </c>
      <c r="E93" s="91" t="s">
        <v>105</v>
      </c>
      <c r="F93" s="91" t="s">
        <v>106</v>
      </c>
      <c r="G93" s="91" t="s">
        <v>107</v>
      </c>
      <c r="H93" s="91" t="s">
        <v>104</v>
      </c>
    </row>
    <row r="94" spans="1:8" x14ac:dyDescent="0.3">
      <c r="A94" s="91" t="s">
        <v>58</v>
      </c>
      <c r="B94" s="91" t="s">
        <v>186</v>
      </c>
      <c r="C94" s="91" t="s">
        <v>103</v>
      </c>
      <c r="D94" s="91" t="s">
        <v>104</v>
      </c>
      <c r="E94" s="91" t="s">
        <v>105</v>
      </c>
      <c r="F94" s="91" t="s">
        <v>106</v>
      </c>
      <c r="G94" s="91" t="s">
        <v>107</v>
      </c>
      <c r="H94" s="91" t="s">
        <v>104</v>
      </c>
    </row>
    <row r="95" spans="1:8" x14ac:dyDescent="0.3">
      <c r="A95" s="91" t="s">
        <v>58</v>
      </c>
      <c r="B95" s="91" t="s">
        <v>187</v>
      </c>
      <c r="C95" s="91" t="s">
        <v>103</v>
      </c>
      <c r="D95" s="91" t="s">
        <v>104</v>
      </c>
      <c r="E95" s="91" t="s">
        <v>105</v>
      </c>
      <c r="F95" s="91" t="s">
        <v>106</v>
      </c>
      <c r="G95" s="91" t="s">
        <v>107</v>
      </c>
      <c r="H95" s="91" t="s">
        <v>104</v>
      </c>
    </row>
    <row r="96" spans="1:8" x14ac:dyDescent="0.3">
      <c r="A96" s="91" t="s">
        <v>58</v>
      </c>
      <c r="B96" s="91" t="s">
        <v>188</v>
      </c>
      <c r="C96" s="91" t="s">
        <v>103</v>
      </c>
      <c r="D96" s="91" t="s">
        <v>104</v>
      </c>
      <c r="E96" s="91" t="s">
        <v>105</v>
      </c>
      <c r="F96" s="91" t="s">
        <v>106</v>
      </c>
      <c r="G96" s="91" t="s">
        <v>107</v>
      </c>
      <c r="H96" s="91" t="s">
        <v>104</v>
      </c>
    </row>
    <row r="97" spans="1:8" x14ac:dyDescent="0.3">
      <c r="A97" s="91" t="s">
        <v>58</v>
      </c>
      <c r="B97" s="91" t="s">
        <v>189</v>
      </c>
      <c r="C97" s="91" t="s">
        <v>103</v>
      </c>
      <c r="D97" s="91" t="s">
        <v>104</v>
      </c>
      <c r="E97" s="91" t="s">
        <v>105</v>
      </c>
      <c r="F97" s="91" t="s">
        <v>106</v>
      </c>
      <c r="G97" s="91" t="s">
        <v>107</v>
      </c>
      <c r="H97" s="91" t="s">
        <v>104</v>
      </c>
    </row>
    <row r="98" spans="1:8" x14ac:dyDescent="0.3">
      <c r="A98" s="91" t="s">
        <v>58</v>
      </c>
      <c r="B98" s="91" t="s">
        <v>190</v>
      </c>
      <c r="C98" s="91" t="s">
        <v>103</v>
      </c>
      <c r="D98" s="91" t="s">
        <v>104</v>
      </c>
      <c r="E98" s="91" t="s">
        <v>105</v>
      </c>
      <c r="F98" s="91" t="s">
        <v>106</v>
      </c>
      <c r="G98" s="91" t="s">
        <v>107</v>
      </c>
      <c r="H98" s="91" t="s">
        <v>104</v>
      </c>
    </row>
    <row r="99" spans="1:8" x14ac:dyDescent="0.3">
      <c r="A99" s="91" t="s">
        <v>58</v>
      </c>
      <c r="B99" s="91" t="s">
        <v>191</v>
      </c>
      <c r="C99" s="91" t="s">
        <v>103</v>
      </c>
      <c r="D99" s="91" t="s">
        <v>104</v>
      </c>
      <c r="E99" s="91" t="s">
        <v>105</v>
      </c>
      <c r="F99" s="91" t="s">
        <v>106</v>
      </c>
      <c r="G99" s="91" t="s">
        <v>107</v>
      </c>
      <c r="H99" s="91" t="s">
        <v>104</v>
      </c>
    </row>
    <row r="100" spans="1:8" x14ac:dyDescent="0.3">
      <c r="A100" s="91" t="s">
        <v>58</v>
      </c>
      <c r="B100" s="91" t="s">
        <v>192</v>
      </c>
      <c r="C100" s="91" t="s">
        <v>103</v>
      </c>
      <c r="D100" s="91" t="s">
        <v>104</v>
      </c>
      <c r="E100" s="91" t="s">
        <v>105</v>
      </c>
      <c r="F100" s="91" t="s">
        <v>106</v>
      </c>
      <c r="G100" s="91" t="s">
        <v>107</v>
      </c>
      <c r="H100" s="91" t="s">
        <v>104</v>
      </c>
    </row>
    <row r="101" spans="1:8" x14ac:dyDescent="0.3">
      <c r="A101" s="91" t="s">
        <v>58</v>
      </c>
      <c r="B101" s="91" t="s">
        <v>193</v>
      </c>
      <c r="C101" s="91" t="s">
        <v>103</v>
      </c>
      <c r="D101" s="91" t="s">
        <v>104</v>
      </c>
      <c r="E101" s="91" t="s">
        <v>105</v>
      </c>
      <c r="F101" s="91" t="s">
        <v>106</v>
      </c>
      <c r="G101" s="91" t="s">
        <v>107</v>
      </c>
      <c r="H101" s="91" t="s">
        <v>104</v>
      </c>
    </row>
    <row r="102" spans="1:8" x14ac:dyDescent="0.3">
      <c r="A102" s="91" t="s">
        <v>58</v>
      </c>
      <c r="B102" s="91" t="s">
        <v>194</v>
      </c>
      <c r="C102" s="91" t="s">
        <v>103</v>
      </c>
      <c r="D102" s="91" t="s">
        <v>104</v>
      </c>
      <c r="E102" s="91" t="s">
        <v>105</v>
      </c>
      <c r="F102" s="91" t="s">
        <v>106</v>
      </c>
      <c r="G102" s="91" t="s">
        <v>107</v>
      </c>
      <c r="H102" s="91" t="s">
        <v>104</v>
      </c>
    </row>
    <row r="103" spans="1:8" x14ac:dyDescent="0.3">
      <c r="A103" s="91" t="s">
        <v>58</v>
      </c>
      <c r="B103" s="91" t="s">
        <v>195</v>
      </c>
      <c r="C103" s="91" t="s">
        <v>103</v>
      </c>
      <c r="D103" s="91" t="s">
        <v>104</v>
      </c>
      <c r="E103" s="91" t="s">
        <v>105</v>
      </c>
      <c r="F103" s="91" t="s">
        <v>106</v>
      </c>
      <c r="G103" s="91" t="s">
        <v>107</v>
      </c>
      <c r="H103" s="91" t="s">
        <v>104</v>
      </c>
    </row>
    <row r="104" spans="1:8" x14ac:dyDescent="0.3">
      <c r="A104" s="91" t="s">
        <v>59</v>
      </c>
      <c r="B104" s="91" t="s">
        <v>196</v>
      </c>
      <c r="C104" s="91" t="s">
        <v>103</v>
      </c>
      <c r="D104" s="91" t="s">
        <v>104</v>
      </c>
      <c r="E104" s="91" t="s">
        <v>105</v>
      </c>
      <c r="F104" s="91" t="s">
        <v>106</v>
      </c>
      <c r="G104" s="91" t="s">
        <v>107</v>
      </c>
      <c r="H104" s="91" t="s">
        <v>104</v>
      </c>
    </row>
    <row r="105" spans="1:8" x14ac:dyDescent="0.3">
      <c r="A105" s="91" t="s">
        <v>59</v>
      </c>
      <c r="B105" s="91" t="s">
        <v>197</v>
      </c>
      <c r="C105" s="91" t="s">
        <v>103</v>
      </c>
      <c r="D105" s="91" t="s">
        <v>104</v>
      </c>
      <c r="E105" s="91" t="s">
        <v>105</v>
      </c>
      <c r="F105" s="91" t="s">
        <v>106</v>
      </c>
      <c r="G105" s="91" t="s">
        <v>107</v>
      </c>
      <c r="H105" s="91" t="s">
        <v>104</v>
      </c>
    </row>
    <row r="106" spans="1:8" x14ac:dyDescent="0.3">
      <c r="A106" s="91" t="s">
        <v>59</v>
      </c>
      <c r="B106" s="91" t="s">
        <v>198</v>
      </c>
      <c r="C106" s="91" t="s">
        <v>103</v>
      </c>
      <c r="D106" s="91" t="s">
        <v>104</v>
      </c>
      <c r="E106" s="91" t="s">
        <v>105</v>
      </c>
      <c r="F106" s="91" t="s">
        <v>106</v>
      </c>
      <c r="G106" s="91" t="s">
        <v>107</v>
      </c>
      <c r="H106" s="91" t="s">
        <v>104</v>
      </c>
    </row>
    <row r="107" spans="1:8" x14ac:dyDescent="0.3">
      <c r="A107" s="91" t="s">
        <v>59</v>
      </c>
      <c r="B107" s="91" t="s">
        <v>199</v>
      </c>
      <c r="C107" s="91" t="s">
        <v>103</v>
      </c>
      <c r="D107" s="91" t="s">
        <v>104</v>
      </c>
      <c r="E107" s="91" t="s">
        <v>105</v>
      </c>
      <c r="F107" s="91" t="s">
        <v>106</v>
      </c>
      <c r="G107" s="91" t="s">
        <v>107</v>
      </c>
      <c r="H107" s="91" t="s">
        <v>104</v>
      </c>
    </row>
    <row r="108" spans="1:8" x14ac:dyDescent="0.3">
      <c r="A108" s="91" t="s">
        <v>59</v>
      </c>
      <c r="B108" s="91" t="s">
        <v>200</v>
      </c>
      <c r="C108" s="91" t="s">
        <v>103</v>
      </c>
      <c r="D108" s="91" t="s">
        <v>104</v>
      </c>
      <c r="E108" s="91" t="s">
        <v>105</v>
      </c>
      <c r="F108" s="91" t="s">
        <v>106</v>
      </c>
      <c r="G108" s="91" t="s">
        <v>107</v>
      </c>
      <c r="H108" s="91" t="s">
        <v>104</v>
      </c>
    </row>
    <row r="109" spans="1:8" x14ac:dyDescent="0.3">
      <c r="A109" s="91" t="s">
        <v>59</v>
      </c>
      <c r="B109" s="91" t="s">
        <v>201</v>
      </c>
      <c r="C109" s="91" t="s">
        <v>103</v>
      </c>
      <c r="D109" s="91" t="s">
        <v>104</v>
      </c>
      <c r="E109" s="91" t="s">
        <v>105</v>
      </c>
      <c r="F109" s="91" t="s">
        <v>106</v>
      </c>
      <c r="G109" s="91" t="s">
        <v>107</v>
      </c>
      <c r="H109" s="91" t="s">
        <v>104</v>
      </c>
    </row>
    <row r="110" spans="1:8" x14ac:dyDescent="0.3">
      <c r="A110" s="91" t="s">
        <v>59</v>
      </c>
      <c r="B110" s="91" t="s">
        <v>202</v>
      </c>
      <c r="C110" s="91" t="s">
        <v>103</v>
      </c>
      <c r="D110" s="91" t="s">
        <v>104</v>
      </c>
      <c r="E110" s="91" t="s">
        <v>105</v>
      </c>
      <c r="F110" s="91" t="s">
        <v>106</v>
      </c>
      <c r="G110" s="91" t="s">
        <v>107</v>
      </c>
      <c r="H110" s="91" t="s">
        <v>104</v>
      </c>
    </row>
    <row r="111" spans="1:8" x14ac:dyDescent="0.3">
      <c r="A111" s="91" t="s">
        <v>59</v>
      </c>
      <c r="B111" s="91" t="s">
        <v>203</v>
      </c>
      <c r="C111" s="91" t="s">
        <v>103</v>
      </c>
      <c r="D111" s="91" t="s">
        <v>104</v>
      </c>
      <c r="E111" s="91" t="s">
        <v>105</v>
      </c>
      <c r="F111" s="91" t="s">
        <v>106</v>
      </c>
      <c r="G111" s="91" t="s">
        <v>107</v>
      </c>
      <c r="H111" s="91" t="s">
        <v>104</v>
      </c>
    </row>
    <row r="112" spans="1:8" x14ac:dyDescent="0.3">
      <c r="A112" s="91" t="s">
        <v>59</v>
      </c>
      <c r="B112" s="91" t="s">
        <v>204</v>
      </c>
      <c r="C112" s="91" t="s">
        <v>103</v>
      </c>
      <c r="D112" s="91" t="s">
        <v>104</v>
      </c>
      <c r="E112" s="91" t="s">
        <v>105</v>
      </c>
      <c r="F112" s="91" t="s">
        <v>106</v>
      </c>
      <c r="G112" s="91" t="s">
        <v>107</v>
      </c>
      <c r="H112" s="91" t="s">
        <v>104</v>
      </c>
    </row>
    <row r="113" spans="1:8" x14ac:dyDescent="0.3">
      <c r="A113" s="91" t="s">
        <v>59</v>
      </c>
      <c r="B113" s="91" t="s">
        <v>205</v>
      </c>
      <c r="C113" s="91" t="s">
        <v>103</v>
      </c>
      <c r="D113" s="91" t="s">
        <v>104</v>
      </c>
      <c r="E113" s="91" t="s">
        <v>105</v>
      </c>
      <c r="F113" s="91" t="s">
        <v>106</v>
      </c>
      <c r="G113" s="91" t="s">
        <v>107</v>
      </c>
      <c r="H113" s="91" t="s">
        <v>104</v>
      </c>
    </row>
    <row r="114" spans="1:8" x14ac:dyDescent="0.3">
      <c r="A114" s="91" t="s">
        <v>59</v>
      </c>
      <c r="B114" s="91" t="s">
        <v>102</v>
      </c>
      <c r="C114" s="91" t="s">
        <v>103</v>
      </c>
      <c r="D114" s="91" t="s">
        <v>104</v>
      </c>
      <c r="E114" s="91" t="s">
        <v>105</v>
      </c>
      <c r="F114" s="91" t="s">
        <v>106</v>
      </c>
      <c r="G114" s="91" t="s">
        <v>107</v>
      </c>
      <c r="H114" s="91" t="s">
        <v>104</v>
      </c>
    </row>
    <row r="115" spans="1:8" x14ac:dyDescent="0.3">
      <c r="A115" s="91" t="s">
        <v>59</v>
      </c>
      <c r="B115" s="91" t="s">
        <v>206</v>
      </c>
      <c r="C115" s="91" t="s">
        <v>103</v>
      </c>
      <c r="D115" s="91" t="s">
        <v>104</v>
      </c>
      <c r="E115" s="91" t="s">
        <v>105</v>
      </c>
      <c r="F115" s="91" t="s">
        <v>106</v>
      </c>
      <c r="G115" s="91" t="s">
        <v>107</v>
      </c>
      <c r="H115" s="91" t="s">
        <v>104</v>
      </c>
    </row>
    <row r="116" spans="1:8" x14ac:dyDescent="0.3">
      <c r="A116" s="91" t="s">
        <v>59</v>
      </c>
      <c r="B116" s="91" t="s">
        <v>108</v>
      </c>
      <c r="C116" s="91" t="s">
        <v>103</v>
      </c>
      <c r="D116" s="91" t="s">
        <v>104</v>
      </c>
      <c r="E116" s="91" t="s">
        <v>105</v>
      </c>
      <c r="F116" s="91" t="s">
        <v>106</v>
      </c>
      <c r="G116" s="91" t="s">
        <v>107</v>
      </c>
      <c r="H116" s="91" t="s">
        <v>104</v>
      </c>
    </row>
    <row r="117" spans="1:8" x14ac:dyDescent="0.3">
      <c r="A117" s="91" t="s">
        <v>59</v>
      </c>
      <c r="B117" s="91" t="s">
        <v>109</v>
      </c>
      <c r="C117" s="91" t="s">
        <v>103</v>
      </c>
      <c r="D117" s="91" t="s">
        <v>104</v>
      </c>
      <c r="E117" s="91" t="s">
        <v>105</v>
      </c>
      <c r="F117" s="91" t="s">
        <v>106</v>
      </c>
      <c r="G117" s="91" t="s">
        <v>107</v>
      </c>
      <c r="H117" s="91" t="s">
        <v>104</v>
      </c>
    </row>
    <row r="118" spans="1:8" x14ac:dyDescent="0.3">
      <c r="A118" s="91" t="s">
        <v>59</v>
      </c>
      <c r="B118" s="91" t="s">
        <v>110</v>
      </c>
      <c r="C118" s="91" t="s">
        <v>103</v>
      </c>
      <c r="D118" s="91" t="s">
        <v>104</v>
      </c>
      <c r="E118" s="91" t="s">
        <v>105</v>
      </c>
      <c r="F118" s="91" t="s">
        <v>106</v>
      </c>
      <c r="G118" s="91" t="s">
        <v>107</v>
      </c>
      <c r="H118" s="91" t="s">
        <v>104</v>
      </c>
    </row>
    <row r="119" spans="1:8" x14ac:dyDescent="0.3">
      <c r="A119" s="91" t="s">
        <v>59</v>
      </c>
      <c r="B119" s="91" t="s">
        <v>111</v>
      </c>
      <c r="C119" s="91" t="s">
        <v>103</v>
      </c>
      <c r="D119" s="91" t="s">
        <v>104</v>
      </c>
      <c r="E119" s="91" t="s">
        <v>105</v>
      </c>
      <c r="F119" s="91" t="s">
        <v>106</v>
      </c>
      <c r="G119" s="91" t="s">
        <v>107</v>
      </c>
      <c r="H119" s="91" t="s">
        <v>104</v>
      </c>
    </row>
    <row r="120" spans="1:8" x14ac:dyDescent="0.3">
      <c r="A120" s="91" t="s">
        <v>59</v>
      </c>
      <c r="B120" s="91" t="s">
        <v>112</v>
      </c>
      <c r="C120" s="91" t="s">
        <v>103</v>
      </c>
      <c r="D120" s="91" t="s">
        <v>104</v>
      </c>
      <c r="E120" s="91" t="s">
        <v>105</v>
      </c>
      <c r="F120" s="91" t="s">
        <v>106</v>
      </c>
      <c r="G120" s="91" t="s">
        <v>107</v>
      </c>
      <c r="H120" s="91" t="s">
        <v>104</v>
      </c>
    </row>
    <row r="121" spans="1:8" x14ac:dyDescent="0.3">
      <c r="A121" s="91" t="s">
        <v>59</v>
      </c>
      <c r="B121" s="91" t="s">
        <v>113</v>
      </c>
      <c r="C121" s="91" t="s">
        <v>103</v>
      </c>
      <c r="D121" s="91" t="s">
        <v>104</v>
      </c>
      <c r="E121" s="91" t="s">
        <v>105</v>
      </c>
      <c r="F121" s="91" t="s">
        <v>106</v>
      </c>
      <c r="G121" s="91" t="s">
        <v>107</v>
      </c>
      <c r="H121" s="91" t="s">
        <v>104</v>
      </c>
    </row>
    <row r="122" spans="1:8" x14ac:dyDescent="0.3">
      <c r="A122" s="91" t="s">
        <v>59</v>
      </c>
      <c r="B122" s="91" t="s">
        <v>114</v>
      </c>
      <c r="C122" s="91" t="s">
        <v>103</v>
      </c>
      <c r="D122" s="91" t="s">
        <v>104</v>
      </c>
      <c r="E122" s="91" t="s">
        <v>105</v>
      </c>
      <c r="F122" s="91" t="s">
        <v>106</v>
      </c>
      <c r="G122" s="91" t="s">
        <v>107</v>
      </c>
      <c r="H122" s="91" t="s">
        <v>104</v>
      </c>
    </row>
    <row r="123" spans="1:8" x14ac:dyDescent="0.3">
      <c r="A123" s="91" t="s">
        <v>59</v>
      </c>
      <c r="B123" s="91" t="s">
        <v>115</v>
      </c>
      <c r="C123" s="91" t="s">
        <v>103</v>
      </c>
      <c r="D123" s="91" t="s">
        <v>104</v>
      </c>
      <c r="E123" s="91" t="s">
        <v>105</v>
      </c>
      <c r="F123" s="91" t="s">
        <v>106</v>
      </c>
      <c r="G123" s="91" t="s">
        <v>107</v>
      </c>
      <c r="H123" s="91" t="s">
        <v>104</v>
      </c>
    </row>
    <row r="124" spans="1:8" x14ac:dyDescent="0.3">
      <c r="A124" s="91" t="s">
        <v>59</v>
      </c>
      <c r="B124" s="91" t="s">
        <v>116</v>
      </c>
      <c r="C124" s="91" t="s">
        <v>103</v>
      </c>
      <c r="D124" s="91" t="s">
        <v>104</v>
      </c>
      <c r="E124" s="91" t="s">
        <v>105</v>
      </c>
      <c r="F124" s="91" t="s">
        <v>106</v>
      </c>
      <c r="G124" s="91" t="s">
        <v>107</v>
      </c>
      <c r="H124" s="91" t="s">
        <v>104</v>
      </c>
    </row>
    <row r="125" spans="1:8" x14ac:dyDescent="0.3">
      <c r="A125" s="91" t="s">
        <v>59</v>
      </c>
      <c r="B125" s="91" t="s">
        <v>117</v>
      </c>
      <c r="C125" s="91" t="s">
        <v>103</v>
      </c>
      <c r="D125" s="91" t="s">
        <v>104</v>
      </c>
      <c r="E125" s="91" t="s">
        <v>105</v>
      </c>
      <c r="F125" s="91" t="s">
        <v>106</v>
      </c>
      <c r="G125" s="91" t="s">
        <v>107</v>
      </c>
      <c r="H125" s="91" t="s">
        <v>104</v>
      </c>
    </row>
    <row r="126" spans="1:8" x14ac:dyDescent="0.3">
      <c r="A126" s="91" t="s">
        <v>59</v>
      </c>
      <c r="B126" s="91" t="s">
        <v>118</v>
      </c>
      <c r="C126" s="91" t="s">
        <v>103</v>
      </c>
      <c r="D126" s="91" t="s">
        <v>104</v>
      </c>
      <c r="E126" s="91" t="s">
        <v>105</v>
      </c>
      <c r="F126" s="91" t="s">
        <v>106</v>
      </c>
      <c r="G126" s="91" t="s">
        <v>107</v>
      </c>
      <c r="H126" s="91" t="s">
        <v>104</v>
      </c>
    </row>
    <row r="127" spans="1:8" x14ac:dyDescent="0.3">
      <c r="A127" s="91" t="s">
        <v>59</v>
      </c>
      <c r="B127" s="91" t="s">
        <v>119</v>
      </c>
      <c r="C127" s="91" t="s">
        <v>103</v>
      </c>
      <c r="D127" s="91" t="s">
        <v>104</v>
      </c>
      <c r="E127" s="91" t="s">
        <v>105</v>
      </c>
      <c r="F127" s="91" t="s">
        <v>106</v>
      </c>
      <c r="G127" s="91" t="s">
        <v>107</v>
      </c>
      <c r="H127" s="91" t="s">
        <v>104</v>
      </c>
    </row>
    <row r="128" spans="1:8" x14ac:dyDescent="0.3">
      <c r="A128" s="91" t="s">
        <v>59</v>
      </c>
      <c r="B128" s="91" t="s">
        <v>120</v>
      </c>
      <c r="C128" s="91" t="s">
        <v>103</v>
      </c>
      <c r="D128" s="91" t="s">
        <v>104</v>
      </c>
      <c r="E128" s="91" t="s">
        <v>105</v>
      </c>
      <c r="F128" s="91" t="s">
        <v>106</v>
      </c>
      <c r="G128" s="91" t="s">
        <v>107</v>
      </c>
      <c r="H128" s="91" t="s">
        <v>104</v>
      </c>
    </row>
    <row r="129" spans="1:8" x14ac:dyDescent="0.3">
      <c r="A129" s="91" t="s">
        <v>59</v>
      </c>
      <c r="B129" s="91" t="s">
        <v>121</v>
      </c>
      <c r="C129" s="91" t="s">
        <v>103</v>
      </c>
      <c r="D129" s="91" t="s">
        <v>104</v>
      </c>
      <c r="E129" s="91" t="s">
        <v>105</v>
      </c>
      <c r="F129" s="91" t="s">
        <v>106</v>
      </c>
      <c r="G129" s="91" t="s">
        <v>107</v>
      </c>
      <c r="H129" s="91" t="s">
        <v>104</v>
      </c>
    </row>
    <row r="130" spans="1:8" x14ac:dyDescent="0.3">
      <c r="A130" s="91" t="s">
        <v>59</v>
      </c>
      <c r="B130" s="91" t="s">
        <v>122</v>
      </c>
      <c r="C130" s="91" t="s">
        <v>103</v>
      </c>
      <c r="D130" s="91" t="s">
        <v>104</v>
      </c>
      <c r="E130" s="91" t="s">
        <v>105</v>
      </c>
      <c r="F130" s="91" t="s">
        <v>106</v>
      </c>
      <c r="G130" s="91" t="s">
        <v>107</v>
      </c>
      <c r="H130" s="91" t="s">
        <v>104</v>
      </c>
    </row>
    <row r="131" spans="1:8" x14ac:dyDescent="0.3">
      <c r="A131" s="91" t="s">
        <v>59</v>
      </c>
      <c r="B131" s="91" t="s">
        <v>123</v>
      </c>
      <c r="C131" s="91" t="s">
        <v>103</v>
      </c>
      <c r="D131" s="91" t="s">
        <v>104</v>
      </c>
      <c r="E131" s="91" t="s">
        <v>105</v>
      </c>
      <c r="F131" s="91" t="s">
        <v>106</v>
      </c>
      <c r="G131" s="91" t="s">
        <v>107</v>
      </c>
      <c r="H131" s="91" t="s">
        <v>104</v>
      </c>
    </row>
    <row r="132" spans="1:8" x14ac:dyDescent="0.3">
      <c r="A132" s="91" t="s">
        <v>59</v>
      </c>
      <c r="B132" s="91" t="s">
        <v>124</v>
      </c>
      <c r="C132" s="91" t="s">
        <v>103</v>
      </c>
      <c r="D132" s="91" t="s">
        <v>104</v>
      </c>
      <c r="E132" s="91" t="s">
        <v>105</v>
      </c>
      <c r="F132" s="91" t="s">
        <v>106</v>
      </c>
      <c r="G132" s="91" t="s">
        <v>107</v>
      </c>
      <c r="H132" s="91" t="s">
        <v>104</v>
      </c>
    </row>
    <row r="133" spans="1:8" x14ac:dyDescent="0.3">
      <c r="A133" s="91" t="s">
        <v>59</v>
      </c>
      <c r="B133" s="91" t="s">
        <v>125</v>
      </c>
      <c r="C133" s="91" t="s">
        <v>103</v>
      </c>
      <c r="D133" s="91" t="s">
        <v>104</v>
      </c>
      <c r="E133" s="91" t="s">
        <v>105</v>
      </c>
      <c r="F133" s="91" t="s">
        <v>106</v>
      </c>
      <c r="G133" s="91" t="s">
        <v>107</v>
      </c>
      <c r="H133" s="91" t="s">
        <v>104</v>
      </c>
    </row>
    <row r="134" spans="1:8" x14ac:dyDescent="0.3">
      <c r="A134" s="91" t="s">
        <v>59</v>
      </c>
      <c r="B134" s="91" t="s">
        <v>126</v>
      </c>
      <c r="C134" s="91" t="s">
        <v>103</v>
      </c>
      <c r="D134" s="91" t="s">
        <v>104</v>
      </c>
      <c r="E134" s="91" t="s">
        <v>105</v>
      </c>
      <c r="F134" s="91" t="s">
        <v>106</v>
      </c>
      <c r="G134" s="91" t="s">
        <v>107</v>
      </c>
      <c r="H134" s="91" t="s">
        <v>104</v>
      </c>
    </row>
    <row r="135" spans="1:8" x14ac:dyDescent="0.3">
      <c r="A135" s="91" t="s">
        <v>59</v>
      </c>
      <c r="B135" s="91" t="s">
        <v>127</v>
      </c>
      <c r="C135" s="91" t="s">
        <v>103</v>
      </c>
      <c r="D135" s="91" t="s">
        <v>104</v>
      </c>
      <c r="E135" s="91" t="s">
        <v>105</v>
      </c>
      <c r="F135" s="91" t="s">
        <v>106</v>
      </c>
      <c r="G135" s="91" t="s">
        <v>107</v>
      </c>
      <c r="H135" s="91" t="s">
        <v>104</v>
      </c>
    </row>
    <row r="136" spans="1:8" x14ac:dyDescent="0.3">
      <c r="A136" s="91" t="s">
        <v>59</v>
      </c>
      <c r="B136" s="91" t="s">
        <v>128</v>
      </c>
      <c r="C136" s="91" t="s">
        <v>103</v>
      </c>
      <c r="D136" s="91" t="s">
        <v>104</v>
      </c>
      <c r="E136" s="91" t="s">
        <v>105</v>
      </c>
      <c r="F136" s="91" t="s">
        <v>106</v>
      </c>
      <c r="G136" s="91" t="s">
        <v>107</v>
      </c>
      <c r="H136" s="91" t="s">
        <v>104</v>
      </c>
    </row>
    <row r="137" spans="1:8" x14ac:dyDescent="0.3">
      <c r="A137" s="91" t="s">
        <v>59</v>
      </c>
      <c r="B137" s="91" t="s">
        <v>129</v>
      </c>
      <c r="C137" s="91" t="s">
        <v>103</v>
      </c>
      <c r="D137" s="91" t="s">
        <v>104</v>
      </c>
      <c r="E137" s="91" t="s">
        <v>105</v>
      </c>
      <c r="F137" s="91" t="s">
        <v>106</v>
      </c>
      <c r="G137" s="91" t="s">
        <v>107</v>
      </c>
      <c r="H137" s="91" t="s">
        <v>104</v>
      </c>
    </row>
    <row r="138" spans="1:8" x14ac:dyDescent="0.3">
      <c r="A138" s="91" t="s">
        <v>59</v>
      </c>
      <c r="B138" s="91" t="s">
        <v>130</v>
      </c>
      <c r="C138" s="91" t="s">
        <v>103</v>
      </c>
      <c r="D138" s="91" t="s">
        <v>104</v>
      </c>
      <c r="E138" s="91" t="s">
        <v>105</v>
      </c>
      <c r="F138" s="91" t="s">
        <v>106</v>
      </c>
      <c r="G138" s="91" t="s">
        <v>107</v>
      </c>
      <c r="H138" s="91" t="s">
        <v>104</v>
      </c>
    </row>
    <row r="139" spans="1:8" x14ac:dyDescent="0.3">
      <c r="A139" s="91" t="s">
        <v>59</v>
      </c>
      <c r="B139" s="91" t="s">
        <v>131</v>
      </c>
      <c r="C139" s="91" t="s">
        <v>103</v>
      </c>
      <c r="D139" s="91" t="s">
        <v>104</v>
      </c>
      <c r="E139" s="91" t="s">
        <v>105</v>
      </c>
      <c r="F139" s="91" t="s">
        <v>106</v>
      </c>
      <c r="G139" s="91" t="s">
        <v>107</v>
      </c>
      <c r="H139" s="91" t="s">
        <v>104</v>
      </c>
    </row>
    <row r="140" spans="1:8" x14ac:dyDescent="0.3">
      <c r="A140" s="91" t="s">
        <v>59</v>
      </c>
      <c r="B140" s="91" t="s">
        <v>132</v>
      </c>
      <c r="C140" s="91" t="s">
        <v>103</v>
      </c>
      <c r="D140" s="91" t="s">
        <v>104</v>
      </c>
      <c r="E140" s="91" t="s">
        <v>105</v>
      </c>
      <c r="F140" s="91" t="s">
        <v>106</v>
      </c>
      <c r="G140" s="91" t="s">
        <v>107</v>
      </c>
      <c r="H140" s="91" t="s">
        <v>104</v>
      </c>
    </row>
    <row r="141" spans="1:8" x14ac:dyDescent="0.3">
      <c r="A141" s="91" t="s">
        <v>59</v>
      </c>
      <c r="B141" s="91" t="s">
        <v>133</v>
      </c>
      <c r="C141" s="91" t="s">
        <v>103</v>
      </c>
      <c r="D141" s="91" t="s">
        <v>104</v>
      </c>
      <c r="E141" s="91" t="s">
        <v>105</v>
      </c>
      <c r="F141" s="91" t="s">
        <v>106</v>
      </c>
      <c r="G141" s="91" t="s">
        <v>107</v>
      </c>
      <c r="H141" s="91" t="s">
        <v>104</v>
      </c>
    </row>
    <row r="142" spans="1:8" x14ac:dyDescent="0.3">
      <c r="A142" s="91" t="s">
        <v>59</v>
      </c>
      <c r="B142" s="91" t="s">
        <v>134</v>
      </c>
      <c r="C142" s="91" t="s">
        <v>103</v>
      </c>
      <c r="D142" s="91" t="s">
        <v>104</v>
      </c>
      <c r="E142" s="91" t="s">
        <v>105</v>
      </c>
      <c r="F142" s="91" t="s">
        <v>106</v>
      </c>
      <c r="G142" s="91" t="s">
        <v>107</v>
      </c>
      <c r="H142" s="91" t="s">
        <v>104</v>
      </c>
    </row>
    <row r="143" spans="1:8" x14ac:dyDescent="0.3">
      <c r="A143" s="91" t="s">
        <v>59</v>
      </c>
      <c r="B143" s="91" t="s">
        <v>135</v>
      </c>
      <c r="C143" s="91" t="s">
        <v>103</v>
      </c>
      <c r="D143" s="91" t="s">
        <v>104</v>
      </c>
      <c r="E143" s="91" t="s">
        <v>105</v>
      </c>
      <c r="F143" s="91" t="s">
        <v>106</v>
      </c>
      <c r="G143" s="91" t="s">
        <v>107</v>
      </c>
      <c r="H143" s="91" t="s">
        <v>104</v>
      </c>
    </row>
    <row r="144" spans="1:8" x14ac:dyDescent="0.3">
      <c r="A144" s="91" t="s">
        <v>59</v>
      </c>
      <c r="B144" s="91" t="s">
        <v>136</v>
      </c>
      <c r="C144" s="91" t="s">
        <v>103</v>
      </c>
      <c r="D144" s="91" t="s">
        <v>104</v>
      </c>
      <c r="E144" s="91" t="s">
        <v>105</v>
      </c>
      <c r="F144" s="91" t="s">
        <v>106</v>
      </c>
      <c r="G144" s="91" t="s">
        <v>107</v>
      </c>
      <c r="H144" s="91" t="s">
        <v>104</v>
      </c>
    </row>
    <row r="145" spans="1:8" x14ac:dyDescent="0.3">
      <c r="A145" s="91" t="s">
        <v>59</v>
      </c>
      <c r="B145" s="91" t="s">
        <v>137</v>
      </c>
      <c r="C145" s="91" t="s">
        <v>103</v>
      </c>
      <c r="D145" s="91" t="s">
        <v>104</v>
      </c>
      <c r="E145" s="91" t="s">
        <v>105</v>
      </c>
      <c r="F145" s="91" t="s">
        <v>106</v>
      </c>
      <c r="G145" s="91" t="s">
        <v>107</v>
      </c>
      <c r="H145" s="91" t="s">
        <v>104</v>
      </c>
    </row>
    <row r="146" spans="1:8" x14ac:dyDescent="0.3">
      <c r="A146" s="91" t="s">
        <v>59</v>
      </c>
      <c r="B146" s="91" t="s">
        <v>138</v>
      </c>
      <c r="C146" s="91" t="s">
        <v>103</v>
      </c>
      <c r="D146" s="91" t="s">
        <v>104</v>
      </c>
      <c r="E146" s="91" t="s">
        <v>105</v>
      </c>
      <c r="F146" s="91" t="s">
        <v>106</v>
      </c>
      <c r="G146" s="91" t="s">
        <v>107</v>
      </c>
      <c r="H146" s="91" t="s">
        <v>104</v>
      </c>
    </row>
    <row r="147" spans="1:8" x14ac:dyDescent="0.3">
      <c r="A147" s="91" t="s">
        <v>59</v>
      </c>
      <c r="B147" s="91" t="s">
        <v>139</v>
      </c>
      <c r="C147" s="91" t="s">
        <v>103</v>
      </c>
      <c r="D147" s="91" t="s">
        <v>104</v>
      </c>
      <c r="E147" s="91" t="s">
        <v>105</v>
      </c>
      <c r="F147" s="91" t="s">
        <v>106</v>
      </c>
      <c r="G147" s="91" t="s">
        <v>107</v>
      </c>
      <c r="H147" s="91" t="s">
        <v>104</v>
      </c>
    </row>
    <row r="148" spans="1:8" x14ac:dyDescent="0.3">
      <c r="A148" s="91" t="s">
        <v>59</v>
      </c>
      <c r="B148" s="91" t="s">
        <v>140</v>
      </c>
      <c r="C148" s="91" t="s">
        <v>103</v>
      </c>
      <c r="D148" s="91" t="s">
        <v>104</v>
      </c>
      <c r="E148" s="91" t="s">
        <v>105</v>
      </c>
      <c r="F148" s="91" t="s">
        <v>106</v>
      </c>
      <c r="G148" s="91" t="s">
        <v>107</v>
      </c>
      <c r="H148" s="91" t="s">
        <v>104</v>
      </c>
    </row>
    <row r="149" spans="1:8" x14ac:dyDescent="0.3">
      <c r="A149" s="91" t="s">
        <v>59</v>
      </c>
      <c r="B149" s="91" t="s">
        <v>141</v>
      </c>
      <c r="C149" s="91" t="s">
        <v>103</v>
      </c>
      <c r="D149" s="91" t="s">
        <v>104</v>
      </c>
      <c r="E149" s="91" t="s">
        <v>105</v>
      </c>
      <c r="F149" s="91" t="s">
        <v>106</v>
      </c>
      <c r="G149" s="91" t="s">
        <v>107</v>
      </c>
      <c r="H149" s="91" t="s">
        <v>104</v>
      </c>
    </row>
    <row r="150" spans="1:8" x14ac:dyDescent="0.3">
      <c r="A150" s="91" t="s">
        <v>59</v>
      </c>
      <c r="B150" s="91" t="s">
        <v>142</v>
      </c>
      <c r="C150" s="91" t="s">
        <v>103</v>
      </c>
      <c r="D150" s="91" t="s">
        <v>104</v>
      </c>
      <c r="E150" s="91" t="s">
        <v>105</v>
      </c>
      <c r="F150" s="91" t="s">
        <v>106</v>
      </c>
      <c r="G150" s="91" t="s">
        <v>107</v>
      </c>
      <c r="H150" s="91" t="s">
        <v>104</v>
      </c>
    </row>
    <row r="151" spans="1:8" x14ac:dyDescent="0.3">
      <c r="A151" s="91" t="s">
        <v>59</v>
      </c>
      <c r="B151" s="91" t="s">
        <v>143</v>
      </c>
      <c r="C151" s="91" t="s">
        <v>103</v>
      </c>
      <c r="D151" s="91" t="s">
        <v>104</v>
      </c>
      <c r="E151" s="91" t="s">
        <v>105</v>
      </c>
      <c r="F151" s="91" t="s">
        <v>106</v>
      </c>
      <c r="G151" s="91" t="s">
        <v>107</v>
      </c>
      <c r="H151" s="91" t="s">
        <v>104</v>
      </c>
    </row>
    <row r="152" spans="1:8" x14ac:dyDescent="0.3">
      <c r="A152" s="91" t="s">
        <v>59</v>
      </c>
      <c r="B152" s="91" t="s">
        <v>144</v>
      </c>
      <c r="C152" s="91" t="s">
        <v>103</v>
      </c>
      <c r="D152" s="91" t="s">
        <v>104</v>
      </c>
      <c r="E152" s="91" t="s">
        <v>105</v>
      </c>
      <c r="F152" s="91" t="s">
        <v>106</v>
      </c>
      <c r="G152" s="91" t="s">
        <v>107</v>
      </c>
      <c r="H152" s="91" t="s">
        <v>104</v>
      </c>
    </row>
    <row r="153" spans="1:8" x14ac:dyDescent="0.3">
      <c r="A153" s="91" t="s">
        <v>59</v>
      </c>
      <c r="B153" s="91" t="s">
        <v>145</v>
      </c>
      <c r="C153" s="91" t="s">
        <v>103</v>
      </c>
      <c r="D153" s="91" t="s">
        <v>104</v>
      </c>
      <c r="E153" s="91" t="s">
        <v>105</v>
      </c>
      <c r="F153" s="91" t="s">
        <v>106</v>
      </c>
      <c r="G153" s="91" t="s">
        <v>107</v>
      </c>
      <c r="H153" s="91" t="s">
        <v>104</v>
      </c>
    </row>
    <row r="154" spans="1:8" x14ac:dyDescent="0.3">
      <c r="A154" s="91" t="s">
        <v>59</v>
      </c>
      <c r="B154" s="91" t="s">
        <v>146</v>
      </c>
      <c r="C154" s="91" t="s">
        <v>103</v>
      </c>
      <c r="D154" s="91" t="s">
        <v>104</v>
      </c>
      <c r="E154" s="91" t="s">
        <v>105</v>
      </c>
      <c r="F154" s="91" t="s">
        <v>106</v>
      </c>
      <c r="G154" s="91" t="s">
        <v>107</v>
      </c>
      <c r="H154" s="91" t="s">
        <v>104</v>
      </c>
    </row>
    <row r="155" spans="1:8" x14ac:dyDescent="0.3">
      <c r="A155" s="91" t="s">
        <v>59</v>
      </c>
      <c r="B155" s="91" t="s">
        <v>147</v>
      </c>
      <c r="C155" s="91" t="s">
        <v>103</v>
      </c>
      <c r="D155" s="91" t="s">
        <v>104</v>
      </c>
      <c r="E155" s="91" t="s">
        <v>105</v>
      </c>
      <c r="F155" s="91" t="s">
        <v>106</v>
      </c>
      <c r="G155" s="91" t="s">
        <v>107</v>
      </c>
      <c r="H155" s="91" t="s">
        <v>104</v>
      </c>
    </row>
    <row r="156" spans="1:8" x14ac:dyDescent="0.3">
      <c r="A156" s="91" t="s">
        <v>59</v>
      </c>
      <c r="B156" s="91" t="s">
        <v>148</v>
      </c>
      <c r="C156" s="91" t="s">
        <v>103</v>
      </c>
      <c r="D156" s="91" t="s">
        <v>104</v>
      </c>
      <c r="E156" s="91" t="s">
        <v>105</v>
      </c>
      <c r="F156" s="91" t="s">
        <v>106</v>
      </c>
      <c r="G156" s="91" t="s">
        <v>107</v>
      </c>
      <c r="H156" s="91" t="s">
        <v>104</v>
      </c>
    </row>
    <row r="157" spans="1:8" x14ac:dyDescent="0.3">
      <c r="A157" s="91" t="s">
        <v>59</v>
      </c>
      <c r="B157" s="91" t="s">
        <v>149</v>
      </c>
      <c r="C157" s="91" t="s">
        <v>103</v>
      </c>
      <c r="D157" s="91" t="s">
        <v>104</v>
      </c>
      <c r="E157" s="91" t="s">
        <v>105</v>
      </c>
      <c r="F157" s="91" t="s">
        <v>106</v>
      </c>
      <c r="G157" s="91" t="s">
        <v>107</v>
      </c>
      <c r="H157" s="91" t="s">
        <v>104</v>
      </c>
    </row>
    <row r="158" spans="1:8" x14ac:dyDescent="0.3">
      <c r="A158" s="91" t="s">
        <v>59</v>
      </c>
      <c r="B158" s="91" t="s">
        <v>150</v>
      </c>
      <c r="C158" s="91" t="s">
        <v>103</v>
      </c>
      <c r="D158" s="91" t="s">
        <v>104</v>
      </c>
      <c r="E158" s="91" t="s">
        <v>105</v>
      </c>
      <c r="F158" s="91" t="s">
        <v>106</v>
      </c>
      <c r="G158" s="91" t="s">
        <v>107</v>
      </c>
      <c r="H158" s="91" t="s">
        <v>104</v>
      </c>
    </row>
    <row r="159" spans="1:8" x14ac:dyDescent="0.3">
      <c r="A159" s="91" t="s">
        <v>59</v>
      </c>
      <c r="B159" s="91" t="s">
        <v>151</v>
      </c>
      <c r="C159" s="91" t="s">
        <v>103</v>
      </c>
      <c r="D159" s="91" t="s">
        <v>104</v>
      </c>
      <c r="E159" s="91" t="s">
        <v>105</v>
      </c>
      <c r="F159" s="91" t="s">
        <v>106</v>
      </c>
      <c r="G159" s="91" t="s">
        <v>107</v>
      </c>
      <c r="H159" s="91" t="s">
        <v>104</v>
      </c>
    </row>
    <row r="160" spans="1:8" x14ac:dyDescent="0.3">
      <c r="A160" s="91" t="s">
        <v>59</v>
      </c>
      <c r="B160" s="91" t="s">
        <v>152</v>
      </c>
      <c r="C160" s="91" t="s">
        <v>103</v>
      </c>
      <c r="D160" s="91" t="s">
        <v>104</v>
      </c>
      <c r="E160" s="91" t="s">
        <v>105</v>
      </c>
      <c r="F160" s="91" t="s">
        <v>106</v>
      </c>
      <c r="G160" s="91" t="s">
        <v>107</v>
      </c>
      <c r="H160" s="91" t="s">
        <v>104</v>
      </c>
    </row>
    <row r="161" spans="1:8" x14ac:dyDescent="0.3">
      <c r="A161" s="91" t="s">
        <v>59</v>
      </c>
      <c r="B161" s="91" t="s">
        <v>153</v>
      </c>
      <c r="C161" s="91" t="s">
        <v>103</v>
      </c>
      <c r="D161" s="91" t="s">
        <v>104</v>
      </c>
      <c r="E161" s="91" t="s">
        <v>105</v>
      </c>
      <c r="F161" s="91" t="s">
        <v>106</v>
      </c>
      <c r="G161" s="91" t="s">
        <v>107</v>
      </c>
      <c r="H161" s="91" t="s">
        <v>104</v>
      </c>
    </row>
    <row r="162" spans="1:8" x14ac:dyDescent="0.3">
      <c r="A162" s="91" t="s">
        <v>59</v>
      </c>
      <c r="B162" s="91" t="s">
        <v>154</v>
      </c>
      <c r="C162" s="91" t="s">
        <v>103</v>
      </c>
      <c r="D162" s="91" t="s">
        <v>104</v>
      </c>
      <c r="E162" s="91" t="s">
        <v>105</v>
      </c>
      <c r="F162" s="91" t="s">
        <v>106</v>
      </c>
      <c r="G162" s="91" t="s">
        <v>107</v>
      </c>
      <c r="H162" s="91" t="s">
        <v>104</v>
      </c>
    </row>
    <row r="163" spans="1:8" x14ac:dyDescent="0.3">
      <c r="A163" s="91" t="s">
        <v>59</v>
      </c>
      <c r="B163" s="91" t="s">
        <v>155</v>
      </c>
      <c r="C163" s="91" t="s">
        <v>103</v>
      </c>
      <c r="D163" s="91" t="s">
        <v>104</v>
      </c>
      <c r="E163" s="91" t="s">
        <v>105</v>
      </c>
      <c r="F163" s="91" t="s">
        <v>106</v>
      </c>
      <c r="G163" s="91" t="s">
        <v>107</v>
      </c>
      <c r="H163" s="91" t="s">
        <v>104</v>
      </c>
    </row>
    <row r="164" spans="1:8" x14ac:dyDescent="0.3">
      <c r="A164" s="91" t="s">
        <v>59</v>
      </c>
      <c r="B164" s="91" t="s">
        <v>156</v>
      </c>
      <c r="C164" s="91" t="s">
        <v>103</v>
      </c>
      <c r="D164" s="91" t="s">
        <v>104</v>
      </c>
      <c r="E164" s="91" t="s">
        <v>105</v>
      </c>
      <c r="F164" s="91" t="s">
        <v>106</v>
      </c>
      <c r="G164" s="91" t="s">
        <v>107</v>
      </c>
      <c r="H164" s="91" t="s">
        <v>104</v>
      </c>
    </row>
    <row r="165" spans="1:8" x14ac:dyDescent="0.3">
      <c r="A165" s="91" t="s">
        <v>59</v>
      </c>
      <c r="B165" s="91" t="s">
        <v>157</v>
      </c>
      <c r="C165" s="91" t="s">
        <v>103</v>
      </c>
      <c r="D165" s="91" t="s">
        <v>104</v>
      </c>
      <c r="E165" s="91" t="s">
        <v>105</v>
      </c>
      <c r="F165" s="91" t="s">
        <v>106</v>
      </c>
      <c r="G165" s="91" t="s">
        <v>107</v>
      </c>
      <c r="H165" s="91" t="s">
        <v>104</v>
      </c>
    </row>
    <row r="166" spans="1:8" x14ac:dyDescent="0.3">
      <c r="A166" s="91" t="s">
        <v>59</v>
      </c>
      <c r="B166" s="91" t="s">
        <v>158</v>
      </c>
      <c r="C166" s="91" t="s">
        <v>103</v>
      </c>
      <c r="D166" s="91" t="s">
        <v>104</v>
      </c>
      <c r="E166" s="91" t="s">
        <v>105</v>
      </c>
      <c r="F166" s="91" t="s">
        <v>106</v>
      </c>
      <c r="G166" s="91" t="s">
        <v>107</v>
      </c>
      <c r="H166" s="91" t="s">
        <v>104</v>
      </c>
    </row>
    <row r="167" spans="1:8" x14ac:dyDescent="0.3">
      <c r="A167" s="91" t="s">
        <v>59</v>
      </c>
      <c r="B167" s="91" t="s">
        <v>159</v>
      </c>
      <c r="C167" s="91" t="s">
        <v>103</v>
      </c>
      <c r="D167" s="91" t="s">
        <v>104</v>
      </c>
      <c r="E167" s="91" t="s">
        <v>105</v>
      </c>
      <c r="F167" s="91" t="s">
        <v>106</v>
      </c>
      <c r="G167" s="91" t="s">
        <v>107</v>
      </c>
      <c r="H167" s="91" t="s">
        <v>104</v>
      </c>
    </row>
    <row r="168" spans="1:8" x14ac:dyDescent="0.3">
      <c r="A168" s="91" t="s">
        <v>59</v>
      </c>
      <c r="B168" s="91" t="s">
        <v>160</v>
      </c>
      <c r="C168" s="91" t="s">
        <v>103</v>
      </c>
      <c r="D168" s="91" t="s">
        <v>104</v>
      </c>
      <c r="E168" s="91" t="s">
        <v>105</v>
      </c>
      <c r="F168" s="91" t="s">
        <v>106</v>
      </c>
      <c r="G168" s="91" t="s">
        <v>107</v>
      </c>
      <c r="H168" s="91" t="s">
        <v>104</v>
      </c>
    </row>
    <row r="169" spans="1:8" x14ac:dyDescent="0.3">
      <c r="A169" s="91" t="s">
        <v>59</v>
      </c>
      <c r="B169" s="91" t="s">
        <v>161</v>
      </c>
      <c r="C169" s="91" t="s">
        <v>103</v>
      </c>
      <c r="D169" s="91" t="s">
        <v>104</v>
      </c>
      <c r="E169" s="91" t="s">
        <v>105</v>
      </c>
      <c r="F169" s="91" t="s">
        <v>106</v>
      </c>
      <c r="G169" s="91" t="s">
        <v>107</v>
      </c>
      <c r="H169" s="91" t="s">
        <v>104</v>
      </c>
    </row>
    <row r="170" spans="1:8" x14ac:dyDescent="0.3">
      <c r="A170" s="91" t="s">
        <v>59</v>
      </c>
      <c r="B170" s="91" t="s">
        <v>162</v>
      </c>
      <c r="C170" s="91" t="s">
        <v>103</v>
      </c>
      <c r="D170" s="91" t="s">
        <v>104</v>
      </c>
      <c r="E170" s="91" t="s">
        <v>105</v>
      </c>
      <c r="F170" s="91" t="s">
        <v>106</v>
      </c>
      <c r="G170" s="91" t="s">
        <v>107</v>
      </c>
      <c r="H170" s="91" t="s">
        <v>104</v>
      </c>
    </row>
    <row r="171" spans="1:8" x14ac:dyDescent="0.3">
      <c r="A171" s="91" t="s">
        <v>59</v>
      </c>
      <c r="B171" s="91" t="s">
        <v>163</v>
      </c>
      <c r="C171" s="91" t="s">
        <v>103</v>
      </c>
      <c r="D171" s="91" t="s">
        <v>104</v>
      </c>
      <c r="E171" s="91" t="s">
        <v>105</v>
      </c>
      <c r="F171" s="91" t="s">
        <v>106</v>
      </c>
      <c r="G171" s="91" t="s">
        <v>107</v>
      </c>
      <c r="H171" s="91" t="s">
        <v>104</v>
      </c>
    </row>
    <row r="172" spans="1:8" x14ac:dyDescent="0.3">
      <c r="A172" s="91" t="s">
        <v>59</v>
      </c>
      <c r="B172" s="91" t="s">
        <v>164</v>
      </c>
      <c r="C172" s="91" t="s">
        <v>103</v>
      </c>
      <c r="D172" s="91" t="s">
        <v>104</v>
      </c>
      <c r="E172" s="91" t="s">
        <v>105</v>
      </c>
      <c r="F172" s="91" t="s">
        <v>106</v>
      </c>
      <c r="G172" s="91" t="s">
        <v>107</v>
      </c>
      <c r="H172" s="91" t="s">
        <v>104</v>
      </c>
    </row>
    <row r="173" spans="1:8" x14ac:dyDescent="0.3">
      <c r="A173" s="91" t="s">
        <v>59</v>
      </c>
      <c r="B173" s="91" t="s">
        <v>165</v>
      </c>
      <c r="C173" s="91" t="s">
        <v>103</v>
      </c>
      <c r="D173" s="91" t="s">
        <v>104</v>
      </c>
      <c r="E173" s="91" t="s">
        <v>105</v>
      </c>
      <c r="F173" s="91" t="s">
        <v>106</v>
      </c>
      <c r="G173" s="91" t="s">
        <v>107</v>
      </c>
      <c r="H173" s="91" t="s">
        <v>104</v>
      </c>
    </row>
    <row r="174" spans="1:8" x14ac:dyDescent="0.3">
      <c r="A174" s="91" t="s">
        <v>59</v>
      </c>
      <c r="B174" s="91" t="s">
        <v>166</v>
      </c>
      <c r="C174" s="91" t="s">
        <v>103</v>
      </c>
      <c r="D174" s="91" t="s">
        <v>104</v>
      </c>
      <c r="E174" s="91" t="s">
        <v>105</v>
      </c>
      <c r="F174" s="91" t="s">
        <v>106</v>
      </c>
      <c r="G174" s="91" t="s">
        <v>107</v>
      </c>
      <c r="H174" s="91" t="s">
        <v>104</v>
      </c>
    </row>
    <row r="175" spans="1:8" x14ac:dyDescent="0.3">
      <c r="A175" s="91" t="s">
        <v>59</v>
      </c>
      <c r="B175" s="91" t="s">
        <v>167</v>
      </c>
      <c r="C175" s="91" t="s">
        <v>103</v>
      </c>
      <c r="D175" s="91" t="s">
        <v>104</v>
      </c>
      <c r="E175" s="91" t="s">
        <v>105</v>
      </c>
      <c r="F175" s="91" t="s">
        <v>106</v>
      </c>
      <c r="G175" s="91" t="s">
        <v>107</v>
      </c>
      <c r="H175" s="91" t="s">
        <v>104</v>
      </c>
    </row>
    <row r="176" spans="1:8" x14ac:dyDescent="0.3">
      <c r="A176" s="91" t="s">
        <v>59</v>
      </c>
      <c r="B176" s="91" t="s">
        <v>168</v>
      </c>
      <c r="C176" s="91" t="s">
        <v>103</v>
      </c>
      <c r="D176" s="91" t="s">
        <v>104</v>
      </c>
      <c r="E176" s="91" t="s">
        <v>105</v>
      </c>
      <c r="F176" s="91" t="s">
        <v>106</v>
      </c>
      <c r="G176" s="91" t="s">
        <v>107</v>
      </c>
      <c r="H176" s="91" t="s">
        <v>104</v>
      </c>
    </row>
    <row r="177" spans="1:8" x14ac:dyDescent="0.3">
      <c r="A177" s="91" t="s">
        <v>59</v>
      </c>
      <c r="B177" s="91" t="s">
        <v>169</v>
      </c>
      <c r="C177" s="91" t="s">
        <v>103</v>
      </c>
      <c r="D177" s="91" t="s">
        <v>104</v>
      </c>
      <c r="E177" s="91" t="s">
        <v>105</v>
      </c>
      <c r="F177" s="91" t="s">
        <v>106</v>
      </c>
      <c r="G177" s="91" t="s">
        <v>107</v>
      </c>
      <c r="H177" s="91" t="s">
        <v>104</v>
      </c>
    </row>
    <row r="178" spans="1:8" x14ac:dyDescent="0.3">
      <c r="A178" s="91" t="s">
        <v>59</v>
      </c>
      <c r="B178" s="91" t="s">
        <v>170</v>
      </c>
      <c r="C178" s="91" t="s">
        <v>103</v>
      </c>
      <c r="D178" s="91" t="s">
        <v>104</v>
      </c>
      <c r="E178" s="91" t="s">
        <v>105</v>
      </c>
      <c r="F178" s="91" t="s">
        <v>106</v>
      </c>
      <c r="G178" s="91" t="s">
        <v>107</v>
      </c>
      <c r="H178" s="91" t="s">
        <v>104</v>
      </c>
    </row>
    <row r="179" spans="1:8" x14ac:dyDescent="0.3">
      <c r="A179" s="91" t="s">
        <v>59</v>
      </c>
      <c r="B179" s="91" t="s">
        <v>171</v>
      </c>
      <c r="C179" s="91" t="s">
        <v>103</v>
      </c>
      <c r="D179" s="91" t="s">
        <v>104</v>
      </c>
      <c r="E179" s="91" t="s">
        <v>105</v>
      </c>
      <c r="F179" s="91" t="s">
        <v>106</v>
      </c>
      <c r="G179" s="91" t="s">
        <v>107</v>
      </c>
      <c r="H179" s="91" t="s">
        <v>104</v>
      </c>
    </row>
    <row r="180" spans="1:8" x14ac:dyDescent="0.3">
      <c r="A180" s="91" t="s">
        <v>59</v>
      </c>
      <c r="B180" s="91" t="s">
        <v>172</v>
      </c>
      <c r="C180" s="91" t="s">
        <v>103</v>
      </c>
      <c r="D180" s="91" t="s">
        <v>104</v>
      </c>
      <c r="E180" s="91" t="s">
        <v>105</v>
      </c>
      <c r="F180" s="91" t="s">
        <v>106</v>
      </c>
      <c r="G180" s="91" t="s">
        <v>107</v>
      </c>
      <c r="H180" s="91" t="s">
        <v>104</v>
      </c>
    </row>
    <row r="181" spans="1:8" x14ac:dyDescent="0.3">
      <c r="A181" s="91" t="s">
        <v>59</v>
      </c>
      <c r="B181" s="91" t="s">
        <v>173</v>
      </c>
      <c r="C181" s="91" t="s">
        <v>103</v>
      </c>
      <c r="D181" s="91" t="s">
        <v>104</v>
      </c>
      <c r="E181" s="91" t="s">
        <v>105</v>
      </c>
      <c r="F181" s="91" t="s">
        <v>106</v>
      </c>
      <c r="G181" s="91" t="s">
        <v>107</v>
      </c>
      <c r="H181" s="91" t="s">
        <v>104</v>
      </c>
    </row>
    <row r="182" spans="1:8" x14ac:dyDescent="0.3">
      <c r="A182" s="91" t="s">
        <v>59</v>
      </c>
      <c r="B182" s="91" t="s">
        <v>174</v>
      </c>
      <c r="C182" s="91" t="s">
        <v>103</v>
      </c>
      <c r="D182" s="91" t="s">
        <v>104</v>
      </c>
      <c r="E182" s="91" t="s">
        <v>105</v>
      </c>
      <c r="F182" s="91" t="s">
        <v>106</v>
      </c>
      <c r="G182" s="91" t="s">
        <v>107</v>
      </c>
      <c r="H182" s="91" t="s">
        <v>104</v>
      </c>
    </row>
    <row r="183" spans="1:8" x14ac:dyDescent="0.3">
      <c r="A183" s="91" t="s">
        <v>59</v>
      </c>
      <c r="B183" s="91" t="s">
        <v>175</v>
      </c>
      <c r="C183" s="91" t="s">
        <v>103</v>
      </c>
      <c r="D183" s="91" t="s">
        <v>104</v>
      </c>
      <c r="E183" s="91" t="s">
        <v>105</v>
      </c>
      <c r="F183" s="91" t="s">
        <v>106</v>
      </c>
      <c r="G183" s="91" t="s">
        <v>107</v>
      </c>
      <c r="H183" s="91" t="s">
        <v>104</v>
      </c>
    </row>
    <row r="184" spans="1:8" x14ac:dyDescent="0.3">
      <c r="A184" s="91" t="s">
        <v>59</v>
      </c>
      <c r="B184" s="91" t="s">
        <v>176</v>
      </c>
      <c r="C184" s="91" t="s">
        <v>103</v>
      </c>
      <c r="D184" s="91" t="s">
        <v>104</v>
      </c>
      <c r="E184" s="91" t="s">
        <v>105</v>
      </c>
      <c r="F184" s="91" t="s">
        <v>106</v>
      </c>
      <c r="G184" s="91" t="s">
        <v>107</v>
      </c>
      <c r="H184" s="91" t="s">
        <v>104</v>
      </c>
    </row>
    <row r="185" spans="1:8" x14ac:dyDescent="0.3">
      <c r="A185" s="91" t="s">
        <v>59</v>
      </c>
      <c r="B185" s="91" t="s">
        <v>177</v>
      </c>
      <c r="C185" s="91" t="s">
        <v>103</v>
      </c>
      <c r="D185" s="91" t="s">
        <v>104</v>
      </c>
      <c r="E185" s="91" t="s">
        <v>105</v>
      </c>
      <c r="F185" s="91" t="s">
        <v>106</v>
      </c>
      <c r="G185" s="91" t="s">
        <v>107</v>
      </c>
      <c r="H185" s="91" t="s">
        <v>104</v>
      </c>
    </row>
    <row r="186" spans="1:8" x14ac:dyDescent="0.3">
      <c r="A186" s="91" t="s">
        <v>59</v>
      </c>
      <c r="B186" s="91" t="s">
        <v>178</v>
      </c>
      <c r="C186" s="91" t="s">
        <v>103</v>
      </c>
      <c r="D186" s="91" t="s">
        <v>104</v>
      </c>
      <c r="E186" s="91" t="s">
        <v>105</v>
      </c>
      <c r="F186" s="91" t="s">
        <v>106</v>
      </c>
      <c r="G186" s="91" t="s">
        <v>107</v>
      </c>
      <c r="H186" s="91" t="s">
        <v>104</v>
      </c>
    </row>
    <row r="187" spans="1:8" x14ac:dyDescent="0.3">
      <c r="A187" s="91" t="s">
        <v>59</v>
      </c>
      <c r="B187" s="91" t="s">
        <v>179</v>
      </c>
      <c r="C187" s="91" t="s">
        <v>103</v>
      </c>
      <c r="D187" s="91" t="s">
        <v>104</v>
      </c>
      <c r="E187" s="91" t="s">
        <v>105</v>
      </c>
      <c r="F187" s="91" t="s">
        <v>106</v>
      </c>
      <c r="G187" s="91" t="s">
        <v>107</v>
      </c>
      <c r="H187" s="91" t="s">
        <v>104</v>
      </c>
    </row>
    <row r="188" spans="1:8" x14ac:dyDescent="0.3">
      <c r="A188" s="91" t="s">
        <v>59</v>
      </c>
      <c r="B188" s="91" t="s">
        <v>180</v>
      </c>
      <c r="C188" s="91" t="s">
        <v>103</v>
      </c>
      <c r="D188" s="91" t="s">
        <v>104</v>
      </c>
      <c r="E188" s="91" t="s">
        <v>105</v>
      </c>
      <c r="F188" s="91" t="s">
        <v>106</v>
      </c>
      <c r="G188" s="91" t="s">
        <v>107</v>
      </c>
      <c r="H188" s="91" t="s">
        <v>104</v>
      </c>
    </row>
    <row r="189" spans="1:8" x14ac:dyDescent="0.3">
      <c r="A189" s="91" t="s">
        <v>59</v>
      </c>
      <c r="B189" s="91" t="s">
        <v>181</v>
      </c>
      <c r="C189" s="91" t="s">
        <v>103</v>
      </c>
      <c r="D189" s="91" t="s">
        <v>104</v>
      </c>
      <c r="E189" s="91" t="s">
        <v>105</v>
      </c>
      <c r="F189" s="91" t="s">
        <v>106</v>
      </c>
      <c r="G189" s="91" t="s">
        <v>107</v>
      </c>
      <c r="H189" s="91" t="s">
        <v>104</v>
      </c>
    </row>
    <row r="190" spans="1:8" x14ac:dyDescent="0.3">
      <c r="A190" s="91" t="s">
        <v>59</v>
      </c>
      <c r="B190" s="91" t="s">
        <v>182</v>
      </c>
      <c r="C190" s="91" t="s">
        <v>103</v>
      </c>
      <c r="D190" s="91" t="s">
        <v>104</v>
      </c>
      <c r="E190" s="91" t="s">
        <v>105</v>
      </c>
      <c r="F190" s="91" t="s">
        <v>106</v>
      </c>
      <c r="G190" s="91" t="s">
        <v>107</v>
      </c>
      <c r="H190" s="91" t="s">
        <v>104</v>
      </c>
    </row>
    <row r="191" spans="1:8" x14ac:dyDescent="0.3">
      <c r="A191" s="91" t="s">
        <v>59</v>
      </c>
      <c r="B191" s="91" t="s">
        <v>183</v>
      </c>
      <c r="C191" s="91" t="s">
        <v>103</v>
      </c>
      <c r="D191" s="91" t="s">
        <v>104</v>
      </c>
      <c r="E191" s="91" t="s">
        <v>105</v>
      </c>
      <c r="F191" s="91" t="s">
        <v>106</v>
      </c>
      <c r="G191" s="91" t="s">
        <v>107</v>
      </c>
      <c r="H191" s="91" t="s">
        <v>104</v>
      </c>
    </row>
    <row r="192" spans="1:8" x14ac:dyDescent="0.3">
      <c r="A192" s="91" t="s">
        <v>59</v>
      </c>
      <c r="B192" s="91" t="s">
        <v>184</v>
      </c>
      <c r="C192" s="91" t="s">
        <v>103</v>
      </c>
      <c r="D192" s="91" t="s">
        <v>104</v>
      </c>
      <c r="E192" s="91" t="s">
        <v>105</v>
      </c>
      <c r="F192" s="91" t="s">
        <v>106</v>
      </c>
      <c r="G192" s="91" t="s">
        <v>107</v>
      </c>
      <c r="H192" s="91" t="s">
        <v>104</v>
      </c>
    </row>
    <row r="193" spans="1:8" x14ac:dyDescent="0.3">
      <c r="A193" s="91" t="s">
        <v>59</v>
      </c>
      <c r="B193" s="91" t="s">
        <v>185</v>
      </c>
      <c r="C193" s="91" t="s">
        <v>103</v>
      </c>
      <c r="D193" s="91" t="s">
        <v>104</v>
      </c>
      <c r="E193" s="91" t="s">
        <v>105</v>
      </c>
      <c r="F193" s="91" t="s">
        <v>106</v>
      </c>
      <c r="G193" s="91" t="s">
        <v>107</v>
      </c>
      <c r="H193" s="91" t="s">
        <v>104</v>
      </c>
    </row>
    <row r="194" spans="1:8" x14ac:dyDescent="0.3">
      <c r="A194" s="91" t="s">
        <v>59</v>
      </c>
      <c r="B194" s="91" t="s">
        <v>186</v>
      </c>
      <c r="C194" s="91" t="s">
        <v>103</v>
      </c>
      <c r="D194" s="91" t="s">
        <v>104</v>
      </c>
      <c r="E194" s="91" t="s">
        <v>105</v>
      </c>
      <c r="F194" s="91" t="s">
        <v>106</v>
      </c>
      <c r="G194" s="91" t="s">
        <v>107</v>
      </c>
      <c r="H194" s="91" t="s">
        <v>104</v>
      </c>
    </row>
    <row r="195" spans="1:8" x14ac:dyDescent="0.3">
      <c r="A195" s="91" t="s">
        <v>59</v>
      </c>
      <c r="B195" s="91" t="s">
        <v>187</v>
      </c>
      <c r="C195" s="91" t="s">
        <v>103</v>
      </c>
      <c r="D195" s="91" t="s">
        <v>104</v>
      </c>
      <c r="E195" s="91" t="s">
        <v>105</v>
      </c>
      <c r="F195" s="91" t="s">
        <v>106</v>
      </c>
      <c r="G195" s="91" t="s">
        <v>107</v>
      </c>
      <c r="H195" s="91" t="s">
        <v>104</v>
      </c>
    </row>
    <row r="196" spans="1:8" x14ac:dyDescent="0.3">
      <c r="A196" s="91" t="s">
        <v>59</v>
      </c>
      <c r="B196" s="91" t="s">
        <v>188</v>
      </c>
      <c r="C196" s="91" t="s">
        <v>103</v>
      </c>
      <c r="D196" s="91" t="s">
        <v>104</v>
      </c>
      <c r="E196" s="91" t="s">
        <v>105</v>
      </c>
      <c r="F196" s="91" t="s">
        <v>106</v>
      </c>
      <c r="G196" s="91" t="s">
        <v>107</v>
      </c>
      <c r="H196" s="91" t="s">
        <v>104</v>
      </c>
    </row>
    <row r="197" spans="1:8" x14ac:dyDescent="0.3">
      <c r="A197" s="91" t="s">
        <v>59</v>
      </c>
      <c r="B197" s="91" t="s">
        <v>189</v>
      </c>
      <c r="C197" s="91" t="s">
        <v>103</v>
      </c>
      <c r="D197" s="91" t="s">
        <v>104</v>
      </c>
      <c r="E197" s="91" t="s">
        <v>105</v>
      </c>
      <c r="F197" s="91" t="s">
        <v>106</v>
      </c>
      <c r="G197" s="91" t="s">
        <v>107</v>
      </c>
      <c r="H197" s="91" t="s">
        <v>104</v>
      </c>
    </row>
    <row r="198" spans="1:8" x14ac:dyDescent="0.3">
      <c r="A198" s="91" t="s">
        <v>59</v>
      </c>
      <c r="B198" s="91" t="s">
        <v>190</v>
      </c>
      <c r="C198" s="91" t="s">
        <v>103</v>
      </c>
      <c r="D198" s="91" t="s">
        <v>104</v>
      </c>
      <c r="E198" s="91" t="s">
        <v>105</v>
      </c>
      <c r="F198" s="91" t="s">
        <v>106</v>
      </c>
      <c r="G198" s="91" t="s">
        <v>107</v>
      </c>
      <c r="H198" s="91" t="s">
        <v>104</v>
      </c>
    </row>
    <row r="199" spans="1:8" x14ac:dyDescent="0.3">
      <c r="A199" s="91" t="s">
        <v>59</v>
      </c>
      <c r="B199" s="91" t="s">
        <v>191</v>
      </c>
      <c r="C199" s="91" t="s">
        <v>103</v>
      </c>
      <c r="D199" s="91" t="s">
        <v>104</v>
      </c>
      <c r="E199" s="91" t="s">
        <v>105</v>
      </c>
      <c r="F199" s="91" t="s">
        <v>106</v>
      </c>
      <c r="G199" s="91" t="s">
        <v>107</v>
      </c>
      <c r="H199" s="91" t="s">
        <v>104</v>
      </c>
    </row>
    <row r="200" spans="1:8" x14ac:dyDescent="0.3">
      <c r="A200" s="91" t="s">
        <v>59</v>
      </c>
      <c r="B200" s="91" t="s">
        <v>192</v>
      </c>
      <c r="C200" s="91" t="s">
        <v>103</v>
      </c>
      <c r="D200" s="91" t="s">
        <v>104</v>
      </c>
      <c r="E200" s="91" t="s">
        <v>105</v>
      </c>
      <c r="F200" s="91" t="s">
        <v>106</v>
      </c>
      <c r="G200" s="91" t="s">
        <v>107</v>
      </c>
      <c r="H200" s="91" t="s">
        <v>104</v>
      </c>
    </row>
    <row r="201" spans="1:8" x14ac:dyDescent="0.3">
      <c r="A201" s="91" t="s">
        <v>59</v>
      </c>
      <c r="B201" s="91" t="s">
        <v>193</v>
      </c>
      <c r="C201" s="91" t="s">
        <v>103</v>
      </c>
      <c r="D201" s="91" t="s">
        <v>104</v>
      </c>
      <c r="E201" s="91" t="s">
        <v>105</v>
      </c>
      <c r="F201" s="91" t="s">
        <v>106</v>
      </c>
      <c r="G201" s="91" t="s">
        <v>107</v>
      </c>
      <c r="H201" s="91" t="s">
        <v>104</v>
      </c>
    </row>
    <row r="202" spans="1:8" x14ac:dyDescent="0.3">
      <c r="A202" s="91" t="s">
        <v>59</v>
      </c>
      <c r="B202" s="91" t="s">
        <v>194</v>
      </c>
      <c r="C202" s="91" t="s">
        <v>103</v>
      </c>
      <c r="D202" s="91" t="s">
        <v>104</v>
      </c>
      <c r="E202" s="91" t="s">
        <v>105</v>
      </c>
      <c r="F202" s="91" t="s">
        <v>106</v>
      </c>
      <c r="G202" s="91" t="s">
        <v>107</v>
      </c>
      <c r="H202" s="91" t="s">
        <v>104</v>
      </c>
    </row>
    <row r="203" spans="1:8" x14ac:dyDescent="0.3">
      <c r="A203" s="91" t="s">
        <v>59</v>
      </c>
      <c r="B203" s="91" t="s">
        <v>195</v>
      </c>
      <c r="C203" s="91" t="s">
        <v>103</v>
      </c>
      <c r="D203" s="91" t="s">
        <v>104</v>
      </c>
      <c r="E203" s="91" t="s">
        <v>105</v>
      </c>
      <c r="F203" s="91" t="s">
        <v>106</v>
      </c>
      <c r="G203" s="91" t="s">
        <v>107</v>
      </c>
      <c r="H203" s="91" t="s">
        <v>104</v>
      </c>
    </row>
    <row r="204" spans="1:8" x14ac:dyDescent="0.3">
      <c r="A204" s="91" t="s">
        <v>60</v>
      </c>
      <c r="B204" s="91" t="s">
        <v>196</v>
      </c>
      <c r="C204" s="91" t="s">
        <v>103</v>
      </c>
      <c r="D204" s="91" t="s">
        <v>104</v>
      </c>
      <c r="E204" s="91" t="s">
        <v>105</v>
      </c>
      <c r="F204" s="91" t="s">
        <v>106</v>
      </c>
      <c r="G204" s="91" t="s">
        <v>107</v>
      </c>
      <c r="H204" s="91" t="s">
        <v>104</v>
      </c>
    </row>
    <row r="205" spans="1:8" x14ac:dyDescent="0.3">
      <c r="A205" s="91" t="s">
        <v>60</v>
      </c>
      <c r="B205" s="91" t="s">
        <v>197</v>
      </c>
      <c r="C205" s="91" t="s">
        <v>103</v>
      </c>
      <c r="D205" s="91" t="s">
        <v>104</v>
      </c>
      <c r="E205" s="91" t="s">
        <v>105</v>
      </c>
      <c r="F205" s="91" t="s">
        <v>106</v>
      </c>
      <c r="G205" s="91" t="s">
        <v>107</v>
      </c>
      <c r="H205" s="91" t="s">
        <v>104</v>
      </c>
    </row>
    <row r="206" spans="1:8" x14ac:dyDescent="0.3">
      <c r="A206" s="91" t="s">
        <v>60</v>
      </c>
      <c r="B206" s="91" t="s">
        <v>198</v>
      </c>
      <c r="C206" s="91" t="s">
        <v>103</v>
      </c>
      <c r="D206" s="91" t="s">
        <v>104</v>
      </c>
      <c r="E206" s="91" t="s">
        <v>105</v>
      </c>
      <c r="F206" s="91" t="s">
        <v>106</v>
      </c>
      <c r="G206" s="91" t="s">
        <v>107</v>
      </c>
      <c r="H206" s="91" t="s">
        <v>104</v>
      </c>
    </row>
    <row r="207" spans="1:8" x14ac:dyDescent="0.3">
      <c r="A207" s="91" t="s">
        <v>60</v>
      </c>
      <c r="B207" s="91" t="s">
        <v>199</v>
      </c>
      <c r="C207" s="91" t="s">
        <v>103</v>
      </c>
      <c r="D207" s="91" t="s">
        <v>104</v>
      </c>
      <c r="E207" s="91" t="s">
        <v>105</v>
      </c>
      <c r="F207" s="91" t="s">
        <v>106</v>
      </c>
      <c r="G207" s="91" t="s">
        <v>107</v>
      </c>
      <c r="H207" s="91" t="s">
        <v>104</v>
      </c>
    </row>
    <row r="208" spans="1:8" x14ac:dyDescent="0.3">
      <c r="A208" s="91" t="s">
        <v>60</v>
      </c>
      <c r="B208" s="91" t="s">
        <v>200</v>
      </c>
      <c r="C208" s="91" t="s">
        <v>103</v>
      </c>
      <c r="D208" s="91" t="s">
        <v>104</v>
      </c>
      <c r="E208" s="91" t="s">
        <v>105</v>
      </c>
      <c r="F208" s="91" t="s">
        <v>106</v>
      </c>
      <c r="G208" s="91" t="s">
        <v>107</v>
      </c>
      <c r="H208" s="91" t="s">
        <v>104</v>
      </c>
    </row>
    <row r="209" spans="1:8" x14ac:dyDescent="0.3">
      <c r="A209" s="91" t="s">
        <v>60</v>
      </c>
      <c r="B209" s="91" t="s">
        <v>201</v>
      </c>
      <c r="C209" s="91" t="s">
        <v>103</v>
      </c>
      <c r="D209" s="91" t="s">
        <v>104</v>
      </c>
      <c r="E209" s="91" t="s">
        <v>105</v>
      </c>
      <c r="F209" s="91" t="s">
        <v>106</v>
      </c>
      <c r="G209" s="91" t="s">
        <v>107</v>
      </c>
      <c r="H209" s="91" t="s">
        <v>104</v>
      </c>
    </row>
    <row r="210" spans="1:8" x14ac:dyDescent="0.3">
      <c r="A210" s="91" t="s">
        <v>60</v>
      </c>
      <c r="B210" s="91" t="s">
        <v>202</v>
      </c>
      <c r="C210" s="91" t="s">
        <v>103</v>
      </c>
      <c r="D210" s="91" t="s">
        <v>104</v>
      </c>
      <c r="E210" s="91" t="s">
        <v>105</v>
      </c>
      <c r="F210" s="91" t="s">
        <v>106</v>
      </c>
      <c r="G210" s="91" t="s">
        <v>107</v>
      </c>
      <c r="H210" s="91" t="s">
        <v>104</v>
      </c>
    </row>
    <row r="211" spans="1:8" x14ac:dyDescent="0.3">
      <c r="A211" s="91" t="s">
        <v>60</v>
      </c>
      <c r="B211" s="91" t="s">
        <v>203</v>
      </c>
      <c r="C211" s="91" t="s">
        <v>103</v>
      </c>
      <c r="D211" s="91" t="s">
        <v>104</v>
      </c>
      <c r="E211" s="91" t="s">
        <v>105</v>
      </c>
      <c r="F211" s="91" t="s">
        <v>106</v>
      </c>
      <c r="G211" s="91" t="s">
        <v>107</v>
      </c>
      <c r="H211" s="91" t="s">
        <v>104</v>
      </c>
    </row>
    <row r="212" spans="1:8" x14ac:dyDescent="0.3">
      <c r="A212" s="91" t="s">
        <v>60</v>
      </c>
      <c r="B212" s="91" t="s">
        <v>204</v>
      </c>
      <c r="C212" s="91" t="s">
        <v>103</v>
      </c>
      <c r="D212" s="91" t="s">
        <v>104</v>
      </c>
      <c r="E212" s="91" t="s">
        <v>105</v>
      </c>
      <c r="F212" s="91" t="s">
        <v>106</v>
      </c>
      <c r="G212" s="91" t="s">
        <v>107</v>
      </c>
      <c r="H212" s="91" t="s">
        <v>104</v>
      </c>
    </row>
    <row r="213" spans="1:8" x14ac:dyDescent="0.3">
      <c r="A213" s="91" t="s">
        <v>60</v>
      </c>
      <c r="B213" s="91" t="s">
        <v>205</v>
      </c>
      <c r="C213" s="91" t="s">
        <v>103</v>
      </c>
      <c r="D213" s="91" t="s">
        <v>104</v>
      </c>
      <c r="E213" s="91" t="s">
        <v>105</v>
      </c>
      <c r="F213" s="91" t="s">
        <v>106</v>
      </c>
      <c r="G213" s="91" t="s">
        <v>107</v>
      </c>
      <c r="H213" s="91" t="s">
        <v>104</v>
      </c>
    </row>
    <row r="214" spans="1:8" x14ac:dyDescent="0.3">
      <c r="A214" s="91" t="s">
        <v>60</v>
      </c>
      <c r="B214" s="91" t="s">
        <v>206</v>
      </c>
      <c r="C214" s="91" t="s">
        <v>103</v>
      </c>
      <c r="D214" s="91" t="s">
        <v>104</v>
      </c>
      <c r="E214" s="91" t="s">
        <v>105</v>
      </c>
      <c r="F214" s="91" t="s">
        <v>106</v>
      </c>
      <c r="G214" s="91" t="s">
        <v>107</v>
      </c>
      <c r="H214" s="91" t="s">
        <v>104</v>
      </c>
    </row>
    <row r="215" spans="1:8" x14ac:dyDescent="0.3">
      <c r="A215" s="91" t="s">
        <v>60</v>
      </c>
      <c r="B215" s="91" t="s">
        <v>262</v>
      </c>
      <c r="C215" s="91" t="s">
        <v>103</v>
      </c>
      <c r="D215" s="91" t="s">
        <v>104</v>
      </c>
      <c r="E215" s="91" t="s">
        <v>105</v>
      </c>
      <c r="F215" s="91" t="s">
        <v>106</v>
      </c>
      <c r="G215" s="91" t="s">
        <v>107</v>
      </c>
      <c r="H215" s="91" t="s">
        <v>104</v>
      </c>
    </row>
    <row r="216" spans="1:8" x14ac:dyDescent="0.3">
      <c r="A216" s="91" t="s">
        <v>60</v>
      </c>
      <c r="B216" s="91" t="s">
        <v>263</v>
      </c>
      <c r="C216" s="91" t="s">
        <v>103</v>
      </c>
      <c r="D216" s="91" t="s">
        <v>104</v>
      </c>
      <c r="E216" s="91" t="s">
        <v>105</v>
      </c>
      <c r="F216" s="91" t="s">
        <v>106</v>
      </c>
      <c r="G216" s="91" t="s">
        <v>107</v>
      </c>
      <c r="H216" s="91" t="s">
        <v>104</v>
      </c>
    </row>
    <row r="217" spans="1:8" x14ac:dyDescent="0.3">
      <c r="A217" s="91" t="s">
        <v>60</v>
      </c>
      <c r="B217" s="91" t="s">
        <v>264</v>
      </c>
      <c r="C217" s="91" t="s">
        <v>103</v>
      </c>
      <c r="D217" s="91" t="s">
        <v>104</v>
      </c>
      <c r="E217" s="91" t="s">
        <v>105</v>
      </c>
      <c r="F217" s="91" t="s">
        <v>106</v>
      </c>
      <c r="G217" s="91" t="s">
        <v>107</v>
      </c>
      <c r="H217" s="91" t="s">
        <v>104</v>
      </c>
    </row>
    <row r="218" spans="1:8" x14ac:dyDescent="0.3">
      <c r="A218" s="91" t="s">
        <v>60</v>
      </c>
      <c r="B218" s="91" t="s">
        <v>110</v>
      </c>
      <c r="C218" s="91" t="s">
        <v>103</v>
      </c>
      <c r="D218" s="91" t="s">
        <v>104</v>
      </c>
      <c r="E218" s="91" t="s">
        <v>105</v>
      </c>
      <c r="F218" s="91" t="s">
        <v>106</v>
      </c>
      <c r="G218" s="91" t="s">
        <v>107</v>
      </c>
      <c r="H218" s="91" t="s">
        <v>104</v>
      </c>
    </row>
    <row r="219" spans="1:8" x14ac:dyDescent="0.3">
      <c r="A219" s="91" t="s">
        <v>60</v>
      </c>
      <c r="B219" s="91" t="s">
        <v>111</v>
      </c>
      <c r="C219" s="91" t="s">
        <v>103</v>
      </c>
      <c r="D219" s="91" t="s">
        <v>104</v>
      </c>
      <c r="E219" s="91" t="s">
        <v>105</v>
      </c>
      <c r="F219" s="91" t="s">
        <v>106</v>
      </c>
      <c r="G219" s="91" t="s">
        <v>107</v>
      </c>
      <c r="H219" s="91" t="s">
        <v>104</v>
      </c>
    </row>
    <row r="220" spans="1:8" x14ac:dyDescent="0.3">
      <c r="A220" s="91" t="s">
        <v>60</v>
      </c>
      <c r="B220" s="91" t="s">
        <v>112</v>
      </c>
      <c r="C220" s="91" t="s">
        <v>103</v>
      </c>
      <c r="D220" s="91" t="s">
        <v>104</v>
      </c>
      <c r="E220" s="91" t="s">
        <v>105</v>
      </c>
      <c r="F220" s="91" t="s">
        <v>106</v>
      </c>
      <c r="G220" s="91" t="s">
        <v>107</v>
      </c>
      <c r="H220" s="91" t="s">
        <v>104</v>
      </c>
    </row>
    <row r="221" spans="1:8" x14ac:dyDescent="0.3">
      <c r="A221" s="91" t="s">
        <v>60</v>
      </c>
      <c r="B221" s="91" t="s">
        <v>113</v>
      </c>
      <c r="C221" s="91" t="s">
        <v>103</v>
      </c>
      <c r="D221" s="91" t="s">
        <v>104</v>
      </c>
      <c r="E221" s="91" t="s">
        <v>105</v>
      </c>
      <c r="F221" s="91" t="s">
        <v>106</v>
      </c>
      <c r="G221" s="91" t="s">
        <v>107</v>
      </c>
      <c r="H221" s="91" t="s">
        <v>104</v>
      </c>
    </row>
    <row r="222" spans="1:8" x14ac:dyDescent="0.3">
      <c r="A222" s="91" t="s">
        <v>60</v>
      </c>
      <c r="B222" s="91" t="s">
        <v>114</v>
      </c>
      <c r="C222" s="91" t="s">
        <v>103</v>
      </c>
      <c r="D222" s="91" t="s">
        <v>104</v>
      </c>
      <c r="E222" s="91" t="s">
        <v>105</v>
      </c>
      <c r="F222" s="91" t="s">
        <v>106</v>
      </c>
      <c r="G222" s="91" t="s">
        <v>107</v>
      </c>
      <c r="H222" s="91" t="s">
        <v>104</v>
      </c>
    </row>
    <row r="223" spans="1:8" x14ac:dyDescent="0.3">
      <c r="A223" s="91" t="s">
        <v>60</v>
      </c>
      <c r="B223" s="91" t="s">
        <v>115</v>
      </c>
      <c r="C223" s="91" t="s">
        <v>103</v>
      </c>
      <c r="D223" s="91" t="s">
        <v>104</v>
      </c>
      <c r="E223" s="91" t="s">
        <v>105</v>
      </c>
      <c r="F223" s="91" t="s">
        <v>106</v>
      </c>
      <c r="G223" s="91" t="s">
        <v>107</v>
      </c>
      <c r="H223" s="91" t="s">
        <v>104</v>
      </c>
    </row>
    <row r="224" spans="1:8" x14ac:dyDescent="0.3">
      <c r="A224" s="91" t="s">
        <v>60</v>
      </c>
      <c r="B224" s="91" t="s">
        <v>116</v>
      </c>
      <c r="C224" s="91" t="s">
        <v>103</v>
      </c>
      <c r="D224" s="91" t="s">
        <v>104</v>
      </c>
      <c r="E224" s="91" t="s">
        <v>105</v>
      </c>
      <c r="F224" s="91" t="s">
        <v>106</v>
      </c>
      <c r="G224" s="91" t="s">
        <v>107</v>
      </c>
      <c r="H224" s="91" t="s">
        <v>104</v>
      </c>
    </row>
    <row r="225" spans="1:8" x14ac:dyDescent="0.3">
      <c r="A225" s="91" t="s">
        <v>60</v>
      </c>
      <c r="B225" s="91" t="s">
        <v>117</v>
      </c>
      <c r="C225" s="91" t="s">
        <v>103</v>
      </c>
      <c r="D225" s="91" t="s">
        <v>104</v>
      </c>
      <c r="E225" s="91" t="s">
        <v>105</v>
      </c>
      <c r="F225" s="91" t="s">
        <v>106</v>
      </c>
      <c r="G225" s="91" t="s">
        <v>107</v>
      </c>
      <c r="H225" s="91" t="s">
        <v>104</v>
      </c>
    </row>
    <row r="226" spans="1:8" x14ac:dyDescent="0.3">
      <c r="A226" s="91" t="s">
        <v>60</v>
      </c>
      <c r="B226" s="91" t="s">
        <v>118</v>
      </c>
      <c r="C226" s="91" t="s">
        <v>103</v>
      </c>
      <c r="D226" s="91" t="s">
        <v>104</v>
      </c>
      <c r="E226" s="91" t="s">
        <v>105</v>
      </c>
      <c r="F226" s="91" t="s">
        <v>106</v>
      </c>
      <c r="G226" s="91" t="s">
        <v>107</v>
      </c>
      <c r="H226" s="91" t="s">
        <v>104</v>
      </c>
    </row>
    <row r="227" spans="1:8" x14ac:dyDescent="0.3">
      <c r="A227" s="91" t="s">
        <v>60</v>
      </c>
      <c r="B227" s="91" t="s">
        <v>119</v>
      </c>
      <c r="C227" s="91" t="s">
        <v>103</v>
      </c>
      <c r="D227" s="91" t="s">
        <v>104</v>
      </c>
      <c r="E227" s="91" t="s">
        <v>105</v>
      </c>
      <c r="F227" s="91" t="s">
        <v>106</v>
      </c>
      <c r="G227" s="91" t="s">
        <v>107</v>
      </c>
      <c r="H227" s="91" t="s">
        <v>104</v>
      </c>
    </row>
    <row r="228" spans="1:8" x14ac:dyDescent="0.3">
      <c r="A228" s="91" t="s">
        <v>60</v>
      </c>
      <c r="B228" s="91" t="s">
        <v>120</v>
      </c>
      <c r="C228" s="91" t="s">
        <v>103</v>
      </c>
      <c r="D228" s="91" t="s">
        <v>104</v>
      </c>
      <c r="E228" s="91" t="s">
        <v>105</v>
      </c>
      <c r="F228" s="91" t="s">
        <v>106</v>
      </c>
      <c r="G228" s="91" t="s">
        <v>107</v>
      </c>
      <c r="H228" s="91" t="s">
        <v>104</v>
      </c>
    </row>
    <row r="229" spans="1:8" x14ac:dyDescent="0.3">
      <c r="A229" s="91" t="s">
        <v>60</v>
      </c>
      <c r="B229" s="91" t="s">
        <v>121</v>
      </c>
      <c r="C229" s="91" t="s">
        <v>103</v>
      </c>
      <c r="D229" s="91" t="s">
        <v>104</v>
      </c>
      <c r="E229" s="91" t="s">
        <v>105</v>
      </c>
      <c r="F229" s="91" t="s">
        <v>106</v>
      </c>
      <c r="G229" s="91" t="s">
        <v>107</v>
      </c>
      <c r="H229" s="91" t="s">
        <v>104</v>
      </c>
    </row>
    <row r="230" spans="1:8" x14ac:dyDescent="0.3">
      <c r="A230" s="91" t="s">
        <v>60</v>
      </c>
      <c r="B230" s="91" t="s">
        <v>122</v>
      </c>
      <c r="C230" s="91" t="s">
        <v>103</v>
      </c>
      <c r="D230" s="91" t="s">
        <v>104</v>
      </c>
      <c r="E230" s="91" t="s">
        <v>105</v>
      </c>
      <c r="F230" s="91" t="s">
        <v>106</v>
      </c>
      <c r="G230" s="91" t="s">
        <v>107</v>
      </c>
      <c r="H230" s="91" t="s">
        <v>104</v>
      </c>
    </row>
    <row r="231" spans="1:8" x14ac:dyDescent="0.3">
      <c r="A231" s="91" t="s">
        <v>60</v>
      </c>
      <c r="B231" s="91" t="s">
        <v>123</v>
      </c>
      <c r="C231" s="91" t="s">
        <v>103</v>
      </c>
      <c r="D231" s="91" t="s">
        <v>104</v>
      </c>
      <c r="E231" s="91" t="s">
        <v>105</v>
      </c>
      <c r="F231" s="91" t="s">
        <v>106</v>
      </c>
      <c r="G231" s="91" t="s">
        <v>107</v>
      </c>
      <c r="H231" s="91" t="s">
        <v>104</v>
      </c>
    </row>
    <row r="232" spans="1:8" x14ac:dyDescent="0.3">
      <c r="A232" s="91" t="s">
        <v>60</v>
      </c>
      <c r="B232" s="91" t="s">
        <v>124</v>
      </c>
      <c r="C232" s="91" t="s">
        <v>103</v>
      </c>
      <c r="D232" s="91" t="s">
        <v>104</v>
      </c>
      <c r="E232" s="91" t="s">
        <v>105</v>
      </c>
      <c r="F232" s="91" t="s">
        <v>106</v>
      </c>
      <c r="G232" s="91" t="s">
        <v>107</v>
      </c>
      <c r="H232" s="91" t="s">
        <v>104</v>
      </c>
    </row>
    <row r="233" spans="1:8" x14ac:dyDescent="0.3">
      <c r="A233" s="91" t="s">
        <v>60</v>
      </c>
      <c r="B233" s="91" t="s">
        <v>125</v>
      </c>
      <c r="C233" s="91" t="s">
        <v>103</v>
      </c>
      <c r="D233" s="91" t="s">
        <v>104</v>
      </c>
      <c r="E233" s="91" t="s">
        <v>105</v>
      </c>
      <c r="F233" s="91" t="s">
        <v>106</v>
      </c>
      <c r="G233" s="91" t="s">
        <v>107</v>
      </c>
      <c r="H233" s="91" t="s">
        <v>104</v>
      </c>
    </row>
    <row r="234" spans="1:8" x14ac:dyDescent="0.3">
      <c r="A234" s="91" t="s">
        <v>60</v>
      </c>
      <c r="B234" s="91" t="s">
        <v>126</v>
      </c>
      <c r="C234" s="91" t="s">
        <v>103</v>
      </c>
      <c r="D234" s="91" t="s">
        <v>104</v>
      </c>
      <c r="E234" s="91" t="s">
        <v>105</v>
      </c>
      <c r="F234" s="91" t="s">
        <v>106</v>
      </c>
      <c r="G234" s="91" t="s">
        <v>107</v>
      </c>
      <c r="H234" s="91" t="s">
        <v>104</v>
      </c>
    </row>
    <row r="235" spans="1:8" x14ac:dyDescent="0.3">
      <c r="A235" s="91" t="s">
        <v>60</v>
      </c>
      <c r="B235" s="91" t="s">
        <v>127</v>
      </c>
      <c r="C235" s="91" t="s">
        <v>103</v>
      </c>
      <c r="D235" s="91" t="s">
        <v>104</v>
      </c>
      <c r="E235" s="91" t="s">
        <v>105</v>
      </c>
      <c r="F235" s="91" t="s">
        <v>106</v>
      </c>
      <c r="G235" s="91" t="s">
        <v>107</v>
      </c>
      <c r="H235" s="91" t="s">
        <v>104</v>
      </c>
    </row>
    <row r="236" spans="1:8" x14ac:dyDescent="0.3">
      <c r="A236" s="91" t="s">
        <v>60</v>
      </c>
      <c r="B236" s="91" t="s">
        <v>128</v>
      </c>
      <c r="C236" s="91" t="s">
        <v>103</v>
      </c>
      <c r="D236" s="91" t="s">
        <v>104</v>
      </c>
      <c r="E236" s="91" t="s">
        <v>105</v>
      </c>
      <c r="F236" s="91" t="s">
        <v>106</v>
      </c>
      <c r="G236" s="91" t="s">
        <v>107</v>
      </c>
      <c r="H236" s="91" t="s">
        <v>104</v>
      </c>
    </row>
    <row r="237" spans="1:8" x14ac:dyDescent="0.3">
      <c r="A237" s="91" t="s">
        <v>60</v>
      </c>
      <c r="B237" s="91" t="s">
        <v>129</v>
      </c>
      <c r="C237" s="91" t="s">
        <v>103</v>
      </c>
      <c r="D237" s="91" t="s">
        <v>104</v>
      </c>
      <c r="E237" s="91" t="s">
        <v>105</v>
      </c>
      <c r="F237" s="91" t="s">
        <v>106</v>
      </c>
      <c r="G237" s="91" t="s">
        <v>107</v>
      </c>
      <c r="H237" s="91" t="s">
        <v>104</v>
      </c>
    </row>
    <row r="238" spans="1:8" x14ac:dyDescent="0.3">
      <c r="A238" s="91" t="s">
        <v>60</v>
      </c>
      <c r="B238" s="91" t="s">
        <v>130</v>
      </c>
      <c r="C238" s="91" t="s">
        <v>103</v>
      </c>
      <c r="D238" s="91" t="s">
        <v>104</v>
      </c>
      <c r="E238" s="91" t="s">
        <v>105</v>
      </c>
      <c r="F238" s="91" t="s">
        <v>106</v>
      </c>
      <c r="G238" s="91" t="s">
        <v>107</v>
      </c>
      <c r="H238" s="91" t="s">
        <v>104</v>
      </c>
    </row>
    <row r="239" spans="1:8" x14ac:dyDescent="0.3">
      <c r="A239" s="91" t="s">
        <v>60</v>
      </c>
      <c r="B239" s="91" t="s">
        <v>131</v>
      </c>
      <c r="C239" s="91" t="s">
        <v>103</v>
      </c>
      <c r="D239" s="91" t="s">
        <v>104</v>
      </c>
      <c r="E239" s="91" t="s">
        <v>105</v>
      </c>
      <c r="F239" s="91" t="s">
        <v>106</v>
      </c>
      <c r="G239" s="91" t="s">
        <v>107</v>
      </c>
      <c r="H239" s="91" t="s">
        <v>104</v>
      </c>
    </row>
    <row r="240" spans="1:8" x14ac:dyDescent="0.3">
      <c r="A240" s="91" t="s">
        <v>60</v>
      </c>
      <c r="B240" s="91" t="s">
        <v>132</v>
      </c>
      <c r="C240" s="91" t="s">
        <v>103</v>
      </c>
      <c r="D240" s="91" t="s">
        <v>104</v>
      </c>
      <c r="E240" s="91" t="s">
        <v>105</v>
      </c>
      <c r="F240" s="91" t="s">
        <v>106</v>
      </c>
      <c r="G240" s="91" t="s">
        <v>107</v>
      </c>
      <c r="H240" s="91" t="s">
        <v>104</v>
      </c>
    </row>
    <row r="241" spans="1:8" x14ac:dyDescent="0.3">
      <c r="A241" s="91" t="s">
        <v>60</v>
      </c>
      <c r="B241" s="91" t="s">
        <v>133</v>
      </c>
      <c r="C241" s="91" t="s">
        <v>103</v>
      </c>
      <c r="D241" s="91" t="s">
        <v>104</v>
      </c>
      <c r="E241" s="91" t="s">
        <v>105</v>
      </c>
      <c r="F241" s="91" t="s">
        <v>106</v>
      </c>
      <c r="G241" s="91" t="s">
        <v>107</v>
      </c>
      <c r="H241" s="91" t="s">
        <v>104</v>
      </c>
    </row>
    <row r="242" spans="1:8" x14ac:dyDescent="0.3">
      <c r="A242" s="91" t="s">
        <v>60</v>
      </c>
      <c r="B242" s="91" t="s">
        <v>134</v>
      </c>
      <c r="C242" s="91" t="s">
        <v>103</v>
      </c>
      <c r="D242" s="91" t="s">
        <v>104</v>
      </c>
      <c r="E242" s="91" t="s">
        <v>105</v>
      </c>
      <c r="F242" s="91" t="s">
        <v>106</v>
      </c>
      <c r="G242" s="91" t="s">
        <v>107</v>
      </c>
      <c r="H242" s="91" t="s">
        <v>104</v>
      </c>
    </row>
    <row r="243" spans="1:8" x14ac:dyDescent="0.3">
      <c r="A243" s="91" t="s">
        <v>60</v>
      </c>
      <c r="B243" s="91" t="s">
        <v>135</v>
      </c>
      <c r="C243" s="91" t="s">
        <v>103</v>
      </c>
      <c r="D243" s="91" t="s">
        <v>104</v>
      </c>
      <c r="E243" s="91" t="s">
        <v>105</v>
      </c>
      <c r="F243" s="91" t="s">
        <v>106</v>
      </c>
      <c r="G243" s="91" t="s">
        <v>107</v>
      </c>
      <c r="H243" s="91" t="s">
        <v>104</v>
      </c>
    </row>
    <row r="244" spans="1:8" x14ac:dyDescent="0.3">
      <c r="A244" s="91" t="s">
        <v>60</v>
      </c>
      <c r="B244" s="91" t="s">
        <v>136</v>
      </c>
      <c r="C244" s="91" t="s">
        <v>103</v>
      </c>
      <c r="D244" s="91" t="s">
        <v>104</v>
      </c>
      <c r="E244" s="91" t="s">
        <v>105</v>
      </c>
      <c r="F244" s="91" t="s">
        <v>106</v>
      </c>
      <c r="G244" s="91" t="s">
        <v>107</v>
      </c>
      <c r="H244" s="91" t="s">
        <v>104</v>
      </c>
    </row>
    <row r="245" spans="1:8" x14ac:dyDescent="0.3">
      <c r="A245" s="91" t="s">
        <v>60</v>
      </c>
      <c r="B245" s="91" t="s">
        <v>137</v>
      </c>
      <c r="C245" s="91" t="s">
        <v>103</v>
      </c>
      <c r="D245" s="91" t="s">
        <v>104</v>
      </c>
      <c r="E245" s="91" t="s">
        <v>105</v>
      </c>
      <c r="F245" s="91" t="s">
        <v>106</v>
      </c>
      <c r="G245" s="91" t="s">
        <v>107</v>
      </c>
      <c r="H245" s="91" t="s">
        <v>104</v>
      </c>
    </row>
    <row r="246" spans="1:8" x14ac:dyDescent="0.3">
      <c r="A246" s="91" t="s">
        <v>60</v>
      </c>
      <c r="B246" s="91" t="s">
        <v>138</v>
      </c>
      <c r="C246" s="91" t="s">
        <v>103</v>
      </c>
      <c r="D246" s="91" t="s">
        <v>104</v>
      </c>
      <c r="E246" s="91" t="s">
        <v>105</v>
      </c>
      <c r="F246" s="91" t="s">
        <v>106</v>
      </c>
      <c r="G246" s="91" t="s">
        <v>107</v>
      </c>
      <c r="H246" s="91" t="s">
        <v>104</v>
      </c>
    </row>
    <row r="247" spans="1:8" x14ac:dyDescent="0.3">
      <c r="A247" s="91" t="s">
        <v>60</v>
      </c>
      <c r="B247" s="91" t="s">
        <v>139</v>
      </c>
      <c r="C247" s="91" t="s">
        <v>103</v>
      </c>
      <c r="D247" s="91" t="s">
        <v>104</v>
      </c>
      <c r="E247" s="91" t="s">
        <v>105</v>
      </c>
      <c r="F247" s="91" t="s">
        <v>106</v>
      </c>
      <c r="G247" s="91" t="s">
        <v>107</v>
      </c>
      <c r="H247" s="91" t="s">
        <v>104</v>
      </c>
    </row>
    <row r="248" spans="1:8" x14ac:dyDescent="0.3">
      <c r="A248" s="91" t="s">
        <v>60</v>
      </c>
      <c r="B248" s="91" t="s">
        <v>140</v>
      </c>
      <c r="C248" s="91" t="s">
        <v>103</v>
      </c>
      <c r="D248" s="91" t="s">
        <v>104</v>
      </c>
      <c r="E248" s="91" t="s">
        <v>105</v>
      </c>
      <c r="F248" s="91" t="s">
        <v>106</v>
      </c>
      <c r="G248" s="91" t="s">
        <v>107</v>
      </c>
      <c r="H248" s="91" t="s">
        <v>104</v>
      </c>
    </row>
    <row r="249" spans="1:8" x14ac:dyDescent="0.3">
      <c r="A249" s="91" t="s">
        <v>60</v>
      </c>
      <c r="B249" s="91" t="s">
        <v>141</v>
      </c>
      <c r="C249" s="91" t="s">
        <v>103</v>
      </c>
      <c r="D249" s="91" t="s">
        <v>104</v>
      </c>
      <c r="E249" s="91" t="s">
        <v>105</v>
      </c>
      <c r="F249" s="91" t="s">
        <v>106</v>
      </c>
      <c r="G249" s="91" t="s">
        <v>107</v>
      </c>
      <c r="H249" s="91" t="s">
        <v>104</v>
      </c>
    </row>
    <row r="250" spans="1:8" x14ac:dyDescent="0.3">
      <c r="A250" s="91" t="s">
        <v>60</v>
      </c>
      <c r="B250" s="91" t="s">
        <v>142</v>
      </c>
      <c r="C250" s="91" t="s">
        <v>103</v>
      </c>
      <c r="D250" s="91" t="s">
        <v>104</v>
      </c>
      <c r="E250" s="91" t="s">
        <v>105</v>
      </c>
      <c r="F250" s="91" t="s">
        <v>106</v>
      </c>
      <c r="G250" s="91" t="s">
        <v>107</v>
      </c>
      <c r="H250" s="91" t="s">
        <v>104</v>
      </c>
    </row>
    <row r="251" spans="1:8" x14ac:dyDescent="0.3">
      <c r="A251" s="91" t="s">
        <v>60</v>
      </c>
      <c r="B251" s="91" t="s">
        <v>143</v>
      </c>
      <c r="C251" s="91" t="s">
        <v>103</v>
      </c>
      <c r="D251" s="91" t="s">
        <v>104</v>
      </c>
      <c r="E251" s="91" t="s">
        <v>105</v>
      </c>
      <c r="F251" s="91" t="s">
        <v>106</v>
      </c>
      <c r="G251" s="91" t="s">
        <v>107</v>
      </c>
      <c r="H251" s="91" t="s">
        <v>104</v>
      </c>
    </row>
    <row r="252" spans="1:8" x14ac:dyDescent="0.3">
      <c r="A252" s="91" t="s">
        <v>60</v>
      </c>
      <c r="B252" s="91" t="s">
        <v>144</v>
      </c>
      <c r="C252" s="91" t="s">
        <v>103</v>
      </c>
      <c r="D252" s="91" t="s">
        <v>104</v>
      </c>
      <c r="E252" s="91" t="s">
        <v>105</v>
      </c>
      <c r="F252" s="91" t="s">
        <v>106</v>
      </c>
      <c r="G252" s="91" t="s">
        <v>107</v>
      </c>
      <c r="H252" s="91" t="s">
        <v>104</v>
      </c>
    </row>
    <row r="253" spans="1:8" x14ac:dyDescent="0.3">
      <c r="A253" s="91" t="s">
        <v>60</v>
      </c>
      <c r="B253" s="91" t="s">
        <v>145</v>
      </c>
      <c r="C253" s="91" t="s">
        <v>103</v>
      </c>
      <c r="D253" s="91" t="s">
        <v>104</v>
      </c>
      <c r="E253" s="91" t="s">
        <v>105</v>
      </c>
      <c r="F253" s="91" t="s">
        <v>106</v>
      </c>
      <c r="G253" s="91" t="s">
        <v>107</v>
      </c>
      <c r="H253" s="91" t="s">
        <v>104</v>
      </c>
    </row>
    <row r="254" spans="1:8" x14ac:dyDescent="0.3">
      <c r="A254" s="91" t="s">
        <v>60</v>
      </c>
      <c r="B254" s="91" t="s">
        <v>146</v>
      </c>
      <c r="C254" s="91" t="s">
        <v>103</v>
      </c>
      <c r="D254" s="91" t="s">
        <v>104</v>
      </c>
      <c r="E254" s="91" t="s">
        <v>105</v>
      </c>
      <c r="F254" s="91" t="s">
        <v>106</v>
      </c>
      <c r="G254" s="91" t="s">
        <v>107</v>
      </c>
      <c r="H254" s="91" t="s">
        <v>104</v>
      </c>
    </row>
    <row r="255" spans="1:8" x14ac:dyDescent="0.3">
      <c r="A255" s="91" t="s">
        <v>60</v>
      </c>
      <c r="B255" s="91" t="s">
        <v>147</v>
      </c>
      <c r="C255" s="91" t="s">
        <v>103</v>
      </c>
      <c r="D255" s="91" t="s">
        <v>104</v>
      </c>
      <c r="E255" s="91" t="s">
        <v>105</v>
      </c>
      <c r="F255" s="91" t="s">
        <v>106</v>
      </c>
      <c r="G255" s="91" t="s">
        <v>107</v>
      </c>
      <c r="H255" s="91" t="s">
        <v>104</v>
      </c>
    </row>
    <row r="256" spans="1:8" x14ac:dyDescent="0.3">
      <c r="A256" s="91" t="s">
        <v>60</v>
      </c>
      <c r="B256" s="91" t="s">
        <v>148</v>
      </c>
      <c r="C256" s="91" t="s">
        <v>103</v>
      </c>
      <c r="D256" s="91" t="s">
        <v>104</v>
      </c>
      <c r="E256" s="91" t="s">
        <v>105</v>
      </c>
      <c r="F256" s="91" t="s">
        <v>106</v>
      </c>
      <c r="G256" s="91" t="s">
        <v>107</v>
      </c>
      <c r="H256" s="91" t="s">
        <v>104</v>
      </c>
    </row>
    <row r="257" spans="1:8" x14ac:dyDescent="0.3">
      <c r="A257" s="91" t="s">
        <v>60</v>
      </c>
      <c r="B257" s="91" t="s">
        <v>149</v>
      </c>
      <c r="C257" s="91" t="s">
        <v>103</v>
      </c>
      <c r="D257" s="91" t="s">
        <v>104</v>
      </c>
      <c r="E257" s="91" t="s">
        <v>105</v>
      </c>
      <c r="F257" s="91" t="s">
        <v>106</v>
      </c>
      <c r="G257" s="91" t="s">
        <v>107</v>
      </c>
      <c r="H257" s="91" t="s">
        <v>104</v>
      </c>
    </row>
    <row r="258" spans="1:8" x14ac:dyDescent="0.3">
      <c r="A258" s="91" t="s">
        <v>60</v>
      </c>
      <c r="B258" s="91" t="s">
        <v>150</v>
      </c>
      <c r="C258" s="91" t="s">
        <v>103</v>
      </c>
      <c r="D258" s="91" t="s">
        <v>104</v>
      </c>
      <c r="E258" s="91" t="s">
        <v>105</v>
      </c>
      <c r="F258" s="91" t="s">
        <v>106</v>
      </c>
      <c r="G258" s="91" t="s">
        <v>107</v>
      </c>
      <c r="H258" s="91" t="s">
        <v>104</v>
      </c>
    </row>
    <row r="259" spans="1:8" x14ac:dyDescent="0.3">
      <c r="A259" s="91" t="s">
        <v>60</v>
      </c>
      <c r="B259" s="91" t="s">
        <v>151</v>
      </c>
      <c r="C259" s="91" t="s">
        <v>103</v>
      </c>
      <c r="D259" s="91" t="s">
        <v>104</v>
      </c>
      <c r="E259" s="91" t="s">
        <v>105</v>
      </c>
      <c r="F259" s="91" t="s">
        <v>106</v>
      </c>
      <c r="G259" s="91" t="s">
        <v>107</v>
      </c>
      <c r="H259" s="91" t="s">
        <v>104</v>
      </c>
    </row>
    <row r="260" spans="1:8" x14ac:dyDescent="0.3">
      <c r="A260" s="91" t="s">
        <v>60</v>
      </c>
      <c r="B260" s="91" t="s">
        <v>152</v>
      </c>
      <c r="C260" s="91" t="s">
        <v>103</v>
      </c>
      <c r="D260" s="91" t="s">
        <v>104</v>
      </c>
      <c r="E260" s="91" t="s">
        <v>105</v>
      </c>
      <c r="F260" s="91" t="s">
        <v>106</v>
      </c>
      <c r="G260" s="91" t="s">
        <v>107</v>
      </c>
      <c r="H260" s="91" t="s">
        <v>104</v>
      </c>
    </row>
    <row r="261" spans="1:8" x14ac:dyDescent="0.3">
      <c r="A261" s="91" t="s">
        <v>60</v>
      </c>
      <c r="B261" s="91" t="s">
        <v>153</v>
      </c>
      <c r="C261" s="91" t="s">
        <v>103</v>
      </c>
      <c r="D261" s="91" t="s">
        <v>104</v>
      </c>
      <c r="E261" s="91" t="s">
        <v>105</v>
      </c>
      <c r="F261" s="91" t="s">
        <v>106</v>
      </c>
      <c r="G261" s="91" t="s">
        <v>107</v>
      </c>
      <c r="H261" s="91" t="s">
        <v>104</v>
      </c>
    </row>
    <row r="262" spans="1:8" x14ac:dyDescent="0.3">
      <c r="A262" s="91" t="s">
        <v>60</v>
      </c>
      <c r="B262" s="91" t="s">
        <v>154</v>
      </c>
      <c r="C262" s="91" t="s">
        <v>103</v>
      </c>
      <c r="D262" s="91" t="s">
        <v>104</v>
      </c>
      <c r="E262" s="91" t="s">
        <v>105</v>
      </c>
      <c r="F262" s="91" t="s">
        <v>106</v>
      </c>
      <c r="G262" s="91" t="s">
        <v>107</v>
      </c>
      <c r="H262" s="91" t="s">
        <v>104</v>
      </c>
    </row>
    <row r="263" spans="1:8" x14ac:dyDescent="0.3">
      <c r="A263" s="91" t="s">
        <v>60</v>
      </c>
      <c r="B263" s="91" t="s">
        <v>155</v>
      </c>
      <c r="C263" s="91" t="s">
        <v>103</v>
      </c>
      <c r="D263" s="91" t="s">
        <v>104</v>
      </c>
      <c r="E263" s="91" t="s">
        <v>105</v>
      </c>
      <c r="F263" s="91" t="s">
        <v>106</v>
      </c>
      <c r="G263" s="91" t="s">
        <v>107</v>
      </c>
      <c r="H263" s="91" t="s">
        <v>104</v>
      </c>
    </row>
    <row r="264" spans="1:8" x14ac:dyDescent="0.3">
      <c r="A264" s="91" t="s">
        <v>60</v>
      </c>
      <c r="B264" s="91" t="s">
        <v>156</v>
      </c>
      <c r="C264" s="91" t="s">
        <v>103</v>
      </c>
      <c r="D264" s="91" t="s">
        <v>104</v>
      </c>
      <c r="E264" s="91" t="s">
        <v>105</v>
      </c>
      <c r="F264" s="91" t="s">
        <v>106</v>
      </c>
      <c r="G264" s="91" t="s">
        <v>107</v>
      </c>
      <c r="H264" s="91" t="s">
        <v>104</v>
      </c>
    </row>
    <row r="265" spans="1:8" x14ac:dyDescent="0.3">
      <c r="A265" s="91" t="s">
        <v>60</v>
      </c>
      <c r="B265" s="91" t="s">
        <v>157</v>
      </c>
      <c r="C265" s="91" t="s">
        <v>103</v>
      </c>
      <c r="D265" s="91" t="s">
        <v>104</v>
      </c>
      <c r="E265" s="91" t="s">
        <v>105</v>
      </c>
      <c r="F265" s="91" t="s">
        <v>106</v>
      </c>
      <c r="G265" s="91" t="s">
        <v>107</v>
      </c>
      <c r="H265" s="91" t="s">
        <v>104</v>
      </c>
    </row>
    <row r="266" spans="1:8" x14ac:dyDescent="0.3">
      <c r="A266" s="91" t="s">
        <v>60</v>
      </c>
      <c r="B266" s="91" t="s">
        <v>158</v>
      </c>
      <c r="C266" s="91" t="s">
        <v>103</v>
      </c>
      <c r="D266" s="91" t="s">
        <v>104</v>
      </c>
      <c r="E266" s="91" t="s">
        <v>105</v>
      </c>
      <c r="F266" s="91" t="s">
        <v>106</v>
      </c>
      <c r="G266" s="91" t="s">
        <v>107</v>
      </c>
      <c r="H266" s="91" t="s">
        <v>104</v>
      </c>
    </row>
    <row r="267" spans="1:8" x14ac:dyDescent="0.3">
      <c r="A267" s="91" t="s">
        <v>60</v>
      </c>
      <c r="B267" s="91" t="s">
        <v>159</v>
      </c>
      <c r="C267" s="91" t="s">
        <v>103</v>
      </c>
      <c r="D267" s="91" t="s">
        <v>104</v>
      </c>
      <c r="E267" s="91" t="s">
        <v>105</v>
      </c>
      <c r="F267" s="91" t="s">
        <v>106</v>
      </c>
      <c r="G267" s="91" t="s">
        <v>107</v>
      </c>
      <c r="H267" s="91" t="s">
        <v>104</v>
      </c>
    </row>
    <row r="268" spans="1:8" x14ac:dyDescent="0.3">
      <c r="A268" s="91" t="s">
        <v>60</v>
      </c>
      <c r="B268" s="91" t="s">
        <v>160</v>
      </c>
      <c r="C268" s="91" t="s">
        <v>103</v>
      </c>
      <c r="D268" s="91" t="s">
        <v>104</v>
      </c>
      <c r="E268" s="91" t="s">
        <v>105</v>
      </c>
      <c r="F268" s="91" t="s">
        <v>106</v>
      </c>
      <c r="G268" s="91" t="s">
        <v>107</v>
      </c>
      <c r="H268" s="91" t="s">
        <v>104</v>
      </c>
    </row>
    <row r="269" spans="1:8" x14ac:dyDescent="0.3">
      <c r="A269" s="91" t="s">
        <v>60</v>
      </c>
      <c r="B269" s="91" t="s">
        <v>161</v>
      </c>
      <c r="C269" s="91" t="s">
        <v>103</v>
      </c>
      <c r="D269" s="91" t="s">
        <v>104</v>
      </c>
      <c r="E269" s="91" t="s">
        <v>105</v>
      </c>
      <c r="F269" s="91" t="s">
        <v>106</v>
      </c>
      <c r="G269" s="91" t="s">
        <v>107</v>
      </c>
      <c r="H269" s="91" t="s">
        <v>104</v>
      </c>
    </row>
    <row r="270" spans="1:8" x14ac:dyDescent="0.3">
      <c r="A270" s="91" t="s">
        <v>60</v>
      </c>
      <c r="B270" s="91" t="s">
        <v>162</v>
      </c>
      <c r="C270" s="91" t="s">
        <v>103</v>
      </c>
      <c r="D270" s="91" t="s">
        <v>104</v>
      </c>
      <c r="E270" s="91" t="s">
        <v>105</v>
      </c>
      <c r="F270" s="91" t="s">
        <v>106</v>
      </c>
      <c r="G270" s="91" t="s">
        <v>107</v>
      </c>
      <c r="H270" s="91" t="s">
        <v>104</v>
      </c>
    </row>
    <row r="271" spans="1:8" x14ac:dyDescent="0.3">
      <c r="A271" s="91" t="s">
        <v>60</v>
      </c>
      <c r="B271" s="91" t="s">
        <v>163</v>
      </c>
      <c r="C271" s="91" t="s">
        <v>103</v>
      </c>
      <c r="D271" s="91" t="s">
        <v>104</v>
      </c>
      <c r="E271" s="91" t="s">
        <v>105</v>
      </c>
      <c r="F271" s="91" t="s">
        <v>106</v>
      </c>
      <c r="G271" s="91" t="s">
        <v>107</v>
      </c>
      <c r="H271" s="91" t="s">
        <v>104</v>
      </c>
    </row>
    <row r="272" spans="1:8" x14ac:dyDescent="0.3">
      <c r="A272" s="91" t="s">
        <v>60</v>
      </c>
      <c r="B272" s="91" t="s">
        <v>164</v>
      </c>
      <c r="C272" s="91" t="s">
        <v>103</v>
      </c>
      <c r="D272" s="91" t="s">
        <v>104</v>
      </c>
      <c r="E272" s="91" t="s">
        <v>105</v>
      </c>
      <c r="F272" s="91" t="s">
        <v>106</v>
      </c>
      <c r="G272" s="91" t="s">
        <v>107</v>
      </c>
      <c r="H272" s="91" t="s">
        <v>104</v>
      </c>
    </row>
    <row r="273" spans="1:8" x14ac:dyDescent="0.3">
      <c r="A273" s="91" t="s">
        <v>60</v>
      </c>
      <c r="B273" s="91" t="s">
        <v>165</v>
      </c>
      <c r="C273" s="91" t="s">
        <v>103</v>
      </c>
      <c r="D273" s="91" t="s">
        <v>104</v>
      </c>
      <c r="E273" s="91" t="s">
        <v>105</v>
      </c>
      <c r="F273" s="91" t="s">
        <v>106</v>
      </c>
      <c r="G273" s="91" t="s">
        <v>107</v>
      </c>
      <c r="H273" s="91" t="s">
        <v>104</v>
      </c>
    </row>
    <row r="274" spans="1:8" x14ac:dyDescent="0.3">
      <c r="A274" s="91" t="s">
        <v>60</v>
      </c>
      <c r="B274" s="91" t="s">
        <v>166</v>
      </c>
      <c r="C274" s="91" t="s">
        <v>103</v>
      </c>
      <c r="D274" s="91" t="s">
        <v>104</v>
      </c>
      <c r="E274" s="91" t="s">
        <v>105</v>
      </c>
      <c r="F274" s="91" t="s">
        <v>106</v>
      </c>
      <c r="G274" s="91" t="s">
        <v>107</v>
      </c>
      <c r="H274" s="91" t="s">
        <v>104</v>
      </c>
    </row>
    <row r="275" spans="1:8" x14ac:dyDescent="0.3">
      <c r="A275" s="91" t="s">
        <v>60</v>
      </c>
      <c r="B275" s="91" t="s">
        <v>167</v>
      </c>
      <c r="C275" s="91" t="s">
        <v>103</v>
      </c>
      <c r="D275" s="91" t="s">
        <v>104</v>
      </c>
      <c r="E275" s="91" t="s">
        <v>105</v>
      </c>
      <c r="F275" s="91" t="s">
        <v>106</v>
      </c>
      <c r="G275" s="91" t="s">
        <v>107</v>
      </c>
      <c r="H275" s="91" t="s">
        <v>104</v>
      </c>
    </row>
    <row r="276" spans="1:8" x14ac:dyDescent="0.3">
      <c r="A276" s="91" t="s">
        <v>60</v>
      </c>
      <c r="B276" s="91" t="s">
        <v>168</v>
      </c>
      <c r="C276" s="91" t="s">
        <v>103</v>
      </c>
      <c r="D276" s="91" t="s">
        <v>104</v>
      </c>
      <c r="E276" s="91" t="s">
        <v>105</v>
      </c>
      <c r="F276" s="91" t="s">
        <v>106</v>
      </c>
      <c r="G276" s="91" t="s">
        <v>107</v>
      </c>
      <c r="H276" s="91" t="s">
        <v>104</v>
      </c>
    </row>
    <row r="277" spans="1:8" x14ac:dyDescent="0.3">
      <c r="A277" s="91" t="s">
        <v>60</v>
      </c>
      <c r="B277" s="91" t="s">
        <v>169</v>
      </c>
      <c r="C277" s="91" t="s">
        <v>103</v>
      </c>
      <c r="D277" s="91" t="s">
        <v>104</v>
      </c>
      <c r="E277" s="91" t="s">
        <v>105</v>
      </c>
      <c r="F277" s="91" t="s">
        <v>106</v>
      </c>
      <c r="G277" s="91" t="s">
        <v>107</v>
      </c>
      <c r="H277" s="91" t="s">
        <v>104</v>
      </c>
    </row>
    <row r="278" spans="1:8" x14ac:dyDescent="0.3">
      <c r="A278" s="91" t="s">
        <v>60</v>
      </c>
      <c r="B278" s="91" t="s">
        <v>170</v>
      </c>
      <c r="C278" s="91" t="s">
        <v>103</v>
      </c>
      <c r="D278" s="91" t="s">
        <v>104</v>
      </c>
      <c r="E278" s="91" t="s">
        <v>105</v>
      </c>
      <c r="F278" s="91" t="s">
        <v>106</v>
      </c>
      <c r="G278" s="91" t="s">
        <v>107</v>
      </c>
      <c r="H278" s="91" t="s">
        <v>104</v>
      </c>
    </row>
    <row r="279" spans="1:8" x14ac:dyDescent="0.3">
      <c r="A279" s="91" t="s">
        <v>60</v>
      </c>
      <c r="B279" s="91" t="s">
        <v>171</v>
      </c>
      <c r="C279" s="91" t="s">
        <v>103</v>
      </c>
      <c r="D279" s="91" t="s">
        <v>104</v>
      </c>
      <c r="E279" s="91" t="s">
        <v>105</v>
      </c>
      <c r="F279" s="91" t="s">
        <v>106</v>
      </c>
      <c r="G279" s="91" t="s">
        <v>107</v>
      </c>
      <c r="H279" s="91" t="s">
        <v>104</v>
      </c>
    </row>
    <row r="280" spans="1:8" x14ac:dyDescent="0.3">
      <c r="A280" s="91" t="s">
        <v>60</v>
      </c>
      <c r="B280" s="91" t="s">
        <v>172</v>
      </c>
      <c r="C280" s="91" t="s">
        <v>103</v>
      </c>
      <c r="D280" s="91" t="s">
        <v>104</v>
      </c>
      <c r="E280" s="91" t="s">
        <v>105</v>
      </c>
      <c r="F280" s="91" t="s">
        <v>106</v>
      </c>
      <c r="G280" s="91" t="s">
        <v>107</v>
      </c>
      <c r="H280" s="91" t="s">
        <v>104</v>
      </c>
    </row>
    <row r="281" spans="1:8" x14ac:dyDescent="0.3">
      <c r="A281" s="91" t="s">
        <v>60</v>
      </c>
      <c r="B281" s="91" t="s">
        <v>173</v>
      </c>
      <c r="C281" s="91" t="s">
        <v>103</v>
      </c>
      <c r="D281" s="91" t="s">
        <v>104</v>
      </c>
      <c r="E281" s="91" t="s">
        <v>105</v>
      </c>
      <c r="F281" s="91" t="s">
        <v>106</v>
      </c>
      <c r="G281" s="91" t="s">
        <v>107</v>
      </c>
      <c r="H281" s="91" t="s">
        <v>104</v>
      </c>
    </row>
    <row r="282" spans="1:8" x14ac:dyDescent="0.3">
      <c r="A282" s="91" t="s">
        <v>60</v>
      </c>
      <c r="B282" s="91" t="s">
        <v>174</v>
      </c>
      <c r="C282" s="91" t="s">
        <v>103</v>
      </c>
      <c r="D282" s="91" t="s">
        <v>104</v>
      </c>
      <c r="E282" s="91" t="s">
        <v>105</v>
      </c>
      <c r="F282" s="91" t="s">
        <v>106</v>
      </c>
      <c r="G282" s="91" t="s">
        <v>107</v>
      </c>
      <c r="H282" s="91" t="s">
        <v>104</v>
      </c>
    </row>
    <row r="283" spans="1:8" x14ac:dyDescent="0.3">
      <c r="A283" s="91" t="s">
        <v>60</v>
      </c>
      <c r="B283" s="91" t="s">
        <v>175</v>
      </c>
      <c r="C283" s="91" t="s">
        <v>103</v>
      </c>
      <c r="D283" s="91" t="s">
        <v>104</v>
      </c>
      <c r="E283" s="91" t="s">
        <v>105</v>
      </c>
      <c r="F283" s="91" t="s">
        <v>106</v>
      </c>
      <c r="G283" s="91" t="s">
        <v>107</v>
      </c>
      <c r="H283" s="91" t="s">
        <v>104</v>
      </c>
    </row>
    <row r="284" spans="1:8" x14ac:dyDescent="0.3">
      <c r="A284" s="91" t="s">
        <v>60</v>
      </c>
      <c r="B284" s="91" t="s">
        <v>176</v>
      </c>
      <c r="C284" s="91" t="s">
        <v>103</v>
      </c>
      <c r="D284" s="91" t="s">
        <v>104</v>
      </c>
      <c r="E284" s="91" t="s">
        <v>105</v>
      </c>
      <c r="F284" s="91" t="s">
        <v>106</v>
      </c>
      <c r="G284" s="91" t="s">
        <v>107</v>
      </c>
      <c r="H284" s="91" t="s">
        <v>104</v>
      </c>
    </row>
    <row r="285" spans="1:8" x14ac:dyDescent="0.3">
      <c r="A285" s="91" t="s">
        <v>60</v>
      </c>
      <c r="B285" s="91" t="s">
        <v>177</v>
      </c>
      <c r="C285" s="91" t="s">
        <v>103</v>
      </c>
      <c r="D285" s="91" t="s">
        <v>104</v>
      </c>
      <c r="E285" s="91" t="s">
        <v>105</v>
      </c>
      <c r="F285" s="91" t="s">
        <v>106</v>
      </c>
      <c r="G285" s="91" t="s">
        <v>107</v>
      </c>
      <c r="H285" s="91" t="s">
        <v>104</v>
      </c>
    </row>
    <row r="286" spans="1:8" x14ac:dyDescent="0.3">
      <c r="A286" s="91" t="s">
        <v>60</v>
      </c>
      <c r="B286" s="91" t="s">
        <v>178</v>
      </c>
      <c r="C286" s="91" t="s">
        <v>103</v>
      </c>
      <c r="D286" s="91" t="s">
        <v>104</v>
      </c>
      <c r="E286" s="91" t="s">
        <v>105</v>
      </c>
      <c r="F286" s="91" t="s">
        <v>106</v>
      </c>
      <c r="G286" s="91" t="s">
        <v>107</v>
      </c>
      <c r="H286" s="91" t="s">
        <v>104</v>
      </c>
    </row>
    <row r="287" spans="1:8" x14ac:dyDescent="0.3">
      <c r="A287" s="91" t="s">
        <v>60</v>
      </c>
      <c r="B287" s="91" t="s">
        <v>179</v>
      </c>
      <c r="C287" s="91" t="s">
        <v>103</v>
      </c>
      <c r="D287" s="91" t="s">
        <v>104</v>
      </c>
      <c r="E287" s="91" t="s">
        <v>105</v>
      </c>
      <c r="F287" s="91" t="s">
        <v>106</v>
      </c>
      <c r="G287" s="91" t="s">
        <v>107</v>
      </c>
      <c r="H287" s="91" t="s">
        <v>104</v>
      </c>
    </row>
    <row r="288" spans="1:8" x14ac:dyDescent="0.3">
      <c r="A288" s="91" t="s">
        <v>60</v>
      </c>
      <c r="B288" s="91" t="s">
        <v>180</v>
      </c>
      <c r="C288" s="91" t="s">
        <v>103</v>
      </c>
      <c r="D288" s="91" t="s">
        <v>104</v>
      </c>
      <c r="E288" s="91" t="s">
        <v>105</v>
      </c>
      <c r="F288" s="91" t="s">
        <v>106</v>
      </c>
      <c r="G288" s="91" t="s">
        <v>107</v>
      </c>
      <c r="H288" s="91" t="s">
        <v>104</v>
      </c>
    </row>
    <row r="289" spans="1:8" x14ac:dyDescent="0.3">
      <c r="A289" s="91" t="s">
        <v>60</v>
      </c>
      <c r="B289" s="91" t="s">
        <v>181</v>
      </c>
      <c r="C289" s="91" t="s">
        <v>103</v>
      </c>
      <c r="D289" s="91" t="s">
        <v>104</v>
      </c>
      <c r="E289" s="91" t="s">
        <v>105</v>
      </c>
      <c r="F289" s="91" t="s">
        <v>106</v>
      </c>
      <c r="G289" s="91" t="s">
        <v>107</v>
      </c>
      <c r="H289" s="91" t="s">
        <v>104</v>
      </c>
    </row>
    <row r="290" spans="1:8" x14ac:dyDescent="0.3">
      <c r="A290" s="91" t="s">
        <v>60</v>
      </c>
      <c r="B290" s="91" t="s">
        <v>182</v>
      </c>
      <c r="C290" s="91" t="s">
        <v>103</v>
      </c>
      <c r="D290" s="91" t="s">
        <v>104</v>
      </c>
      <c r="E290" s="91" t="s">
        <v>105</v>
      </c>
      <c r="F290" s="91" t="s">
        <v>106</v>
      </c>
      <c r="G290" s="91" t="s">
        <v>107</v>
      </c>
      <c r="H290" s="91" t="s">
        <v>104</v>
      </c>
    </row>
    <row r="291" spans="1:8" x14ac:dyDescent="0.3">
      <c r="A291" s="91" t="s">
        <v>60</v>
      </c>
      <c r="B291" s="91" t="s">
        <v>183</v>
      </c>
      <c r="C291" s="91" t="s">
        <v>103</v>
      </c>
      <c r="D291" s="91" t="s">
        <v>104</v>
      </c>
      <c r="E291" s="91" t="s">
        <v>105</v>
      </c>
      <c r="F291" s="91" t="s">
        <v>106</v>
      </c>
      <c r="G291" s="91" t="s">
        <v>107</v>
      </c>
      <c r="H291" s="91" t="s">
        <v>104</v>
      </c>
    </row>
    <row r="292" spans="1:8" x14ac:dyDescent="0.3">
      <c r="A292" s="91" t="s">
        <v>60</v>
      </c>
      <c r="B292" s="91" t="s">
        <v>184</v>
      </c>
      <c r="C292" s="91" t="s">
        <v>103</v>
      </c>
      <c r="D292" s="91" t="s">
        <v>104</v>
      </c>
      <c r="E292" s="91" t="s">
        <v>105</v>
      </c>
      <c r="F292" s="91" t="s">
        <v>106</v>
      </c>
      <c r="G292" s="91" t="s">
        <v>107</v>
      </c>
      <c r="H292" s="91" t="s">
        <v>104</v>
      </c>
    </row>
    <row r="293" spans="1:8" x14ac:dyDescent="0.3">
      <c r="A293" s="91" t="s">
        <v>60</v>
      </c>
      <c r="B293" s="91" t="s">
        <v>185</v>
      </c>
      <c r="C293" s="91" t="s">
        <v>103</v>
      </c>
      <c r="D293" s="91" t="s">
        <v>104</v>
      </c>
      <c r="E293" s="91" t="s">
        <v>105</v>
      </c>
      <c r="F293" s="91" t="s">
        <v>106</v>
      </c>
      <c r="G293" s="91" t="s">
        <v>107</v>
      </c>
      <c r="H293" s="91" t="s">
        <v>104</v>
      </c>
    </row>
    <row r="294" spans="1:8" x14ac:dyDescent="0.3">
      <c r="A294" s="91" t="s">
        <v>60</v>
      </c>
      <c r="B294" s="91" t="s">
        <v>186</v>
      </c>
      <c r="C294" s="91" t="s">
        <v>103</v>
      </c>
      <c r="D294" s="91" t="s">
        <v>104</v>
      </c>
      <c r="E294" s="91" t="s">
        <v>105</v>
      </c>
      <c r="F294" s="91" t="s">
        <v>106</v>
      </c>
      <c r="G294" s="91" t="s">
        <v>107</v>
      </c>
      <c r="H294" s="91" t="s">
        <v>104</v>
      </c>
    </row>
    <row r="295" spans="1:8" x14ac:dyDescent="0.3">
      <c r="A295" s="91" t="s">
        <v>60</v>
      </c>
      <c r="B295" s="91" t="s">
        <v>187</v>
      </c>
      <c r="C295" s="91" t="s">
        <v>103</v>
      </c>
      <c r="D295" s="91" t="s">
        <v>104</v>
      </c>
      <c r="E295" s="91" t="s">
        <v>105</v>
      </c>
      <c r="F295" s="91" t="s">
        <v>106</v>
      </c>
      <c r="G295" s="91" t="s">
        <v>107</v>
      </c>
      <c r="H295" s="91" t="s">
        <v>104</v>
      </c>
    </row>
    <row r="296" spans="1:8" x14ac:dyDescent="0.3">
      <c r="A296" s="91" t="s">
        <v>60</v>
      </c>
      <c r="B296" s="91" t="s">
        <v>188</v>
      </c>
      <c r="C296" s="91" t="s">
        <v>103</v>
      </c>
      <c r="D296" s="91" t="s">
        <v>104</v>
      </c>
      <c r="E296" s="91" t="s">
        <v>105</v>
      </c>
      <c r="F296" s="91" t="s">
        <v>106</v>
      </c>
      <c r="G296" s="91" t="s">
        <v>107</v>
      </c>
      <c r="H296" s="91" t="s">
        <v>104</v>
      </c>
    </row>
    <row r="297" spans="1:8" x14ac:dyDescent="0.3">
      <c r="A297" s="91" t="s">
        <v>60</v>
      </c>
      <c r="B297" s="91" t="s">
        <v>189</v>
      </c>
      <c r="C297" s="91" t="s">
        <v>103</v>
      </c>
      <c r="D297" s="91" t="s">
        <v>104</v>
      </c>
      <c r="E297" s="91" t="s">
        <v>105</v>
      </c>
      <c r="F297" s="91" t="s">
        <v>106</v>
      </c>
      <c r="G297" s="91" t="s">
        <v>107</v>
      </c>
      <c r="H297" s="91" t="s">
        <v>104</v>
      </c>
    </row>
    <row r="298" spans="1:8" x14ac:dyDescent="0.3">
      <c r="A298" s="91" t="s">
        <v>60</v>
      </c>
      <c r="B298" s="91" t="s">
        <v>190</v>
      </c>
      <c r="C298" s="91" t="s">
        <v>103</v>
      </c>
      <c r="D298" s="91" t="s">
        <v>104</v>
      </c>
      <c r="E298" s="91" t="s">
        <v>105</v>
      </c>
      <c r="F298" s="91" t="s">
        <v>106</v>
      </c>
      <c r="G298" s="91" t="s">
        <v>107</v>
      </c>
      <c r="H298" s="91" t="s">
        <v>104</v>
      </c>
    </row>
    <row r="299" spans="1:8" x14ac:dyDescent="0.3">
      <c r="A299" s="91" t="s">
        <v>60</v>
      </c>
      <c r="B299" s="91" t="s">
        <v>191</v>
      </c>
      <c r="C299" s="91" t="s">
        <v>103</v>
      </c>
      <c r="D299" s="91" t="s">
        <v>104</v>
      </c>
      <c r="E299" s="91" t="s">
        <v>105</v>
      </c>
      <c r="F299" s="91" t="s">
        <v>106</v>
      </c>
      <c r="G299" s="91" t="s">
        <v>107</v>
      </c>
      <c r="H299" s="91" t="s">
        <v>104</v>
      </c>
    </row>
    <row r="300" spans="1:8" x14ac:dyDescent="0.3">
      <c r="A300" s="91" t="s">
        <v>60</v>
      </c>
      <c r="B300" s="91" t="s">
        <v>192</v>
      </c>
      <c r="C300" s="91" t="s">
        <v>103</v>
      </c>
      <c r="D300" s="91" t="s">
        <v>104</v>
      </c>
      <c r="E300" s="91" t="s">
        <v>105</v>
      </c>
      <c r="F300" s="91" t="s">
        <v>106</v>
      </c>
      <c r="G300" s="91" t="s">
        <v>107</v>
      </c>
      <c r="H300" s="91" t="s">
        <v>104</v>
      </c>
    </row>
    <row r="301" spans="1:8" x14ac:dyDescent="0.3">
      <c r="A301" s="91" t="s">
        <v>60</v>
      </c>
      <c r="B301" s="91" t="s">
        <v>193</v>
      </c>
      <c r="C301" s="91" t="s">
        <v>103</v>
      </c>
      <c r="D301" s="91" t="s">
        <v>104</v>
      </c>
      <c r="E301" s="91" t="s">
        <v>105</v>
      </c>
      <c r="F301" s="91" t="s">
        <v>106</v>
      </c>
      <c r="G301" s="91" t="s">
        <v>107</v>
      </c>
      <c r="H301" s="91" t="s">
        <v>104</v>
      </c>
    </row>
    <row r="302" spans="1:8" x14ac:dyDescent="0.3">
      <c r="A302" s="91" t="s">
        <v>60</v>
      </c>
      <c r="B302" s="91" t="s">
        <v>194</v>
      </c>
      <c r="C302" s="91" t="s">
        <v>103</v>
      </c>
      <c r="D302" s="91" t="s">
        <v>104</v>
      </c>
      <c r="E302" s="91" t="s">
        <v>105</v>
      </c>
      <c r="F302" s="91" t="s">
        <v>106</v>
      </c>
      <c r="G302" s="91" t="s">
        <v>107</v>
      </c>
      <c r="H302" s="91" t="s">
        <v>104</v>
      </c>
    </row>
    <row r="303" spans="1:8" x14ac:dyDescent="0.3">
      <c r="A303" s="91" t="s">
        <v>60</v>
      </c>
      <c r="B303" s="91" t="s">
        <v>195</v>
      </c>
      <c r="C303" s="91" t="s">
        <v>103</v>
      </c>
      <c r="D303" s="91" t="s">
        <v>104</v>
      </c>
      <c r="E303" s="91" t="s">
        <v>105</v>
      </c>
      <c r="F303" s="91" t="s">
        <v>106</v>
      </c>
      <c r="G303" s="91" t="s">
        <v>107</v>
      </c>
      <c r="H303" s="91" t="s">
        <v>104</v>
      </c>
    </row>
    <row r="304" spans="1:8" x14ac:dyDescent="0.3">
      <c r="A304" s="91" t="s">
        <v>60</v>
      </c>
      <c r="B304" s="91" t="s">
        <v>297</v>
      </c>
      <c r="C304" s="91" t="s">
        <v>103</v>
      </c>
      <c r="D304" s="91" t="s">
        <v>104</v>
      </c>
      <c r="E304" s="91" t="s">
        <v>208</v>
      </c>
      <c r="F304" s="91" t="s">
        <v>106</v>
      </c>
      <c r="G304" s="91" t="s">
        <v>107</v>
      </c>
      <c r="H304" s="91" t="s">
        <v>104</v>
      </c>
    </row>
    <row r="305" spans="1:8" x14ac:dyDescent="0.3">
      <c r="A305" s="91" t="s">
        <v>60</v>
      </c>
      <c r="B305" s="91" t="s">
        <v>298</v>
      </c>
      <c r="C305" s="91" t="s">
        <v>103</v>
      </c>
      <c r="D305" s="91" t="s">
        <v>104</v>
      </c>
      <c r="E305" s="91" t="s">
        <v>208</v>
      </c>
      <c r="F305" s="91" t="s">
        <v>106</v>
      </c>
      <c r="G305" s="91" t="s">
        <v>107</v>
      </c>
      <c r="H305" s="91" t="s">
        <v>104</v>
      </c>
    </row>
    <row r="306" spans="1:8" x14ac:dyDescent="0.3">
      <c r="A306" s="91" t="s">
        <v>60</v>
      </c>
      <c r="B306" s="91" t="s">
        <v>299</v>
      </c>
      <c r="C306" s="91" t="s">
        <v>103</v>
      </c>
      <c r="D306" s="91" t="s">
        <v>104</v>
      </c>
      <c r="E306" s="91" t="s">
        <v>208</v>
      </c>
      <c r="F306" s="91" t="s">
        <v>106</v>
      </c>
      <c r="G306" s="91" t="s">
        <v>107</v>
      </c>
      <c r="H306" s="91" t="s">
        <v>104</v>
      </c>
    </row>
    <row r="307" spans="1:8" x14ac:dyDescent="0.3">
      <c r="A307" s="91" t="s">
        <v>60</v>
      </c>
      <c r="B307" s="91" t="s">
        <v>300</v>
      </c>
      <c r="C307" s="91" t="s">
        <v>103</v>
      </c>
      <c r="D307" s="91" t="s">
        <v>104</v>
      </c>
      <c r="E307" s="91" t="s">
        <v>208</v>
      </c>
      <c r="F307" s="91" t="s">
        <v>106</v>
      </c>
      <c r="G307" s="91" t="s">
        <v>107</v>
      </c>
      <c r="H307" s="91" t="s">
        <v>104</v>
      </c>
    </row>
    <row r="308" spans="1:8" x14ac:dyDescent="0.3">
      <c r="A308" s="91" t="s">
        <v>60</v>
      </c>
      <c r="B308" s="91" t="s">
        <v>301</v>
      </c>
      <c r="C308" s="91" t="s">
        <v>103</v>
      </c>
      <c r="D308" s="91" t="s">
        <v>104</v>
      </c>
      <c r="E308" s="91" t="s">
        <v>208</v>
      </c>
      <c r="F308" s="91" t="s">
        <v>106</v>
      </c>
      <c r="G308" s="91" t="s">
        <v>107</v>
      </c>
      <c r="H308" s="91" t="s">
        <v>104</v>
      </c>
    </row>
    <row r="309" spans="1:8" x14ac:dyDescent="0.3">
      <c r="A309" s="91" t="s">
        <v>60</v>
      </c>
      <c r="B309" s="91" t="s">
        <v>302</v>
      </c>
      <c r="C309" s="91" t="s">
        <v>103</v>
      </c>
      <c r="D309" s="91" t="s">
        <v>104</v>
      </c>
      <c r="E309" s="91" t="s">
        <v>208</v>
      </c>
      <c r="F309" s="91" t="s">
        <v>106</v>
      </c>
      <c r="G309" s="91" t="s">
        <v>107</v>
      </c>
      <c r="H309" s="91" t="s">
        <v>104</v>
      </c>
    </row>
    <row r="310" spans="1:8" x14ac:dyDescent="0.3">
      <c r="A310" s="91" t="s">
        <v>60</v>
      </c>
      <c r="B310" s="91" t="s">
        <v>303</v>
      </c>
      <c r="C310" s="91" t="s">
        <v>103</v>
      </c>
      <c r="D310" s="91" t="s">
        <v>104</v>
      </c>
      <c r="E310" s="91" t="s">
        <v>208</v>
      </c>
      <c r="F310" s="91" t="s">
        <v>106</v>
      </c>
      <c r="G310" s="91" t="s">
        <v>107</v>
      </c>
      <c r="H310" s="91" t="s">
        <v>104</v>
      </c>
    </row>
    <row r="311" spans="1:8" x14ac:dyDescent="0.3">
      <c r="A311" s="91" t="s">
        <v>60</v>
      </c>
      <c r="B311" s="91" t="s">
        <v>304</v>
      </c>
      <c r="C311" s="91" t="s">
        <v>103</v>
      </c>
      <c r="D311" s="91" t="s">
        <v>104</v>
      </c>
      <c r="E311" s="91" t="s">
        <v>208</v>
      </c>
      <c r="F311" s="91" t="s">
        <v>106</v>
      </c>
      <c r="G311" s="91" t="s">
        <v>107</v>
      </c>
      <c r="H311" s="91" t="s">
        <v>104</v>
      </c>
    </row>
    <row r="312" spans="1:8" x14ac:dyDescent="0.3">
      <c r="A312" s="91" t="s">
        <v>60</v>
      </c>
      <c r="B312" s="91" t="s">
        <v>305</v>
      </c>
      <c r="C312" s="91" t="s">
        <v>103</v>
      </c>
      <c r="D312" s="91" t="s">
        <v>104</v>
      </c>
      <c r="E312" s="91" t="s">
        <v>208</v>
      </c>
      <c r="F312" s="91" t="s">
        <v>106</v>
      </c>
      <c r="G312" s="91" t="s">
        <v>107</v>
      </c>
      <c r="H312" s="91" t="s">
        <v>104</v>
      </c>
    </row>
    <row r="313" spans="1:8" x14ac:dyDescent="0.3">
      <c r="A313" s="91" t="s">
        <v>60</v>
      </c>
      <c r="B313" s="91" t="s">
        <v>306</v>
      </c>
      <c r="C313" s="91" t="s">
        <v>103</v>
      </c>
      <c r="D313" s="91" t="s">
        <v>104</v>
      </c>
      <c r="E313" s="91" t="s">
        <v>208</v>
      </c>
      <c r="F313" s="91" t="s">
        <v>106</v>
      </c>
      <c r="G313" s="91" t="s">
        <v>107</v>
      </c>
      <c r="H313" s="91" t="s">
        <v>104</v>
      </c>
    </row>
    <row r="314" spans="1:8" x14ac:dyDescent="0.3">
      <c r="A314" s="91" t="s">
        <v>60</v>
      </c>
      <c r="B314" s="91" t="s">
        <v>307</v>
      </c>
      <c r="C314" s="91" t="s">
        <v>103</v>
      </c>
      <c r="D314" s="91" t="s">
        <v>104</v>
      </c>
      <c r="E314" s="91" t="s">
        <v>208</v>
      </c>
      <c r="F314" s="91" t="s">
        <v>106</v>
      </c>
      <c r="G314" s="91" t="s">
        <v>107</v>
      </c>
      <c r="H314" s="91" t="s">
        <v>104</v>
      </c>
    </row>
    <row r="315" spans="1:8" x14ac:dyDescent="0.3">
      <c r="A315" s="91" t="s">
        <v>60</v>
      </c>
      <c r="B315" s="91" t="s">
        <v>308</v>
      </c>
      <c r="C315" s="91" t="s">
        <v>103</v>
      </c>
      <c r="D315" s="91" t="s">
        <v>104</v>
      </c>
      <c r="E315" s="91" t="s">
        <v>208</v>
      </c>
      <c r="F315" s="91" t="s">
        <v>106</v>
      </c>
      <c r="G315" s="91" t="s">
        <v>107</v>
      </c>
      <c r="H315" s="91" t="s">
        <v>104</v>
      </c>
    </row>
    <row r="316" spans="1:8" x14ac:dyDescent="0.3">
      <c r="A316" s="91" t="s">
        <v>60</v>
      </c>
      <c r="B316" s="91" t="s">
        <v>309</v>
      </c>
      <c r="C316" s="91" t="s">
        <v>103</v>
      </c>
      <c r="D316" s="91" t="s">
        <v>104</v>
      </c>
      <c r="E316" s="91" t="s">
        <v>208</v>
      </c>
      <c r="F316" s="91" t="s">
        <v>106</v>
      </c>
      <c r="G316" s="91" t="s">
        <v>107</v>
      </c>
      <c r="H316" s="91" t="s">
        <v>104</v>
      </c>
    </row>
    <row r="317" spans="1:8" x14ac:dyDescent="0.3">
      <c r="A317" s="91" t="s">
        <v>60</v>
      </c>
      <c r="B317" s="91" t="s">
        <v>310</v>
      </c>
      <c r="C317" s="91" t="s">
        <v>103</v>
      </c>
      <c r="D317" s="91" t="s">
        <v>104</v>
      </c>
      <c r="E317" s="91" t="s">
        <v>208</v>
      </c>
      <c r="F317" s="91" t="s">
        <v>106</v>
      </c>
      <c r="G317" s="91" t="s">
        <v>107</v>
      </c>
      <c r="H317" s="91" t="s">
        <v>104</v>
      </c>
    </row>
    <row r="318" spans="1:8" x14ac:dyDescent="0.3">
      <c r="A318" s="91" t="s">
        <v>60</v>
      </c>
      <c r="B318" s="91" t="s">
        <v>265</v>
      </c>
      <c r="C318" s="91" t="s">
        <v>103</v>
      </c>
      <c r="D318" s="91" t="s">
        <v>104</v>
      </c>
      <c r="E318" s="91" t="s">
        <v>208</v>
      </c>
      <c r="F318" s="91" t="s">
        <v>106</v>
      </c>
      <c r="G318" s="91" t="s">
        <v>107</v>
      </c>
      <c r="H318" s="91" t="s">
        <v>104</v>
      </c>
    </row>
    <row r="319" spans="1:8" x14ac:dyDescent="0.3">
      <c r="A319" s="91" t="s">
        <v>60</v>
      </c>
      <c r="B319" s="91" t="s">
        <v>266</v>
      </c>
      <c r="C319" s="91" t="s">
        <v>103</v>
      </c>
      <c r="D319" s="91" t="s">
        <v>104</v>
      </c>
      <c r="E319" s="91" t="s">
        <v>208</v>
      </c>
      <c r="F319" s="91" t="s">
        <v>106</v>
      </c>
      <c r="G319" s="91" t="s">
        <v>107</v>
      </c>
      <c r="H319" s="91" t="s">
        <v>104</v>
      </c>
    </row>
    <row r="320" spans="1:8" x14ac:dyDescent="0.3">
      <c r="A320" s="91" t="s">
        <v>60</v>
      </c>
      <c r="B320" s="91" t="s">
        <v>267</v>
      </c>
      <c r="C320" s="91" t="s">
        <v>103</v>
      </c>
      <c r="D320" s="91" t="s">
        <v>104</v>
      </c>
      <c r="E320" s="91" t="s">
        <v>208</v>
      </c>
      <c r="F320" s="91" t="s">
        <v>106</v>
      </c>
      <c r="G320" s="91" t="s">
        <v>107</v>
      </c>
      <c r="H320" s="91" t="s">
        <v>104</v>
      </c>
    </row>
    <row r="321" spans="1:8" x14ac:dyDescent="0.3">
      <c r="A321" s="91" t="s">
        <v>60</v>
      </c>
      <c r="B321" s="91" t="s">
        <v>268</v>
      </c>
      <c r="C321" s="91" t="s">
        <v>103</v>
      </c>
      <c r="D321" s="91" t="s">
        <v>104</v>
      </c>
      <c r="E321" s="91" t="s">
        <v>208</v>
      </c>
      <c r="F321" s="91" t="s">
        <v>106</v>
      </c>
      <c r="G321" s="91" t="s">
        <v>107</v>
      </c>
      <c r="H321" s="91" t="s">
        <v>104</v>
      </c>
    </row>
    <row r="322" spans="1:8" x14ac:dyDescent="0.3">
      <c r="A322" s="91" t="s">
        <v>60</v>
      </c>
      <c r="B322" s="91" t="s">
        <v>269</v>
      </c>
      <c r="C322" s="91" t="s">
        <v>103</v>
      </c>
      <c r="D322" s="91" t="s">
        <v>104</v>
      </c>
      <c r="E322" s="91" t="s">
        <v>208</v>
      </c>
      <c r="F322" s="91" t="s">
        <v>106</v>
      </c>
      <c r="G322" s="91" t="s">
        <v>107</v>
      </c>
      <c r="H322" s="91" t="s">
        <v>104</v>
      </c>
    </row>
    <row r="323" spans="1:8" x14ac:dyDescent="0.3">
      <c r="A323" s="91" t="s">
        <v>60</v>
      </c>
      <c r="B323" s="91" t="s">
        <v>207</v>
      </c>
      <c r="C323" s="91" t="s">
        <v>103</v>
      </c>
      <c r="D323" s="91" t="s">
        <v>104</v>
      </c>
      <c r="E323" s="91" t="s">
        <v>208</v>
      </c>
      <c r="F323" s="91" t="s">
        <v>106</v>
      </c>
      <c r="G323" s="91" t="s">
        <v>107</v>
      </c>
      <c r="H323" s="91" t="s">
        <v>104</v>
      </c>
    </row>
    <row r="324" spans="1:8" x14ac:dyDescent="0.3">
      <c r="A324" s="91" t="s">
        <v>60</v>
      </c>
      <c r="B324" s="91" t="s">
        <v>209</v>
      </c>
      <c r="C324" s="91" t="s">
        <v>103</v>
      </c>
      <c r="D324" s="91" t="s">
        <v>104</v>
      </c>
      <c r="E324" s="91" t="s">
        <v>208</v>
      </c>
      <c r="F324" s="91" t="s">
        <v>106</v>
      </c>
      <c r="G324" s="91" t="s">
        <v>107</v>
      </c>
      <c r="H324" s="91" t="s">
        <v>104</v>
      </c>
    </row>
    <row r="325" spans="1:8" x14ac:dyDescent="0.3">
      <c r="A325" s="91" t="s">
        <v>60</v>
      </c>
      <c r="B325" s="91" t="s">
        <v>210</v>
      </c>
      <c r="C325" s="91" t="s">
        <v>103</v>
      </c>
      <c r="D325" s="91" t="s">
        <v>104</v>
      </c>
      <c r="E325" s="91" t="s">
        <v>208</v>
      </c>
      <c r="F325" s="91" t="s">
        <v>106</v>
      </c>
      <c r="G325" s="91" t="s">
        <v>107</v>
      </c>
      <c r="H325" s="91" t="s">
        <v>104</v>
      </c>
    </row>
    <row r="326" spans="1:8" x14ac:dyDescent="0.3">
      <c r="A326" s="91" t="s">
        <v>60</v>
      </c>
      <c r="B326" s="91" t="s">
        <v>211</v>
      </c>
      <c r="C326" s="91" t="s">
        <v>103</v>
      </c>
      <c r="D326" s="91" t="s">
        <v>104</v>
      </c>
      <c r="E326" s="91" t="s">
        <v>208</v>
      </c>
      <c r="F326" s="91" t="s">
        <v>106</v>
      </c>
      <c r="G326" s="91" t="s">
        <v>107</v>
      </c>
      <c r="H326" s="91" t="s">
        <v>104</v>
      </c>
    </row>
    <row r="327" spans="1:8" x14ac:dyDescent="0.3">
      <c r="A327" s="91" t="s">
        <v>60</v>
      </c>
      <c r="B327" s="91" t="s">
        <v>212</v>
      </c>
      <c r="C327" s="91" t="s">
        <v>103</v>
      </c>
      <c r="D327" s="91" t="s">
        <v>104</v>
      </c>
      <c r="E327" s="91" t="s">
        <v>208</v>
      </c>
      <c r="F327" s="91" t="s">
        <v>106</v>
      </c>
      <c r="G327" s="91" t="s">
        <v>107</v>
      </c>
      <c r="H327" s="91" t="s">
        <v>104</v>
      </c>
    </row>
    <row r="328" spans="1:8" x14ac:dyDescent="0.3">
      <c r="A328" s="91" t="s">
        <v>60</v>
      </c>
      <c r="B328" s="91" t="s">
        <v>213</v>
      </c>
      <c r="C328" s="91" t="s">
        <v>103</v>
      </c>
      <c r="D328" s="91" t="s">
        <v>104</v>
      </c>
      <c r="E328" s="91" t="s">
        <v>208</v>
      </c>
      <c r="F328" s="91" t="s">
        <v>106</v>
      </c>
      <c r="G328" s="91" t="s">
        <v>107</v>
      </c>
      <c r="H328" s="91" t="s">
        <v>104</v>
      </c>
    </row>
    <row r="329" spans="1:8" x14ac:dyDescent="0.3">
      <c r="A329" s="91" t="s">
        <v>60</v>
      </c>
      <c r="B329" s="91" t="s">
        <v>214</v>
      </c>
      <c r="C329" s="91" t="s">
        <v>103</v>
      </c>
      <c r="D329" s="91" t="s">
        <v>104</v>
      </c>
      <c r="E329" s="91" t="s">
        <v>208</v>
      </c>
      <c r="F329" s="91" t="s">
        <v>106</v>
      </c>
      <c r="G329" s="91" t="s">
        <v>107</v>
      </c>
      <c r="H329" s="91" t="s">
        <v>104</v>
      </c>
    </row>
    <row r="330" spans="1:8" x14ac:dyDescent="0.3">
      <c r="A330" s="91" t="s">
        <v>60</v>
      </c>
      <c r="B330" s="91" t="s">
        <v>215</v>
      </c>
      <c r="C330" s="91" t="s">
        <v>103</v>
      </c>
      <c r="D330" s="91" t="s">
        <v>104</v>
      </c>
      <c r="E330" s="91" t="s">
        <v>208</v>
      </c>
      <c r="F330" s="91" t="s">
        <v>106</v>
      </c>
      <c r="G330" s="91" t="s">
        <v>107</v>
      </c>
      <c r="H330" s="91" t="s">
        <v>104</v>
      </c>
    </row>
    <row r="331" spans="1:8" x14ac:dyDescent="0.3">
      <c r="A331" s="91" t="s">
        <v>60</v>
      </c>
      <c r="B331" s="91" t="s">
        <v>216</v>
      </c>
      <c r="C331" s="91" t="s">
        <v>103</v>
      </c>
      <c r="D331" s="91" t="s">
        <v>104</v>
      </c>
      <c r="E331" s="91" t="s">
        <v>208</v>
      </c>
      <c r="F331" s="91" t="s">
        <v>106</v>
      </c>
      <c r="G331" s="91" t="s">
        <v>107</v>
      </c>
      <c r="H331" s="91" t="s">
        <v>104</v>
      </c>
    </row>
    <row r="332" spans="1:8" x14ac:dyDescent="0.3">
      <c r="A332" s="91" t="s">
        <v>60</v>
      </c>
      <c r="B332" s="91" t="s">
        <v>217</v>
      </c>
      <c r="C332" s="91" t="s">
        <v>103</v>
      </c>
      <c r="D332" s="91" t="s">
        <v>104</v>
      </c>
      <c r="E332" s="91" t="s">
        <v>208</v>
      </c>
      <c r="F332" s="91" t="s">
        <v>106</v>
      </c>
      <c r="G332" s="91" t="s">
        <v>107</v>
      </c>
      <c r="H332" s="91" t="s">
        <v>104</v>
      </c>
    </row>
    <row r="333" spans="1:8" x14ac:dyDescent="0.3">
      <c r="A333" s="91" t="s">
        <v>60</v>
      </c>
      <c r="B333" s="91" t="s">
        <v>218</v>
      </c>
      <c r="C333" s="91" t="s">
        <v>103</v>
      </c>
      <c r="D333" s="91" t="s">
        <v>104</v>
      </c>
      <c r="E333" s="91" t="s">
        <v>208</v>
      </c>
      <c r="F333" s="91" t="s">
        <v>106</v>
      </c>
      <c r="G333" s="91" t="s">
        <v>107</v>
      </c>
      <c r="H333" s="91" t="s">
        <v>104</v>
      </c>
    </row>
    <row r="334" spans="1:8" x14ac:dyDescent="0.3">
      <c r="A334" s="91" t="s">
        <v>60</v>
      </c>
      <c r="B334" s="91" t="s">
        <v>219</v>
      </c>
      <c r="C334" s="91" t="s">
        <v>103</v>
      </c>
      <c r="D334" s="91" t="s">
        <v>104</v>
      </c>
      <c r="E334" s="91" t="s">
        <v>208</v>
      </c>
      <c r="F334" s="91" t="s">
        <v>106</v>
      </c>
      <c r="G334" s="91" t="s">
        <v>107</v>
      </c>
      <c r="H334" s="91" t="s">
        <v>104</v>
      </c>
    </row>
    <row r="335" spans="1:8" x14ac:dyDescent="0.3">
      <c r="A335" s="91" t="s">
        <v>60</v>
      </c>
      <c r="B335" s="91" t="s">
        <v>220</v>
      </c>
      <c r="C335" s="91" t="s">
        <v>103</v>
      </c>
      <c r="D335" s="91" t="s">
        <v>104</v>
      </c>
      <c r="E335" s="91" t="s">
        <v>208</v>
      </c>
      <c r="F335" s="91" t="s">
        <v>106</v>
      </c>
      <c r="G335" s="91" t="s">
        <v>107</v>
      </c>
      <c r="H335" s="91" t="s">
        <v>104</v>
      </c>
    </row>
    <row r="336" spans="1:8" x14ac:dyDescent="0.3">
      <c r="A336" s="91" t="s">
        <v>60</v>
      </c>
      <c r="B336" s="91" t="s">
        <v>221</v>
      </c>
      <c r="C336" s="91" t="s">
        <v>103</v>
      </c>
      <c r="D336" s="91" t="s">
        <v>104</v>
      </c>
      <c r="E336" s="91" t="s">
        <v>208</v>
      </c>
      <c r="F336" s="91" t="s">
        <v>106</v>
      </c>
      <c r="G336" s="91" t="s">
        <v>107</v>
      </c>
      <c r="H336" s="91" t="s">
        <v>104</v>
      </c>
    </row>
    <row r="337" spans="1:8" x14ac:dyDescent="0.3">
      <c r="A337" s="91" t="s">
        <v>60</v>
      </c>
      <c r="B337" s="91" t="s">
        <v>222</v>
      </c>
      <c r="C337" s="91" t="s">
        <v>103</v>
      </c>
      <c r="D337" s="91" t="s">
        <v>104</v>
      </c>
      <c r="E337" s="91" t="s">
        <v>208</v>
      </c>
      <c r="F337" s="91" t="s">
        <v>106</v>
      </c>
      <c r="G337" s="91" t="s">
        <v>107</v>
      </c>
      <c r="H337" s="91" t="s">
        <v>104</v>
      </c>
    </row>
    <row r="338" spans="1:8" x14ac:dyDescent="0.3">
      <c r="A338" s="91" t="s">
        <v>60</v>
      </c>
      <c r="B338" s="91" t="s">
        <v>223</v>
      </c>
      <c r="C338" s="91" t="s">
        <v>103</v>
      </c>
      <c r="D338" s="91" t="s">
        <v>104</v>
      </c>
      <c r="E338" s="91" t="s">
        <v>208</v>
      </c>
      <c r="F338" s="91" t="s">
        <v>106</v>
      </c>
      <c r="G338" s="91" t="s">
        <v>107</v>
      </c>
      <c r="H338" s="91" t="s">
        <v>104</v>
      </c>
    </row>
    <row r="339" spans="1:8" x14ac:dyDescent="0.3">
      <c r="A339" s="91" t="s">
        <v>60</v>
      </c>
      <c r="B339" s="91" t="s">
        <v>224</v>
      </c>
      <c r="C339" s="91" t="s">
        <v>103</v>
      </c>
      <c r="D339" s="91" t="s">
        <v>104</v>
      </c>
      <c r="E339" s="91" t="s">
        <v>208</v>
      </c>
      <c r="F339" s="91" t="s">
        <v>106</v>
      </c>
      <c r="G339" s="91" t="s">
        <v>107</v>
      </c>
      <c r="H339" s="91" t="s">
        <v>104</v>
      </c>
    </row>
    <row r="340" spans="1:8" x14ac:dyDescent="0.3">
      <c r="A340" s="91" t="s">
        <v>60</v>
      </c>
      <c r="B340" s="91" t="s">
        <v>225</v>
      </c>
      <c r="C340" s="91" t="s">
        <v>103</v>
      </c>
      <c r="D340" s="91" t="s">
        <v>104</v>
      </c>
      <c r="E340" s="91" t="s">
        <v>208</v>
      </c>
      <c r="F340" s="91" t="s">
        <v>106</v>
      </c>
      <c r="G340" s="91" t="s">
        <v>107</v>
      </c>
      <c r="H340" s="91" t="s">
        <v>104</v>
      </c>
    </row>
    <row r="341" spans="1:8" x14ac:dyDescent="0.3">
      <c r="A341" s="91" t="s">
        <v>60</v>
      </c>
      <c r="B341" s="91" t="s">
        <v>226</v>
      </c>
      <c r="C341" s="91" t="s">
        <v>103</v>
      </c>
      <c r="D341" s="91" t="s">
        <v>104</v>
      </c>
      <c r="E341" s="91" t="s">
        <v>208</v>
      </c>
      <c r="F341" s="91" t="s">
        <v>106</v>
      </c>
      <c r="G341" s="91" t="s">
        <v>107</v>
      </c>
      <c r="H341" s="91" t="s">
        <v>104</v>
      </c>
    </row>
    <row r="342" spans="1:8" x14ac:dyDescent="0.3">
      <c r="A342" s="91" t="s">
        <v>60</v>
      </c>
      <c r="B342" s="91" t="s">
        <v>227</v>
      </c>
      <c r="C342" s="91" t="s">
        <v>103</v>
      </c>
      <c r="D342" s="91" t="s">
        <v>104</v>
      </c>
      <c r="E342" s="91" t="s">
        <v>208</v>
      </c>
      <c r="F342" s="91" t="s">
        <v>106</v>
      </c>
      <c r="G342" s="91" t="s">
        <v>107</v>
      </c>
      <c r="H342" s="91" t="s">
        <v>104</v>
      </c>
    </row>
    <row r="343" spans="1:8" x14ac:dyDescent="0.3">
      <c r="A343" s="91" t="s">
        <v>60</v>
      </c>
      <c r="B343" s="91" t="s">
        <v>228</v>
      </c>
      <c r="C343" s="91" t="s">
        <v>103</v>
      </c>
      <c r="D343" s="91" t="s">
        <v>104</v>
      </c>
      <c r="E343" s="91" t="s">
        <v>208</v>
      </c>
      <c r="F343" s="91" t="s">
        <v>106</v>
      </c>
      <c r="G343" s="91" t="s">
        <v>107</v>
      </c>
      <c r="H343" s="91" t="s">
        <v>104</v>
      </c>
    </row>
    <row r="344" spans="1:8" x14ac:dyDescent="0.3">
      <c r="A344" s="91" t="s">
        <v>60</v>
      </c>
      <c r="B344" s="91" t="s">
        <v>229</v>
      </c>
      <c r="C344" s="91" t="s">
        <v>103</v>
      </c>
      <c r="D344" s="91" t="s">
        <v>104</v>
      </c>
      <c r="E344" s="91" t="s">
        <v>208</v>
      </c>
      <c r="F344" s="91" t="s">
        <v>106</v>
      </c>
      <c r="G344" s="91" t="s">
        <v>107</v>
      </c>
      <c r="H344" s="91" t="s">
        <v>104</v>
      </c>
    </row>
    <row r="345" spans="1:8" x14ac:dyDescent="0.3">
      <c r="A345" s="91" t="s">
        <v>60</v>
      </c>
      <c r="B345" s="91" t="s">
        <v>230</v>
      </c>
      <c r="C345" s="91" t="s">
        <v>103</v>
      </c>
      <c r="D345" s="91" t="s">
        <v>104</v>
      </c>
      <c r="E345" s="91" t="s">
        <v>208</v>
      </c>
      <c r="F345" s="91" t="s">
        <v>106</v>
      </c>
      <c r="G345" s="91" t="s">
        <v>107</v>
      </c>
      <c r="H345" s="91" t="s">
        <v>104</v>
      </c>
    </row>
    <row r="346" spans="1:8" x14ac:dyDescent="0.3">
      <c r="A346" s="91" t="s">
        <v>60</v>
      </c>
      <c r="B346" s="91" t="s">
        <v>231</v>
      </c>
      <c r="C346" s="91" t="s">
        <v>103</v>
      </c>
      <c r="D346" s="91" t="s">
        <v>104</v>
      </c>
      <c r="E346" s="91" t="s">
        <v>208</v>
      </c>
      <c r="F346" s="91" t="s">
        <v>106</v>
      </c>
      <c r="G346" s="91" t="s">
        <v>107</v>
      </c>
      <c r="H346" s="91" t="s">
        <v>104</v>
      </c>
    </row>
    <row r="347" spans="1:8" x14ac:dyDescent="0.3">
      <c r="A347" s="91" t="s">
        <v>60</v>
      </c>
      <c r="B347" s="91" t="s">
        <v>232</v>
      </c>
      <c r="C347" s="91" t="s">
        <v>103</v>
      </c>
      <c r="D347" s="91" t="s">
        <v>104</v>
      </c>
      <c r="E347" s="91" t="s">
        <v>208</v>
      </c>
      <c r="F347" s="91" t="s">
        <v>106</v>
      </c>
      <c r="G347" s="91" t="s">
        <v>107</v>
      </c>
      <c r="H347" s="91" t="s">
        <v>104</v>
      </c>
    </row>
    <row r="348" spans="1:8" x14ac:dyDescent="0.3">
      <c r="A348" s="91" t="s">
        <v>60</v>
      </c>
      <c r="B348" s="91" t="s">
        <v>233</v>
      </c>
      <c r="C348" s="91" t="s">
        <v>103</v>
      </c>
      <c r="D348" s="91" t="s">
        <v>104</v>
      </c>
      <c r="E348" s="91" t="s">
        <v>208</v>
      </c>
      <c r="F348" s="91" t="s">
        <v>106</v>
      </c>
      <c r="G348" s="91" t="s">
        <v>107</v>
      </c>
      <c r="H348" s="91" t="s">
        <v>104</v>
      </c>
    </row>
    <row r="349" spans="1:8" x14ac:dyDescent="0.3">
      <c r="A349" s="91" t="s">
        <v>60</v>
      </c>
      <c r="B349" s="91" t="s">
        <v>234</v>
      </c>
      <c r="C349" s="91" t="s">
        <v>103</v>
      </c>
      <c r="D349" s="91" t="s">
        <v>104</v>
      </c>
      <c r="E349" s="91" t="s">
        <v>208</v>
      </c>
      <c r="F349" s="91" t="s">
        <v>106</v>
      </c>
      <c r="G349" s="91" t="s">
        <v>107</v>
      </c>
      <c r="H349" s="91" t="s">
        <v>104</v>
      </c>
    </row>
    <row r="350" spans="1:8" x14ac:dyDescent="0.3">
      <c r="A350" s="91" t="s">
        <v>60</v>
      </c>
      <c r="B350" s="91" t="s">
        <v>235</v>
      </c>
      <c r="C350" s="91" t="s">
        <v>103</v>
      </c>
      <c r="D350" s="91" t="s">
        <v>104</v>
      </c>
      <c r="E350" s="91" t="s">
        <v>208</v>
      </c>
      <c r="F350" s="91" t="s">
        <v>106</v>
      </c>
      <c r="G350" s="91" t="s">
        <v>107</v>
      </c>
      <c r="H350" s="91" t="s">
        <v>104</v>
      </c>
    </row>
    <row r="351" spans="1:8" x14ac:dyDescent="0.3">
      <c r="A351" s="91" t="s">
        <v>60</v>
      </c>
      <c r="B351" s="91" t="s">
        <v>236</v>
      </c>
      <c r="C351" s="91" t="s">
        <v>103</v>
      </c>
      <c r="D351" s="91" t="s">
        <v>104</v>
      </c>
      <c r="E351" s="91" t="s">
        <v>208</v>
      </c>
      <c r="F351" s="91" t="s">
        <v>106</v>
      </c>
      <c r="G351" s="91" t="s">
        <v>107</v>
      </c>
      <c r="H351" s="91" t="s">
        <v>104</v>
      </c>
    </row>
    <row r="352" spans="1:8" x14ac:dyDescent="0.3">
      <c r="A352" s="91" t="s">
        <v>60</v>
      </c>
      <c r="B352" s="91" t="s">
        <v>237</v>
      </c>
      <c r="C352" s="91" t="s">
        <v>103</v>
      </c>
      <c r="D352" s="91" t="s">
        <v>104</v>
      </c>
      <c r="E352" s="91" t="s">
        <v>208</v>
      </c>
      <c r="F352" s="91" t="s">
        <v>106</v>
      </c>
      <c r="G352" s="91" t="s">
        <v>107</v>
      </c>
      <c r="H352" s="91" t="s">
        <v>104</v>
      </c>
    </row>
    <row r="353" spans="1:8" x14ac:dyDescent="0.3">
      <c r="A353" s="91" t="s">
        <v>60</v>
      </c>
      <c r="B353" s="91" t="s">
        <v>238</v>
      </c>
      <c r="C353" s="91" t="s">
        <v>103</v>
      </c>
      <c r="D353" s="91" t="s">
        <v>104</v>
      </c>
      <c r="E353" s="91" t="s">
        <v>208</v>
      </c>
      <c r="F353" s="91" t="s">
        <v>106</v>
      </c>
      <c r="G353" s="91" t="s">
        <v>107</v>
      </c>
      <c r="H353" s="91" t="s">
        <v>104</v>
      </c>
    </row>
    <row r="354" spans="1:8" x14ac:dyDescent="0.3">
      <c r="A354" s="91" t="s">
        <v>60</v>
      </c>
      <c r="B354" s="91" t="s">
        <v>239</v>
      </c>
      <c r="C354" s="91" t="s">
        <v>103</v>
      </c>
      <c r="D354" s="91" t="s">
        <v>104</v>
      </c>
      <c r="E354" s="91" t="s">
        <v>208</v>
      </c>
      <c r="F354" s="91" t="s">
        <v>106</v>
      </c>
      <c r="G354" s="91" t="s">
        <v>107</v>
      </c>
      <c r="H354" s="91" t="s">
        <v>104</v>
      </c>
    </row>
    <row r="355" spans="1:8" x14ac:dyDescent="0.3">
      <c r="A355" s="91" t="s">
        <v>60</v>
      </c>
      <c r="B355" s="91" t="s">
        <v>240</v>
      </c>
      <c r="C355" s="91" t="s">
        <v>103</v>
      </c>
      <c r="D355" s="91" t="s">
        <v>104</v>
      </c>
      <c r="E355" s="91" t="s">
        <v>208</v>
      </c>
      <c r="F355" s="91" t="s">
        <v>106</v>
      </c>
      <c r="G355" s="91" t="s">
        <v>107</v>
      </c>
      <c r="H355" s="91" t="s">
        <v>104</v>
      </c>
    </row>
    <row r="356" spans="1:8" x14ac:dyDescent="0.3">
      <c r="A356" s="91" t="s">
        <v>60</v>
      </c>
      <c r="B356" s="91" t="s">
        <v>241</v>
      </c>
      <c r="C356" s="91" t="s">
        <v>103</v>
      </c>
      <c r="D356" s="91" t="s">
        <v>104</v>
      </c>
      <c r="E356" s="91" t="s">
        <v>208</v>
      </c>
      <c r="F356" s="91" t="s">
        <v>106</v>
      </c>
      <c r="G356" s="91" t="s">
        <v>107</v>
      </c>
      <c r="H356" s="91" t="s">
        <v>104</v>
      </c>
    </row>
    <row r="357" spans="1:8" x14ac:dyDescent="0.3">
      <c r="A357" s="91" t="s">
        <v>60</v>
      </c>
      <c r="B357" s="91" t="s">
        <v>242</v>
      </c>
      <c r="C357" s="91" t="s">
        <v>103</v>
      </c>
      <c r="D357" s="91" t="s">
        <v>104</v>
      </c>
      <c r="E357" s="91" t="s">
        <v>208</v>
      </c>
      <c r="F357" s="91" t="s">
        <v>106</v>
      </c>
      <c r="G357" s="91" t="s">
        <v>107</v>
      </c>
      <c r="H357" s="91" t="s">
        <v>104</v>
      </c>
    </row>
    <row r="358" spans="1:8" x14ac:dyDescent="0.3">
      <c r="A358" s="91" t="s">
        <v>60</v>
      </c>
      <c r="B358" s="91" t="s">
        <v>243</v>
      </c>
      <c r="C358" s="91" t="s">
        <v>103</v>
      </c>
      <c r="D358" s="91" t="s">
        <v>104</v>
      </c>
      <c r="E358" s="91" t="s">
        <v>208</v>
      </c>
      <c r="F358" s="91" t="s">
        <v>106</v>
      </c>
      <c r="G358" s="91" t="s">
        <v>107</v>
      </c>
      <c r="H358" s="91" t="s">
        <v>104</v>
      </c>
    </row>
    <row r="359" spans="1:8" x14ac:dyDescent="0.3">
      <c r="A359" s="91" t="s">
        <v>60</v>
      </c>
      <c r="B359" s="91" t="s">
        <v>244</v>
      </c>
      <c r="C359" s="91" t="s">
        <v>103</v>
      </c>
      <c r="D359" s="91" t="s">
        <v>104</v>
      </c>
      <c r="E359" s="91" t="s">
        <v>208</v>
      </c>
      <c r="F359" s="91" t="s">
        <v>106</v>
      </c>
      <c r="G359" s="91" t="s">
        <v>107</v>
      </c>
      <c r="H359" s="91" t="s">
        <v>104</v>
      </c>
    </row>
    <row r="360" spans="1:8" x14ac:dyDescent="0.3">
      <c r="A360" s="91" t="s">
        <v>60</v>
      </c>
      <c r="B360" s="91" t="s">
        <v>245</v>
      </c>
      <c r="C360" s="91" t="s">
        <v>103</v>
      </c>
      <c r="D360" s="91" t="s">
        <v>104</v>
      </c>
      <c r="E360" s="91" t="s">
        <v>208</v>
      </c>
      <c r="F360" s="91" t="s">
        <v>106</v>
      </c>
      <c r="G360" s="91" t="s">
        <v>107</v>
      </c>
      <c r="H360" s="91" t="s">
        <v>104</v>
      </c>
    </row>
    <row r="361" spans="1:8" x14ac:dyDescent="0.3">
      <c r="A361" s="91" t="s">
        <v>60</v>
      </c>
      <c r="B361" s="91" t="s">
        <v>246</v>
      </c>
      <c r="C361" s="91" t="s">
        <v>103</v>
      </c>
      <c r="D361" s="91" t="s">
        <v>104</v>
      </c>
      <c r="E361" s="91" t="s">
        <v>208</v>
      </c>
      <c r="F361" s="91" t="s">
        <v>106</v>
      </c>
      <c r="G361" s="91" t="s">
        <v>107</v>
      </c>
      <c r="H361" s="91" t="s">
        <v>104</v>
      </c>
    </row>
    <row r="362" spans="1:8" x14ac:dyDescent="0.3">
      <c r="A362" s="91" t="s">
        <v>60</v>
      </c>
      <c r="B362" s="91" t="s">
        <v>247</v>
      </c>
      <c r="C362" s="91" t="s">
        <v>103</v>
      </c>
      <c r="D362" s="91" t="s">
        <v>104</v>
      </c>
      <c r="E362" s="91" t="s">
        <v>208</v>
      </c>
      <c r="F362" s="91" t="s">
        <v>106</v>
      </c>
      <c r="G362" s="91" t="s">
        <v>107</v>
      </c>
      <c r="H362" s="91" t="s">
        <v>104</v>
      </c>
    </row>
    <row r="363" spans="1:8" x14ac:dyDescent="0.3">
      <c r="A363" s="91" t="s">
        <v>60</v>
      </c>
      <c r="B363" s="91" t="s">
        <v>248</v>
      </c>
      <c r="C363" s="91" t="s">
        <v>103</v>
      </c>
      <c r="D363" s="91" t="s">
        <v>104</v>
      </c>
      <c r="E363" s="91" t="s">
        <v>208</v>
      </c>
      <c r="F363" s="91" t="s">
        <v>106</v>
      </c>
      <c r="G363" s="91" t="s">
        <v>107</v>
      </c>
      <c r="H363" s="91" t="s">
        <v>104</v>
      </c>
    </row>
    <row r="364" spans="1:8" x14ac:dyDescent="0.3">
      <c r="A364" s="91" t="s">
        <v>60</v>
      </c>
      <c r="B364" s="91" t="s">
        <v>249</v>
      </c>
      <c r="C364" s="91" t="s">
        <v>103</v>
      </c>
      <c r="D364" s="91" t="s">
        <v>104</v>
      </c>
      <c r="E364" s="91" t="s">
        <v>208</v>
      </c>
      <c r="F364" s="91" t="s">
        <v>106</v>
      </c>
      <c r="G364" s="91" t="s">
        <v>107</v>
      </c>
      <c r="H364" s="91" t="s">
        <v>104</v>
      </c>
    </row>
    <row r="365" spans="1:8" x14ac:dyDescent="0.3">
      <c r="A365" s="91" t="s">
        <v>60</v>
      </c>
      <c r="B365" s="91" t="s">
        <v>250</v>
      </c>
      <c r="C365" s="91" t="s">
        <v>103</v>
      </c>
      <c r="D365" s="91" t="s">
        <v>104</v>
      </c>
      <c r="E365" s="91" t="s">
        <v>208</v>
      </c>
      <c r="F365" s="91" t="s">
        <v>106</v>
      </c>
      <c r="G365" s="91" t="s">
        <v>107</v>
      </c>
      <c r="H365" s="91" t="s">
        <v>104</v>
      </c>
    </row>
    <row r="366" spans="1:8" x14ac:dyDescent="0.3">
      <c r="A366" s="91" t="s">
        <v>60</v>
      </c>
      <c r="B366" s="91" t="s">
        <v>251</v>
      </c>
      <c r="C366" s="91" t="s">
        <v>103</v>
      </c>
      <c r="D366" s="91" t="s">
        <v>104</v>
      </c>
      <c r="E366" s="91" t="s">
        <v>208</v>
      </c>
      <c r="F366" s="91" t="s">
        <v>106</v>
      </c>
      <c r="G366" s="91" t="s">
        <v>107</v>
      </c>
      <c r="H366" s="91" t="s">
        <v>104</v>
      </c>
    </row>
    <row r="367" spans="1:8" x14ac:dyDescent="0.3">
      <c r="A367" s="91" t="s">
        <v>60</v>
      </c>
      <c r="B367" s="91" t="s">
        <v>252</v>
      </c>
      <c r="C367" s="91" t="s">
        <v>103</v>
      </c>
      <c r="D367" s="91" t="s">
        <v>104</v>
      </c>
      <c r="E367" s="91" t="s">
        <v>208</v>
      </c>
      <c r="F367" s="91" t="s">
        <v>106</v>
      </c>
      <c r="G367" s="91" t="s">
        <v>107</v>
      </c>
      <c r="H367" s="91" t="s">
        <v>104</v>
      </c>
    </row>
    <row r="368" spans="1:8" x14ac:dyDescent="0.3">
      <c r="A368" s="91" t="s">
        <v>60</v>
      </c>
      <c r="B368" s="91" t="s">
        <v>253</v>
      </c>
      <c r="C368" s="91" t="s">
        <v>103</v>
      </c>
      <c r="D368" s="91" t="s">
        <v>104</v>
      </c>
      <c r="E368" s="91" t="s">
        <v>208</v>
      </c>
      <c r="F368" s="91" t="s">
        <v>106</v>
      </c>
      <c r="G368" s="91" t="s">
        <v>107</v>
      </c>
      <c r="H368" s="91" t="s">
        <v>104</v>
      </c>
    </row>
    <row r="369" spans="1:8" x14ac:dyDescent="0.3">
      <c r="A369" s="91" t="s">
        <v>60</v>
      </c>
      <c r="B369" s="91" t="s">
        <v>254</v>
      </c>
      <c r="C369" s="91" t="s">
        <v>103</v>
      </c>
      <c r="D369" s="91" t="s">
        <v>104</v>
      </c>
      <c r="E369" s="91" t="s">
        <v>208</v>
      </c>
      <c r="F369" s="91" t="s">
        <v>106</v>
      </c>
      <c r="G369" s="91" t="s">
        <v>107</v>
      </c>
      <c r="H369" s="91" t="s">
        <v>104</v>
      </c>
    </row>
    <row r="370" spans="1:8" x14ac:dyDescent="0.3">
      <c r="A370" s="91" t="s">
        <v>60</v>
      </c>
      <c r="B370" s="91" t="s">
        <v>255</v>
      </c>
      <c r="C370" s="91" t="s">
        <v>103</v>
      </c>
      <c r="D370" s="91" t="s">
        <v>104</v>
      </c>
      <c r="E370" s="91" t="s">
        <v>208</v>
      </c>
      <c r="F370" s="91" t="s">
        <v>106</v>
      </c>
      <c r="G370" s="91" t="s">
        <v>107</v>
      </c>
      <c r="H370" s="91" t="s">
        <v>104</v>
      </c>
    </row>
    <row r="371" spans="1:8" x14ac:dyDescent="0.3">
      <c r="A371" s="91" t="s">
        <v>60</v>
      </c>
      <c r="B371" s="91" t="s">
        <v>256</v>
      </c>
      <c r="C371" s="91" t="s">
        <v>103</v>
      </c>
      <c r="D371" s="91" t="s">
        <v>104</v>
      </c>
      <c r="E371" s="91" t="s">
        <v>208</v>
      </c>
      <c r="F371" s="91" t="s">
        <v>106</v>
      </c>
      <c r="G371" s="91" t="s">
        <v>107</v>
      </c>
      <c r="H371" s="91" t="s">
        <v>104</v>
      </c>
    </row>
    <row r="372" spans="1:8" x14ac:dyDescent="0.3">
      <c r="A372" s="91" t="s">
        <v>60</v>
      </c>
      <c r="B372" s="91" t="s">
        <v>257</v>
      </c>
      <c r="C372" s="91" t="s">
        <v>103</v>
      </c>
      <c r="D372" s="91" t="s">
        <v>104</v>
      </c>
      <c r="E372" s="91" t="s">
        <v>208</v>
      </c>
      <c r="F372" s="91" t="s">
        <v>106</v>
      </c>
      <c r="G372" s="91" t="s">
        <v>107</v>
      </c>
      <c r="H372" s="91" t="s">
        <v>104</v>
      </c>
    </row>
    <row r="373" spans="1:8" x14ac:dyDescent="0.3">
      <c r="A373" s="91" t="s">
        <v>60</v>
      </c>
      <c r="B373" s="91" t="s">
        <v>258</v>
      </c>
      <c r="C373" s="91" t="s">
        <v>103</v>
      </c>
      <c r="D373" s="91" t="s">
        <v>104</v>
      </c>
      <c r="E373" s="91" t="s">
        <v>208</v>
      </c>
      <c r="F373" s="91" t="s">
        <v>106</v>
      </c>
      <c r="G373" s="91" t="s">
        <v>107</v>
      </c>
      <c r="H373" s="91" t="s">
        <v>104</v>
      </c>
    </row>
    <row r="374" spans="1:8" x14ac:dyDescent="0.3">
      <c r="A374" s="91" t="s">
        <v>60</v>
      </c>
      <c r="B374" s="91" t="s">
        <v>259</v>
      </c>
      <c r="C374" s="91" t="s">
        <v>103</v>
      </c>
      <c r="D374" s="91" t="s">
        <v>104</v>
      </c>
      <c r="E374" s="91" t="s">
        <v>208</v>
      </c>
      <c r="F374" s="91" t="s">
        <v>106</v>
      </c>
      <c r="G374" s="91" t="s">
        <v>107</v>
      </c>
      <c r="H374" s="91" t="s">
        <v>104</v>
      </c>
    </row>
    <row r="375" spans="1:8" x14ac:dyDescent="0.3">
      <c r="A375" s="91" t="s">
        <v>60</v>
      </c>
      <c r="B375" s="91" t="s">
        <v>260</v>
      </c>
      <c r="C375" s="91" t="s">
        <v>103</v>
      </c>
      <c r="D375" s="91" t="s">
        <v>104</v>
      </c>
      <c r="E375" s="91" t="s">
        <v>208</v>
      </c>
      <c r="F375" s="91" t="s">
        <v>106</v>
      </c>
      <c r="G375" s="91" t="s">
        <v>107</v>
      </c>
      <c r="H375" s="91" t="s">
        <v>104</v>
      </c>
    </row>
    <row r="376" spans="1:8" x14ac:dyDescent="0.3">
      <c r="A376" s="91" t="s">
        <v>60</v>
      </c>
      <c r="B376" s="91" t="s">
        <v>261</v>
      </c>
      <c r="C376" s="91" t="s">
        <v>103</v>
      </c>
      <c r="D376" s="91" t="s">
        <v>104</v>
      </c>
      <c r="E376" s="91" t="s">
        <v>208</v>
      </c>
      <c r="F376" s="91" t="s">
        <v>106</v>
      </c>
      <c r="G376" s="91" t="s">
        <v>107</v>
      </c>
      <c r="H376" s="91" t="s">
        <v>104</v>
      </c>
    </row>
    <row r="377" spans="1:8" x14ac:dyDescent="0.3">
      <c r="A377" s="91" t="s">
        <v>60</v>
      </c>
      <c r="B377" s="91" t="s">
        <v>270</v>
      </c>
      <c r="C377" s="91" t="s">
        <v>103</v>
      </c>
      <c r="D377" s="91" t="s">
        <v>104</v>
      </c>
      <c r="E377" s="91" t="s">
        <v>208</v>
      </c>
      <c r="F377" s="91" t="s">
        <v>106</v>
      </c>
      <c r="G377" s="91" t="s">
        <v>107</v>
      </c>
      <c r="H377" s="91" t="s">
        <v>104</v>
      </c>
    </row>
    <row r="378" spans="1:8" x14ac:dyDescent="0.3">
      <c r="A378" s="91" t="s">
        <v>60</v>
      </c>
      <c r="B378" s="91" t="s">
        <v>271</v>
      </c>
      <c r="C378" s="91" t="s">
        <v>103</v>
      </c>
      <c r="D378" s="91" t="s">
        <v>104</v>
      </c>
      <c r="E378" s="91" t="s">
        <v>208</v>
      </c>
      <c r="F378" s="91" t="s">
        <v>106</v>
      </c>
      <c r="G378" s="91" t="s">
        <v>107</v>
      </c>
      <c r="H378" s="91" t="s">
        <v>104</v>
      </c>
    </row>
    <row r="379" spans="1:8" x14ac:dyDescent="0.3">
      <c r="A379" s="91" t="s">
        <v>60</v>
      </c>
      <c r="B379" s="91" t="s">
        <v>272</v>
      </c>
      <c r="C379" s="91" t="s">
        <v>103</v>
      </c>
      <c r="D379" s="91" t="s">
        <v>104</v>
      </c>
      <c r="E379" s="91" t="s">
        <v>208</v>
      </c>
      <c r="F379" s="91" t="s">
        <v>106</v>
      </c>
      <c r="G379" s="91" t="s">
        <v>107</v>
      </c>
      <c r="H379" s="91" t="s">
        <v>104</v>
      </c>
    </row>
    <row r="380" spans="1:8" x14ac:dyDescent="0.3">
      <c r="A380" s="91" t="s">
        <v>60</v>
      </c>
      <c r="B380" s="91" t="s">
        <v>273</v>
      </c>
      <c r="C380" s="91" t="s">
        <v>103</v>
      </c>
      <c r="D380" s="91" t="s">
        <v>104</v>
      </c>
      <c r="E380" s="91" t="s">
        <v>208</v>
      </c>
      <c r="F380" s="91" t="s">
        <v>106</v>
      </c>
      <c r="G380" s="91" t="s">
        <v>107</v>
      </c>
      <c r="H380" s="91" t="s">
        <v>104</v>
      </c>
    </row>
    <row r="381" spans="1:8" x14ac:dyDescent="0.3">
      <c r="A381" s="91" t="s">
        <v>60</v>
      </c>
      <c r="B381" s="91" t="s">
        <v>274</v>
      </c>
      <c r="C381" s="91" t="s">
        <v>103</v>
      </c>
      <c r="D381" s="91" t="s">
        <v>104</v>
      </c>
      <c r="E381" s="91" t="s">
        <v>208</v>
      </c>
      <c r="F381" s="91" t="s">
        <v>106</v>
      </c>
      <c r="G381" s="91" t="s">
        <v>107</v>
      </c>
      <c r="H381" s="91" t="s">
        <v>104</v>
      </c>
    </row>
    <row r="382" spans="1:8" x14ac:dyDescent="0.3">
      <c r="A382" s="91" t="s">
        <v>60</v>
      </c>
      <c r="B382" s="91" t="s">
        <v>275</v>
      </c>
      <c r="C382" s="91" t="s">
        <v>103</v>
      </c>
      <c r="D382" s="91" t="s">
        <v>104</v>
      </c>
      <c r="E382" s="91" t="s">
        <v>208</v>
      </c>
      <c r="F382" s="91" t="s">
        <v>106</v>
      </c>
      <c r="G382" s="91" t="s">
        <v>107</v>
      </c>
      <c r="H382" s="91" t="s">
        <v>104</v>
      </c>
    </row>
    <row r="383" spans="1:8" x14ac:dyDescent="0.3">
      <c r="A383" s="91" t="s">
        <v>60</v>
      </c>
      <c r="B383" s="91" t="s">
        <v>276</v>
      </c>
      <c r="C383" s="91" t="s">
        <v>103</v>
      </c>
      <c r="D383" s="91" t="s">
        <v>104</v>
      </c>
      <c r="E383" s="91" t="s">
        <v>208</v>
      </c>
      <c r="F383" s="91" t="s">
        <v>106</v>
      </c>
      <c r="G383" s="91" t="s">
        <v>107</v>
      </c>
      <c r="H383" s="91" t="s">
        <v>104</v>
      </c>
    </row>
    <row r="384" spans="1:8" x14ac:dyDescent="0.3">
      <c r="A384" s="91" t="s">
        <v>60</v>
      </c>
      <c r="B384" s="91" t="s">
        <v>277</v>
      </c>
      <c r="C384" s="91" t="s">
        <v>103</v>
      </c>
      <c r="D384" s="91" t="s">
        <v>104</v>
      </c>
      <c r="E384" s="91" t="s">
        <v>208</v>
      </c>
      <c r="F384" s="91" t="s">
        <v>106</v>
      </c>
      <c r="G384" s="91" t="s">
        <v>107</v>
      </c>
      <c r="H384" s="91" t="s">
        <v>104</v>
      </c>
    </row>
    <row r="385" spans="1:8" x14ac:dyDescent="0.3">
      <c r="A385" s="91" t="s">
        <v>60</v>
      </c>
      <c r="B385" s="91" t="s">
        <v>278</v>
      </c>
      <c r="C385" s="91" t="s">
        <v>103</v>
      </c>
      <c r="D385" s="91" t="s">
        <v>104</v>
      </c>
      <c r="E385" s="91" t="s">
        <v>208</v>
      </c>
      <c r="F385" s="91" t="s">
        <v>106</v>
      </c>
      <c r="G385" s="91" t="s">
        <v>107</v>
      </c>
      <c r="H385" s="91" t="s">
        <v>104</v>
      </c>
    </row>
    <row r="386" spans="1:8" x14ac:dyDescent="0.3">
      <c r="A386" s="91" t="s">
        <v>60</v>
      </c>
      <c r="B386" s="91" t="s">
        <v>279</v>
      </c>
      <c r="C386" s="91" t="s">
        <v>103</v>
      </c>
      <c r="D386" s="91" t="s">
        <v>104</v>
      </c>
      <c r="E386" s="91" t="s">
        <v>208</v>
      </c>
      <c r="F386" s="91" t="s">
        <v>106</v>
      </c>
      <c r="G386" s="91" t="s">
        <v>107</v>
      </c>
      <c r="H386" s="91" t="s">
        <v>104</v>
      </c>
    </row>
    <row r="387" spans="1:8" x14ac:dyDescent="0.3">
      <c r="A387" s="91" t="s">
        <v>60</v>
      </c>
      <c r="B387" s="91" t="s">
        <v>280</v>
      </c>
      <c r="C387" s="91" t="s">
        <v>103</v>
      </c>
      <c r="D387" s="91" t="s">
        <v>104</v>
      </c>
      <c r="E387" s="91" t="s">
        <v>208</v>
      </c>
      <c r="F387" s="91" t="s">
        <v>106</v>
      </c>
      <c r="G387" s="91" t="s">
        <v>107</v>
      </c>
      <c r="H387" s="91" t="s">
        <v>104</v>
      </c>
    </row>
    <row r="388" spans="1:8" x14ac:dyDescent="0.3">
      <c r="A388" s="91" t="s">
        <v>60</v>
      </c>
      <c r="B388" s="91" t="s">
        <v>281</v>
      </c>
      <c r="C388" s="91" t="s">
        <v>103</v>
      </c>
      <c r="D388" s="91" t="s">
        <v>104</v>
      </c>
      <c r="E388" s="91" t="s">
        <v>208</v>
      </c>
      <c r="F388" s="91" t="s">
        <v>106</v>
      </c>
      <c r="G388" s="91" t="s">
        <v>107</v>
      </c>
      <c r="H388" s="91" t="s">
        <v>104</v>
      </c>
    </row>
    <row r="389" spans="1:8" x14ac:dyDescent="0.3">
      <c r="A389" s="91" t="s">
        <v>60</v>
      </c>
      <c r="B389" s="91" t="s">
        <v>282</v>
      </c>
      <c r="C389" s="91" t="s">
        <v>103</v>
      </c>
      <c r="D389" s="91" t="s">
        <v>104</v>
      </c>
      <c r="E389" s="91" t="s">
        <v>208</v>
      </c>
      <c r="F389" s="91" t="s">
        <v>106</v>
      </c>
      <c r="G389" s="91" t="s">
        <v>107</v>
      </c>
      <c r="H389" s="91" t="s">
        <v>104</v>
      </c>
    </row>
    <row r="390" spans="1:8" x14ac:dyDescent="0.3">
      <c r="A390" s="91" t="s">
        <v>60</v>
      </c>
      <c r="B390" s="91" t="s">
        <v>283</v>
      </c>
      <c r="C390" s="91" t="s">
        <v>103</v>
      </c>
      <c r="D390" s="91" t="s">
        <v>104</v>
      </c>
      <c r="E390" s="91" t="s">
        <v>208</v>
      </c>
      <c r="F390" s="91" t="s">
        <v>106</v>
      </c>
      <c r="G390" s="91" t="s">
        <v>107</v>
      </c>
      <c r="H390" s="91" t="s">
        <v>104</v>
      </c>
    </row>
    <row r="391" spans="1:8" x14ac:dyDescent="0.3">
      <c r="A391" s="91" t="s">
        <v>60</v>
      </c>
      <c r="B391" s="91" t="s">
        <v>284</v>
      </c>
      <c r="C391" s="91" t="s">
        <v>103</v>
      </c>
      <c r="D391" s="91" t="s">
        <v>104</v>
      </c>
      <c r="E391" s="91" t="s">
        <v>208</v>
      </c>
      <c r="F391" s="91" t="s">
        <v>106</v>
      </c>
      <c r="G391" s="91" t="s">
        <v>107</v>
      </c>
      <c r="H391" s="91" t="s">
        <v>104</v>
      </c>
    </row>
    <row r="392" spans="1:8" x14ac:dyDescent="0.3">
      <c r="A392" s="91" t="s">
        <v>60</v>
      </c>
      <c r="B392" s="91" t="s">
        <v>285</v>
      </c>
      <c r="C392" s="91" t="s">
        <v>103</v>
      </c>
      <c r="D392" s="91" t="s">
        <v>104</v>
      </c>
      <c r="E392" s="91" t="s">
        <v>208</v>
      </c>
      <c r="F392" s="91" t="s">
        <v>106</v>
      </c>
      <c r="G392" s="91" t="s">
        <v>107</v>
      </c>
      <c r="H392" s="91" t="s">
        <v>104</v>
      </c>
    </row>
    <row r="393" spans="1:8" x14ac:dyDescent="0.3">
      <c r="A393" s="91" t="s">
        <v>60</v>
      </c>
      <c r="B393" s="91" t="s">
        <v>286</v>
      </c>
      <c r="C393" s="91" t="s">
        <v>103</v>
      </c>
      <c r="D393" s="91" t="s">
        <v>104</v>
      </c>
      <c r="E393" s="91" t="s">
        <v>208</v>
      </c>
      <c r="F393" s="91" t="s">
        <v>106</v>
      </c>
      <c r="G393" s="91" t="s">
        <v>107</v>
      </c>
      <c r="H393" s="91" t="s">
        <v>104</v>
      </c>
    </row>
    <row r="394" spans="1:8" x14ac:dyDescent="0.3">
      <c r="A394" s="91" t="s">
        <v>60</v>
      </c>
      <c r="B394" s="91" t="s">
        <v>287</v>
      </c>
      <c r="C394" s="91" t="s">
        <v>103</v>
      </c>
      <c r="D394" s="91" t="s">
        <v>104</v>
      </c>
      <c r="E394" s="91" t="s">
        <v>208</v>
      </c>
      <c r="F394" s="91" t="s">
        <v>106</v>
      </c>
      <c r="G394" s="91" t="s">
        <v>107</v>
      </c>
      <c r="H394" s="91" t="s">
        <v>104</v>
      </c>
    </row>
    <row r="395" spans="1:8" x14ac:dyDescent="0.3">
      <c r="A395" s="91" t="s">
        <v>60</v>
      </c>
      <c r="B395" s="91" t="s">
        <v>288</v>
      </c>
      <c r="C395" s="91" t="s">
        <v>103</v>
      </c>
      <c r="D395" s="91" t="s">
        <v>104</v>
      </c>
      <c r="E395" s="91" t="s">
        <v>208</v>
      </c>
      <c r="F395" s="91" t="s">
        <v>106</v>
      </c>
      <c r="G395" s="91" t="s">
        <v>107</v>
      </c>
      <c r="H395" s="91" t="s">
        <v>104</v>
      </c>
    </row>
    <row r="396" spans="1:8" x14ac:dyDescent="0.3">
      <c r="A396" s="91" t="s">
        <v>60</v>
      </c>
      <c r="B396" s="91" t="s">
        <v>289</v>
      </c>
      <c r="C396" s="91" t="s">
        <v>103</v>
      </c>
      <c r="D396" s="91" t="s">
        <v>104</v>
      </c>
      <c r="E396" s="91" t="s">
        <v>208</v>
      </c>
      <c r="F396" s="91" t="s">
        <v>106</v>
      </c>
      <c r="G396" s="91" t="s">
        <v>107</v>
      </c>
      <c r="H396" s="91" t="s">
        <v>104</v>
      </c>
    </row>
    <row r="397" spans="1:8" x14ac:dyDescent="0.3">
      <c r="A397" s="91" t="s">
        <v>60</v>
      </c>
      <c r="B397" s="91" t="s">
        <v>290</v>
      </c>
      <c r="C397" s="91" t="s">
        <v>103</v>
      </c>
      <c r="D397" s="91" t="s">
        <v>104</v>
      </c>
      <c r="E397" s="91" t="s">
        <v>208</v>
      </c>
      <c r="F397" s="91" t="s">
        <v>106</v>
      </c>
      <c r="G397" s="91" t="s">
        <v>107</v>
      </c>
      <c r="H397" s="91" t="s">
        <v>104</v>
      </c>
    </row>
    <row r="398" spans="1:8" x14ac:dyDescent="0.3">
      <c r="A398" s="91" t="s">
        <v>60</v>
      </c>
      <c r="B398" s="91" t="s">
        <v>291</v>
      </c>
      <c r="C398" s="91" t="s">
        <v>103</v>
      </c>
      <c r="D398" s="91" t="s">
        <v>104</v>
      </c>
      <c r="E398" s="91" t="s">
        <v>208</v>
      </c>
      <c r="F398" s="91" t="s">
        <v>106</v>
      </c>
      <c r="G398" s="91" t="s">
        <v>107</v>
      </c>
      <c r="H398" s="91" t="s">
        <v>104</v>
      </c>
    </row>
    <row r="399" spans="1:8" x14ac:dyDescent="0.3">
      <c r="A399" s="91" t="s">
        <v>60</v>
      </c>
      <c r="B399" s="91" t="s">
        <v>292</v>
      </c>
      <c r="C399" s="91" t="s">
        <v>103</v>
      </c>
      <c r="D399" s="91" t="s">
        <v>104</v>
      </c>
      <c r="E399" s="91" t="s">
        <v>208</v>
      </c>
      <c r="F399" s="91" t="s">
        <v>106</v>
      </c>
      <c r="G399" s="91" t="s">
        <v>107</v>
      </c>
      <c r="H399" s="91" t="s">
        <v>104</v>
      </c>
    </row>
    <row r="400" spans="1:8" x14ac:dyDescent="0.3">
      <c r="A400" s="91" t="s">
        <v>60</v>
      </c>
      <c r="B400" s="91" t="s">
        <v>293</v>
      </c>
      <c r="C400" s="91" t="s">
        <v>103</v>
      </c>
      <c r="D400" s="91" t="s">
        <v>104</v>
      </c>
      <c r="E400" s="91" t="s">
        <v>208</v>
      </c>
      <c r="F400" s="91" t="s">
        <v>106</v>
      </c>
      <c r="G400" s="91" t="s">
        <v>107</v>
      </c>
      <c r="H400" s="91" t="s">
        <v>104</v>
      </c>
    </row>
    <row r="401" spans="1:8" x14ac:dyDescent="0.3">
      <c r="A401" s="91" t="s">
        <v>60</v>
      </c>
      <c r="B401" s="91" t="s">
        <v>294</v>
      </c>
      <c r="C401" s="91" t="s">
        <v>103</v>
      </c>
      <c r="D401" s="91" t="s">
        <v>104</v>
      </c>
      <c r="E401" s="91" t="s">
        <v>208</v>
      </c>
      <c r="F401" s="91" t="s">
        <v>106</v>
      </c>
      <c r="G401" s="91" t="s">
        <v>107</v>
      </c>
      <c r="H401" s="91" t="s">
        <v>104</v>
      </c>
    </row>
    <row r="402" spans="1:8" x14ac:dyDescent="0.3">
      <c r="A402" s="91" t="s">
        <v>60</v>
      </c>
      <c r="B402" s="91" t="s">
        <v>295</v>
      </c>
      <c r="C402" s="91" t="s">
        <v>103</v>
      </c>
      <c r="D402" s="91" t="s">
        <v>104</v>
      </c>
      <c r="E402" s="91" t="s">
        <v>208</v>
      </c>
      <c r="F402" s="91" t="s">
        <v>106</v>
      </c>
      <c r="G402" s="91" t="s">
        <v>107</v>
      </c>
      <c r="H402" s="91" t="s">
        <v>104</v>
      </c>
    </row>
    <row r="403" spans="1:8" x14ac:dyDescent="0.3">
      <c r="A403" s="91" t="s">
        <v>60</v>
      </c>
      <c r="B403" s="91" t="s">
        <v>296</v>
      </c>
      <c r="C403" s="91" t="s">
        <v>103</v>
      </c>
      <c r="D403" s="91" t="s">
        <v>104</v>
      </c>
      <c r="E403" s="91" t="s">
        <v>208</v>
      </c>
      <c r="F403" s="91" t="s">
        <v>106</v>
      </c>
      <c r="G403" s="91" t="s">
        <v>107</v>
      </c>
      <c r="H403" s="91" t="s">
        <v>104</v>
      </c>
    </row>
    <row r="404" spans="1:8" x14ac:dyDescent="0.3">
      <c r="A404" s="91" t="s">
        <v>61</v>
      </c>
      <c r="B404" s="91" t="s">
        <v>115</v>
      </c>
      <c r="C404" s="91" t="s">
        <v>103</v>
      </c>
      <c r="D404" s="91" t="s">
        <v>104</v>
      </c>
      <c r="E404" s="91" t="s">
        <v>105</v>
      </c>
      <c r="F404" s="91" t="s">
        <v>106</v>
      </c>
      <c r="G404" s="91" t="s">
        <v>107</v>
      </c>
      <c r="H404" s="91" t="s">
        <v>104</v>
      </c>
    </row>
    <row r="405" spans="1:8" x14ac:dyDescent="0.3">
      <c r="A405" s="91" t="s">
        <v>61</v>
      </c>
      <c r="B405" s="91" t="s">
        <v>116</v>
      </c>
      <c r="C405" s="91" t="s">
        <v>103</v>
      </c>
      <c r="D405" s="91" t="s">
        <v>104</v>
      </c>
      <c r="E405" s="91" t="s">
        <v>105</v>
      </c>
      <c r="F405" s="91" t="s">
        <v>106</v>
      </c>
      <c r="G405" s="91" t="s">
        <v>107</v>
      </c>
      <c r="H405" s="91" t="s">
        <v>104</v>
      </c>
    </row>
    <row r="406" spans="1:8" x14ac:dyDescent="0.3">
      <c r="A406" s="91" t="s">
        <v>61</v>
      </c>
      <c r="B406" s="91" t="s">
        <v>117</v>
      </c>
      <c r="C406" s="91" t="s">
        <v>103</v>
      </c>
      <c r="D406" s="91" t="s">
        <v>104</v>
      </c>
      <c r="E406" s="91" t="s">
        <v>105</v>
      </c>
      <c r="F406" s="91" t="s">
        <v>106</v>
      </c>
      <c r="G406" s="91" t="s">
        <v>107</v>
      </c>
      <c r="H406" s="91" t="s">
        <v>104</v>
      </c>
    </row>
    <row r="407" spans="1:8" x14ac:dyDescent="0.3">
      <c r="A407" s="91" t="s">
        <v>61</v>
      </c>
      <c r="B407" s="91" t="s">
        <v>118</v>
      </c>
      <c r="C407" s="91" t="s">
        <v>103</v>
      </c>
      <c r="D407" s="91" t="s">
        <v>104</v>
      </c>
      <c r="E407" s="91" t="s">
        <v>105</v>
      </c>
      <c r="F407" s="91" t="s">
        <v>106</v>
      </c>
      <c r="G407" s="91" t="s">
        <v>107</v>
      </c>
      <c r="H407" s="91" t="s">
        <v>104</v>
      </c>
    </row>
    <row r="408" spans="1:8" x14ac:dyDescent="0.3">
      <c r="A408" s="91" t="s">
        <v>61</v>
      </c>
      <c r="B408" s="91" t="s">
        <v>119</v>
      </c>
      <c r="C408" s="91" t="s">
        <v>103</v>
      </c>
      <c r="D408" s="91" t="s">
        <v>104</v>
      </c>
      <c r="E408" s="91" t="s">
        <v>105</v>
      </c>
      <c r="F408" s="91" t="s">
        <v>106</v>
      </c>
      <c r="G408" s="91" t="s">
        <v>107</v>
      </c>
      <c r="H408" s="91" t="s">
        <v>104</v>
      </c>
    </row>
    <row r="409" spans="1:8" x14ac:dyDescent="0.3">
      <c r="A409" s="91" t="s">
        <v>61</v>
      </c>
      <c r="B409" s="91" t="s">
        <v>120</v>
      </c>
      <c r="C409" s="91" t="s">
        <v>103</v>
      </c>
      <c r="D409" s="91" t="s">
        <v>104</v>
      </c>
      <c r="E409" s="91" t="s">
        <v>105</v>
      </c>
      <c r="F409" s="91" t="s">
        <v>106</v>
      </c>
      <c r="G409" s="91" t="s">
        <v>107</v>
      </c>
      <c r="H409" s="91" t="s">
        <v>104</v>
      </c>
    </row>
    <row r="410" spans="1:8" x14ac:dyDescent="0.3">
      <c r="A410" s="91" t="s">
        <v>61</v>
      </c>
      <c r="B410" s="91" t="s">
        <v>121</v>
      </c>
      <c r="C410" s="91" t="s">
        <v>103</v>
      </c>
      <c r="D410" s="91" t="s">
        <v>104</v>
      </c>
      <c r="E410" s="91" t="s">
        <v>105</v>
      </c>
      <c r="F410" s="91" t="s">
        <v>106</v>
      </c>
      <c r="G410" s="91" t="s">
        <v>107</v>
      </c>
      <c r="H410" s="91" t="s">
        <v>104</v>
      </c>
    </row>
    <row r="411" spans="1:8" x14ac:dyDescent="0.3">
      <c r="A411" s="91" t="s">
        <v>61</v>
      </c>
      <c r="B411" s="91" t="s">
        <v>122</v>
      </c>
      <c r="C411" s="91" t="s">
        <v>103</v>
      </c>
      <c r="D411" s="91" t="s">
        <v>104</v>
      </c>
      <c r="E411" s="91" t="s">
        <v>105</v>
      </c>
      <c r="F411" s="91" t="s">
        <v>106</v>
      </c>
      <c r="G411" s="91" t="s">
        <v>107</v>
      </c>
      <c r="H411" s="91" t="s">
        <v>104</v>
      </c>
    </row>
    <row r="412" spans="1:8" x14ac:dyDescent="0.3">
      <c r="A412" s="91" t="s">
        <v>61</v>
      </c>
      <c r="B412" s="91" t="s">
        <v>123</v>
      </c>
      <c r="C412" s="91" t="s">
        <v>103</v>
      </c>
      <c r="D412" s="91" t="s">
        <v>104</v>
      </c>
      <c r="E412" s="91" t="s">
        <v>105</v>
      </c>
      <c r="F412" s="91" t="s">
        <v>106</v>
      </c>
      <c r="G412" s="91" t="s">
        <v>107</v>
      </c>
      <c r="H412" s="91" t="s">
        <v>104</v>
      </c>
    </row>
    <row r="413" spans="1:8" x14ac:dyDescent="0.3">
      <c r="A413" s="91" t="s">
        <v>61</v>
      </c>
      <c r="B413" s="91" t="s">
        <v>124</v>
      </c>
      <c r="C413" s="91" t="s">
        <v>103</v>
      </c>
      <c r="D413" s="91" t="s">
        <v>104</v>
      </c>
      <c r="E413" s="91" t="s">
        <v>105</v>
      </c>
      <c r="F413" s="91" t="s">
        <v>106</v>
      </c>
      <c r="G413" s="91" t="s">
        <v>107</v>
      </c>
      <c r="H413" s="91" t="s">
        <v>104</v>
      </c>
    </row>
    <row r="414" spans="1:8" x14ac:dyDescent="0.3">
      <c r="A414" s="91" t="s">
        <v>61</v>
      </c>
      <c r="B414" s="91" t="s">
        <v>125</v>
      </c>
      <c r="C414" s="91" t="s">
        <v>103</v>
      </c>
      <c r="D414" s="91" t="s">
        <v>104</v>
      </c>
      <c r="E414" s="91" t="s">
        <v>105</v>
      </c>
      <c r="F414" s="91" t="s">
        <v>106</v>
      </c>
      <c r="G414" s="91" t="s">
        <v>107</v>
      </c>
      <c r="H414" s="91" t="s">
        <v>104</v>
      </c>
    </row>
    <row r="415" spans="1:8" x14ac:dyDescent="0.3">
      <c r="A415" s="91" t="s">
        <v>61</v>
      </c>
      <c r="B415" s="91" t="s">
        <v>126</v>
      </c>
      <c r="C415" s="91" t="s">
        <v>103</v>
      </c>
      <c r="D415" s="91" t="s">
        <v>104</v>
      </c>
      <c r="E415" s="91" t="s">
        <v>105</v>
      </c>
      <c r="F415" s="91" t="s">
        <v>106</v>
      </c>
      <c r="G415" s="91" t="s">
        <v>107</v>
      </c>
      <c r="H415" s="91" t="s">
        <v>104</v>
      </c>
    </row>
    <row r="416" spans="1:8" x14ac:dyDescent="0.3">
      <c r="A416" s="91" t="s">
        <v>61</v>
      </c>
      <c r="B416" s="91" t="s">
        <v>127</v>
      </c>
      <c r="C416" s="91" t="s">
        <v>103</v>
      </c>
      <c r="D416" s="91" t="s">
        <v>104</v>
      </c>
      <c r="E416" s="91" t="s">
        <v>105</v>
      </c>
      <c r="F416" s="91" t="s">
        <v>106</v>
      </c>
      <c r="G416" s="91" t="s">
        <v>107</v>
      </c>
      <c r="H416" s="91" t="s">
        <v>104</v>
      </c>
    </row>
    <row r="417" spans="1:8" x14ac:dyDescent="0.3">
      <c r="A417" s="91" t="s">
        <v>61</v>
      </c>
      <c r="B417" s="91" t="s">
        <v>128</v>
      </c>
      <c r="C417" s="91" t="s">
        <v>103</v>
      </c>
      <c r="D417" s="91" t="s">
        <v>104</v>
      </c>
      <c r="E417" s="91" t="s">
        <v>105</v>
      </c>
      <c r="F417" s="91" t="s">
        <v>106</v>
      </c>
      <c r="G417" s="91" t="s">
        <v>107</v>
      </c>
      <c r="H417" s="91" t="s">
        <v>104</v>
      </c>
    </row>
    <row r="418" spans="1:8" x14ac:dyDescent="0.3">
      <c r="A418" s="91" t="s">
        <v>61</v>
      </c>
      <c r="B418" s="91" t="s">
        <v>129</v>
      </c>
      <c r="C418" s="91" t="s">
        <v>103</v>
      </c>
      <c r="D418" s="91" t="s">
        <v>104</v>
      </c>
      <c r="E418" s="91" t="s">
        <v>105</v>
      </c>
      <c r="F418" s="91" t="s">
        <v>106</v>
      </c>
      <c r="G418" s="91" t="s">
        <v>107</v>
      </c>
      <c r="H418" s="91" t="s">
        <v>104</v>
      </c>
    </row>
    <row r="419" spans="1:8" x14ac:dyDescent="0.3">
      <c r="A419" s="91" t="s">
        <v>61</v>
      </c>
      <c r="B419" s="91" t="s">
        <v>130</v>
      </c>
      <c r="C419" s="91" t="s">
        <v>103</v>
      </c>
      <c r="D419" s="91" t="s">
        <v>104</v>
      </c>
      <c r="E419" s="91" t="s">
        <v>105</v>
      </c>
      <c r="F419" s="91" t="s">
        <v>106</v>
      </c>
      <c r="G419" s="91" t="s">
        <v>107</v>
      </c>
      <c r="H419" s="91" t="s">
        <v>104</v>
      </c>
    </row>
    <row r="420" spans="1:8" x14ac:dyDescent="0.3">
      <c r="A420" s="91" t="s">
        <v>61</v>
      </c>
      <c r="B420" s="91" t="s">
        <v>131</v>
      </c>
      <c r="C420" s="91" t="s">
        <v>103</v>
      </c>
      <c r="D420" s="91" t="s">
        <v>104</v>
      </c>
      <c r="E420" s="91" t="s">
        <v>105</v>
      </c>
      <c r="F420" s="91" t="s">
        <v>106</v>
      </c>
      <c r="G420" s="91" t="s">
        <v>107</v>
      </c>
      <c r="H420" s="91" t="s">
        <v>104</v>
      </c>
    </row>
    <row r="421" spans="1:8" x14ac:dyDescent="0.3">
      <c r="A421" s="91" t="s">
        <v>61</v>
      </c>
      <c r="B421" s="91" t="s">
        <v>132</v>
      </c>
      <c r="C421" s="91" t="s">
        <v>103</v>
      </c>
      <c r="D421" s="91" t="s">
        <v>104</v>
      </c>
      <c r="E421" s="91" t="s">
        <v>105</v>
      </c>
      <c r="F421" s="91" t="s">
        <v>106</v>
      </c>
      <c r="G421" s="91" t="s">
        <v>107</v>
      </c>
      <c r="H421" s="91" t="s">
        <v>104</v>
      </c>
    </row>
    <row r="422" spans="1:8" x14ac:dyDescent="0.3">
      <c r="A422" s="91" t="s">
        <v>61</v>
      </c>
      <c r="B422" s="91" t="s">
        <v>133</v>
      </c>
      <c r="C422" s="91" t="s">
        <v>103</v>
      </c>
      <c r="D422" s="91" t="s">
        <v>104</v>
      </c>
      <c r="E422" s="91" t="s">
        <v>105</v>
      </c>
      <c r="F422" s="91" t="s">
        <v>106</v>
      </c>
      <c r="G422" s="91" t="s">
        <v>107</v>
      </c>
      <c r="H422" s="91" t="s">
        <v>104</v>
      </c>
    </row>
    <row r="423" spans="1:8" x14ac:dyDescent="0.3">
      <c r="A423" s="91" t="s">
        <v>61</v>
      </c>
      <c r="B423" s="91" t="s">
        <v>134</v>
      </c>
      <c r="C423" s="91" t="s">
        <v>103</v>
      </c>
      <c r="D423" s="91" t="s">
        <v>104</v>
      </c>
      <c r="E423" s="91" t="s">
        <v>105</v>
      </c>
      <c r="F423" s="91" t="s">
        <v>106</v>
      </c>
      <c r="G423" s="91" t="s">
        <v>107</v>
      </c>
      <c r="H423" s="91" t="s">
        <v>104</v>
      </c>
    </row>
    <row r="424" spans="1:8" x14ac:dyDescent="0.3">
      <c r="A424" s="91" t="s">
        <v>61</v>
      </c>
      <c r="B424" s="91" t="s">
        <v>135</v>
      </c>
      <c r="C424" s="91" t="s">
        <v>103</v>
      </c>
      <c r="D424" s="91" t="s">
        <v>104</v>
      </c>
      <c r="E424" s="91" t="s">
        <v>105</v>
      </c>
      <c r="F424" s="91" t="s">
        <v>106</v>
      </c>
      <c r="G424" s="91" t="s">
        <v>107</v>
      </c>
      <c r="H424" s="91" t="s">
        <v>104</v>
      </c>
    </row>
    <row r="425" spans="1:8" x14ac:dyDescent="0.3">
      <c r="A425" s="91" t="s">
        <v>61</v>
      </c>
      <c r="B425" s="91" t="s">
        <v>136</v>
      </c>
      <c r="C425" s="91" t="s">
        <v>103</v>
      </c>
      <c r="D425" s="91" t="s">
        <v>104</v>
      </c>
      <c r="E425" s="91" t="s">
        <v>105</v>
      </c>
      <c r="F425" s="91" t="s">
        <v>106</v>
      </c>
      <c r="G425" s="91" t="s">
        <v>107</v>
      </c>
      <c r="H425" s="91" t="s">
        <v>104</v>
      </c>
    </row>
    <row r="426" spans="1:8" x14ac:dyDescent="0.3">
      <c r="A426" s="91" t="s">
        <v>61</v>
      </c>
      <c r="B426" s="91" t="s">
        <v>137</v>
      </c>
      <c r="C426" s="91" t="s">
        <v>103</v>
      </c>
      <c r="D426" s="91" t="s">
        <v>104</v>
      </c>
      <c r="E426" s="91" t="s">
        <v>105</v>
      </c>
      <c r="F426" s="91" t="s">
        <v>106</v>
      </c>
      <c r="G426" s="91" t="s">
        <v>107</v>
      </c>
      <c r="H426" s="91" t="s">
        <v>104</v>
      </c>
    </row>
    <row r="427" spans="1:8" x14ac:dyDescent="0.3">
      <c r="A427" s="91" t="s">
        <v>61</v>
      </c>
      <c r="B427" s="91" t="s">
        <v>138</v>
      </c>
      <c r="C427" s="91" t="s">
        <v>103</v>
      </c>
      <c r="D427" s="91" t="s">
        <v>104</v>
      </c>
      <c r="E427" s="91" t="s">
        <v>105</v>
      </c>
      <c r="F427" s="91" t="s">
        <v>106</v>
      </c>
      <c r="G427" s="91" t="s">
        <v>107</v>
      </c>
      <c r="H427" s="91" t="s">
        <v>104</v>
      </c>
    </row>
    <row r="428" spans="1:8" x14ac:dyDescent="0.3">
      <c r="A428" s="91" t="s">
        <v>61</v>
      </c>
      <c r="B428" s="91" t="s">
        <v>139</v>
      </c>
      <c r="C428" s="91" t="s">
        <v>103</v>
      </c>
      <c r="D428" s="91" t="s">
        <v>104</v>
      </c>
      <c r="E428" s="91" t="s">
        <v>105</v>
      </c>
      <c r="F428" s="91" t="s">
        <v>106</v>
      </c>
      <c r="G428" s="91" t="s">
        <v>107</v>
      </c>
      <c r="H428" s="91" t="s">
        <v>104</v>
      </c>
    </row>
    <row r="429" spans="1:8" x14ac:dyDescent="0.3">
      <c r="A429" s="91" t="s">
        <v>61</v>
      </c>
      <c r="B429" s="91" t="s">
        <v>140</v>
      </c>
      <c r="C429" s="91" t="s">
        <v>103</v>
      </c>
      <c r="D429" s="91" t="s">
        <v>104</v>
      </c>
      <c r="E429" s="91" t="s">
        <v>105</v>
      </c>
      <c r="F429" s="91" t="s">
        <v>106</v>
      </c>
      <c r="G429" s="91" t="s">
        <v>107</v>
      </c>
      <c r="H429" s="91" t="s">
        <v>104</v>
      </c>
    </row>
    <row r="430" spans="1:8" x14ac:dyDescent="0.3">
      <c r="A430" s="91" t="s">
        <v>61</v>
      </c>
      <c r="B430" s="91" t="s">
        <v>141</v>
      </c>
      <c r="C430" s="91" t="s">
        <v>103</v>
      </c>
      <c r="D430" s="91" t="s">
        <v>104</v>
      </c>
      <c r="E430" s="91" t="s">
        <v>105</v>
      </c>
      <c r="F430" s="91" t="s">
        <v>106</v>
      </c>
      <c r="G430" s="91" t="s">
        <v>107</v>
      </c>
      <c r="H430" s="91" t="s">
        <v>104</v>
      </c>
    </row>
    <row r="431" spans="1:8" x14ac:dyDescent="0.3">
      <c r="A431" s="91" t="s">
        <v>61</v>
      </c>
      <c r="B431" s="91" t="s">
        <v>142</v>
      </c>
      <c r="C431" s="91" t="s">
        <v>103</v>
      </c>
      <c r="D431" s="91" t="s">
        <v>104</v>
      </c>
      <c r="E431" s="91" t="s">
        <v>105</v>
      </c>
      <c r="F431" s="91" t="s">
        <v>106</v>
      </c>
      <c r="G431" s="91" t="s">
        <v>107</v>
      </c>
      <c r="H431" s="91" t="s">
        <v>104</v>
      </c>
    </row>
    <row r="432" spans="1:8" x14ac:dyDescent="0.3">
      <c r="A432" s="91" t="s">
        <v>61</v>
      </c>
      <c r="B432" s="91" t="s">
        <v>143</v>
      </c>
      <c r="C432" s="91" t="s">
        <v>103</v>
      </c>
      <c r="D432" s="91" t="s">
        <v>104</v>
      </c>
      <c r="E432" s="91" t="s">
        <v>105</v>
      </c>
      <c r="F432" s="91" t="s">
        <v>106</v>
      </c>
      <c r="G432" s="91" t="s">
        <v>107</v>
      </c>
      <c r="H432" s="91" t="s">
        <v>104</v>
      </c>
    </row>
    <row r="433" spans="1:8" x14ac:dyDescent="0.3">
      <c r="A433" s="91" t="s">
        <v>61</v>
      </c>
      <c r="B433" s="91" t="s">
        <v>144</v>
      </c>
      <c r="C433" s="91" t="s">
        <v>103</v>
      </c>
      <c r="D433" s="91" t="s">
        <v>104</v>
      </c>
      <c r="E433" s="91" t="s">
        <v>105</v>
      </c>
      <c r="F433" s="91" t="s">
        <v>106</v>
      </c>
      <c r="G433" s="91" t="s">
        <v>107</v>
      </c>
      <c r="H433" s="91" t="s">
        <v>104</v>
      </c>
    </row>
    <row r="434" spans="1:8" x14ac:dyDescent="0.3">
      <c r="A434" s="91" t="s">
        <v>61</v>
      </c>
      <c r="B434" s="91" t="s">
        <v>145</v>
      </c>
      <c r="C434" s="91" t="s">
        <v>103</v>
      </c>
      <c r="D434" s="91" t="s">
        <v>104</v>
      </c>
      <c r="E434" s="91" t="s">
        <v>105</v>
      </c>
      <c r="F434" s="91" t="s">
        <v>106</v>
      </c>
      <c r="G434" s="91" t="s">
        <v>107</v>
      </c>
      <c r="H434" s="91" t="s">
        <v>104</v>
      </c>
    </row>
    <row r="435" spans="1:8" x14ac:dyDescent="0.3">
      <c r="A435" s="91" t="s">
        <v>61</v>
      </c>
      <c r="B435" s="91" t="s">
        <v>146</v>
      </c>
      <c r="C435" s="91" t="s">
        <v>103</v>
      </c>
      <c r="D435" s="91" t="s">
        <v>104</v>
      </c>
      <c r="E435" s="91" t="s">
        <v>105</v>
      </c>
      <c r="F435" s="91" t="s">
        <v>106</v>
      </c>
      <c r="G435" s="91" t="s">
        <v>107</v>
      </c>
      <c r="H435" s="91" t="s">
        <v>104</v>
      </c>
    </row>
    <row r="436" spans="1:8" x14ac:dyDescent="0.3">
      <c r="A436" s="91" t="s">
        <v>61</v>
      </c>
      <c r="B436" s="91" t="s">
        <v>147</v>
      </c>
      <c r="C436" s="91" t="s">
        <v>103</v>
      </c>
      <c r="D436" s="91" t="s">
        <v>104</v>
      </c>
      <c r="E436" s="91" t="s">
        <v>105</v>
      </c>
      <c r="F436" s="91" t="s">
        <v>106</v>
      </c>
      <c r="G436" s="91" t="s">
        <v>107</v>
      </c>
      <c r="H436" s="91" t="s">
        <v>104</v>
      </c>
    </row>
    <row r="437" spans="1:8" x14ac:dyDescent="0.3">
      <c r="A437" s="91" t="s">
        <v>61</v>
      </c>
      <c r="B437" s="91" t="s">
        <v>148</v>
      </c>
      <c r="C437" s="91" t="s">
        <v>103</v>
      </c>
      <c r="D437" s="91" t="s">
        <v>104</v>
      </c>
      <c r="E437" s="91" t="s">
        <v>105</v>
      </c>
      <c r="F437" s="91" t="s">
        <v>106</v>
      </c>
      <c r="G437" s="91" t="s">
        <v>107</v>
      </c>
      <c r="H437" s="91" t="s">
        <v>104</v>
      </c>
    </row>
    <row r="438" spans="1:8" x14ac:dyDescent="0.3">
      <c r="A438" s="91" t="s">
        <v>61</v>
      </c>
      <c r="B438" s="91" t="s">
        <v>149</v>
      </c>
      <c r="C438" s="91" t="s">
        <v>103</v>
      </c>
      <c r="D438" s="91" t="s">
        <v>104</v>
      </c>
      <c r="E438" s="91" t="s">
        <v>105</v>
      </c>
      <c r="F438" s="91" t="s">
        <v>106</v>
      </c>
      <c r="G438" s="91" t="s">
        <v>107</v>
      </c>
      <c r="H438" s="91" t="s">
        <v>104</v>
      </c>
    </row>
    <row r="439" spans="1:8" x14ac:dyDescent="0.3">
      <c r="A439" s="91" t="s">
        <v>61</v>
      </c>
      <c r="B439" s="91" t="s">
        <v>150</v>
      </c>
      <c r="C439" s="91" t="s">
        <v>103</v>
      </c>
      <c r="D439" s="91" t="s">
        <v>104</v>
      </c>
      <c r="E439" s="91" t="s">
        <v>105</v>
      </c>
      <c r="F439" s="91" t="s">
        <v>106</v>
      </c>
      <c r="G439" s="91" t="s">
        <v>107</v>
      </c>
      <c r="H439" s="91" t="s">
        <v>104</v>
      </c>
    </row>
    <row r="440" spans="1:8" x14ac:dyDescent="0.3">
      <c r="A440" s="91" t="s">
        <v>61</v>
      </c>
      <c r="B440" s="91" t="s">
        <v>151</v>
      </c>
      <c r="C440" s="91" t="s">
        <v>103</v>
      </c>
      <c r="D440" s="91" t="s">
        <v>104</v>
      </c>
      <c r="E440" s="91" t="s">
        <v>105</v>
      </c>
      <c r="F440" s="91" t="s">
        <v>106</v>
      </c>
      <c r="G440" s="91" t="s">
        <v>107</v>
      </c>
      <c r="H440" s="91" t="s">
        <v>104</v>
      </c>
    </row>
    <row r="441" spans="1:8" x14ac:dyDescent="0.3">
      <c r="A441" s="91" t="s">
        <v>61</v>
      </c>
      <c r="B441" s="91" t="s">
        <v>152</v>
      </c>
      <c r="C441" s="91" t="s">
        <v>103</v>
      </c>
      <c r="D441" s="91" t="s">
        <v>104</v>
      </c>
      <c r="E441" s="91" t="s">
        <v>105</v>
      </c>
      <c r="F441" s="91" t="s">
        <v>106</v>
      </c>
      <c r="G441" s="91" t="s">
        <v>107</v>
      </c>
      <c r="H441" s="91" t="s">
        <v>104</v>
      </c>
    </row>
    <row r="442" spans="1:8" x14ac:dyDescent="0.3">
      <c r="A442" s="91" t="s">
        <v>61</v>
      </c>
      <c r="B442" s="91" t="s">
        <v>153</v>
      </c>
      <c r="C442" s="91" t="s">
        <v>103</v>
      </c>
      <c r="D442" s="91" t="s">
        <v>104</v>
      </c>
      <c r="E442" s="91" t="s">
        <v>105</v>
      </c>
      <c r="F442" s="91" t="s">
        <v>106</v>
      </c>
      <c r="G442" s="91" t="s">
        <v>107</v>
      </c>
      <c r="H442" s="91" t="s">
        <v>104</v>
      </c>
    </row>
    <row r="443" spans="1:8" x14ac:dyDescent="0.3">
      <c r="A443" s="91" t="s">
        <v>61</v>
      </c>
      <c r="B443" s="91" t="s">
        <v>154</v>
      </c>
      <c r="C443" s="91" t="s">
        <v>103</v>
      </c>
      <c r="D443" s="91" t="s">
        <v>104</v>
      </c>
      <c r="E443" s="91" t="s">
        <v>105</v>
      </c>
      <c r="F443" s="91" t="s">
        <v>106</v>
      </c>
      <c r="G443" s="91" t="s">
        <v>107</v>
      </c>
      <c r="H443" s="91" t="s">
        <v>104</v>
      </c>
    </row>
    <row r="444" spans="1:8" x14ac:dyDescent="0.3">
      <c r="A444" s="91" t="s">
        <v>61</v>
      </c>
      <c r="B444" s="91" t="s">
        <v>155</v>
      </c>
      <c r="C444" s="91" t="s">
        <v>103</v>
      </c>
      <c r="D444" s="91" t="s">
        <v>104</v>
      </c>
      <c r="E444" s="91" t="s">
        <v>105</v>
      </c>
      <c r="F444" s="91" t="s">
        <v>106</v>
      </c>
      <c r="G444" s="91" t="s">
        <v>107</v>
      </c>
      <c r="H444" s="91" t="s">
        <v>104</v>
      </c>
    </row>
    <row r="445" spans="1:8" x14ac:dyDescent="0.3">
      <c r="A445" s="91" t="s">
        <v>61</v>
      </c>
      <c r="B445" s="91" t="s">
        <v>156</v>
      </c>
      <c r="C445" s="91" t="s">
        <v>103</v>
      </c>
      <c r="D445" s="91" t="s">
        <v>104</v>
      </c>
      <c r="E445" s="91" t="s">
        <v>105</v>
      </c>
      <c r="F445" s="91" t="s">
        <v>106</v>
      </c>
      <c r="G445" s="91" t="s">
        <v>107</v>
      </c>
      <c r="H445" s="91" t="s">
        <v>104</v>
      </c>
    </row>
    <row r="446" spans="1:8" x14ac:dyDescent="0.3">
      <c r="A446" s="91" t="s">
        <v>61</v>
      </c>
      <c r="B446" s="91" t="s">
        <v>157</v>
      </c>
      <c r="C446" s="91" t="s">
        <v>103</v>
      </c>
      <c r="D446" s="91" t="s">
        <v>104</v>
      </c>
      <c r="E446" s="91" t="s">
        <v>105</v>
      </c>
      <c r="F446" s="91" t="s">
        <v>106</v>
      </c>
      <c r="G446" s="91" t="s">
        <v>107</v>
      </c>
      <c r="H446" s="91" t="s">
        <v>104</v>
      </c>
    </row>
    <row r="447" spans="1:8" x14ac:dyDescent="0.3">
      <c r="A447" s="91" t="s">
        <v>61</v>
      </c>
      <c r="B447" s="91" t="s">
        <v>158</v>
      </c>
      <c r="C447" s="91" t="s">
        <v>103</v>
      </c>
      <c r="D447" s="91" t="s">
        <v>104</v>
      </c>
      <c r="E447" s="91" t="s">
        <v>105</v>
      </c>
      <c r="F447" s="91" t="s">
        <v>106</v>
      </c>
      <c r="G447" s="91" t="s">
        <v>107</v>
      </c>
      <c r="H447" s="91" t="s">
        <v>104</v>
      </c>
    </row>
    <row r="448" spans="1:8" x14ac:dyDescent="0.3">
      <c r="A448" s="91" t="s">
        <v>61</v>
      </c>
      <c r="B448" s="91" t="s">
        <v>159</v>
      </c>
      <c r="C448" s="91" t="s">
        <v>103</v>
      </c>
      <c r="D448" s="91" t="s">
        <v>104</v>
      </c>
      <c r="E448" s="91" t="s">
        <v>105</v>
      </c>
      <c r="F448" s="91" t="s">
        <v>106</v>
      </c>
      <c r="G448" s="91" t="s">
        <v>107</v>
      </c>
      <c r="H448" s="91" t="s">
        <v>104</v>
      </c>
    </row>
    <row r="449" spans="1:8" x14ac:dyDescent="0.3">
      <c r="A449" s="91" t="s">
        <v>61</v>
      </c>
      <c r="B449" s="91" t="s">
        <v>160</v>
      </c>
      <c r="C449" s="91" t="s">
        <v>103</v>
      </c>
      <c r="D449" s="91" t="s">
        <v>104</v>
      </c>
      <c r="E449" s="91" t="s">
        <v>105</v>
      </c>
      <c r="F449" s="91" t="s">
        <v>106</v>
      </c>
      <c r="G449" s="91" t="s">
        <v>107</v>
      </c>
      <c r="H449" s="91" t="s">
        <v>104</v>
      </c>
    </row>
    <row r="450" spans="1:8" x14ac:dyDescent="0.3">
      <c r="A450" s="91" t="s">
        <v>61</v>
      </c>
      <c r="B450" s="91" t="s">
        <v>161</v>
      </c>
      <c r="C450" s="91" t="s">
        <v>103</v>
      </c>
      <c r="D450" s="91" t="s">
        <v>104</v>
      </c>
      <c r="E450" s="91" t="s">
        <v>105</v>
      </c>
      <c r="F450" s="91" t="s">
        <v>106</v>
      </c>
      <c r="G450" s="91" t="s">
        <v>107</v>
      </c>
      <c r="H450" s="91" t="s">
        <v>104</v>
      </c>
    </row>
    <row r="451" spans="1:8" x14ac:dyDescent="0.3">
      <c r="A451" s="91" t="s">
        <v>61</v>
      </c>
      <c r="B451" s="91" t="s">
        <v>162</v>
      </c>
      <c r="C451" s="91" t="s">
        <v>103</v>
      </c>
      <c r="D451" s="91" t="s">
        <v>104</v>
      </c>
      <c r="E451" s="91" t="s">
        <v>105</v>
      </c>
      <c r="F451" s="91" t="s">
        <v>106</v>
      </c>
      <c r="G451" s="91" t="s">
        <v>107</v>
      </c>
      <c r="H451" s="91" t="s">
        <v>104</v>
      </c>
    </row>
    <row r="452" spans="1:8" x14ac:dyDescent="0.3">
      <c r="A452" s="91" t="s">
        <v>61</v>
      </c>
      <c r="B452" s="91" t="s">
        <v>163</v>
      </c>
      <c r="C452" s="91" t="s">
        <v>103</v>
      </c>
      <c r="D452" s="91" t="s">
        <v>104</v>
      </c>
      <c r="E452" s="91" t="s">
        <v>105</v>
      </c>
      <c r="F452" s="91" t="s">
        <v>106</v>
      </c>
      <c r="G452" s="91" t="s">
        <v>107</v>
      </c>
      <c r="H452" s="91" t="s">
        <v>104</v>
      </c>
    </row>
    <row r="453" spans="1:8" x14ac:dyDescent="0.3">
      <c r="A453" s="91" t="s">
        <v>61</v>
      </c>
      <c r="B453" s="91" t="s">
        <v>164</v>
      </c>
      <c r="C453" s="91" t="s">
        <v>103</v>
      </c>
      <c r="D453" s="91" t="s">
        <v>104</v>
      </c>
      <c r="E453" s="91" t="s">
        <v>105</v>
      </c>
      <c r="F453" s="91" t="s">
        <v>106</v>
      </c>
      <c r="G453" s="91" t="s">
        <v>107</v>
      </c>
      <c r="H453" s="91" t="s">
        <v>104</v>
      </c>
    </row>
    <row r="454" spans="1:8" x14ac:dyDescent="0.3">
      <c r="A454" s="91" t="s">
        <v>61</v>
      </c>
      <c r="B454" s="91" t="s">
        <v>165</v>
      </c>
      <c r="C454" s="91" t="s">
        <v>103</v>
      </c>
      <c r="D454" s="91" t="s">
        <v>104</v>
      </c>
      <c r="E454" s="91" t="s">
        <v>105</v>
      </c>
      <c r="F454" s="91" t="s">
        <v>106</v>
      </c>
      <c r="G454" s="91" t="s">
        <v>107</v>
      </c>
      <c r="H454" s="91" t="s">
        <v>104</v>
      </c>
    </row>
    <row r="455" spans="1:8" x14ac:dyDescent="0.3">
      <c r="A455" s="91" t="s">
        <v>61</v>
      </c>
      <c r="B455" s="91" t="s">
        <v>166</v>
      </c>
      <c r="C455" s="91" t="s">
        <v>103</v>
      </c>
      <c r="D455" s="91" t="s">
        <v>104</v>
      </c>
      <c r="E455" s="91" t="s">
        <v>105</v>
      </c>
      <c r="F455" s="91" t="s">
        <v>106</v>
      </c>
      <c r="G455" s="91" t="s">
        <v>107</v>
      </c>
      <c r="H455" s="91" t="s">
        <v>104</v>
      </c>
    </row>
    <row r="456" spans="1:8" x14ac:dyDescent="0.3">
      <c r="A456" s="91" t="s">
        <v>61</v>
      </c>
      <c r="B456" s="91" t="s">
        <v>167</v>
      </c>
      <c r="C456" s="91" t="s">
        <v>103</v>
      </c>
      <c r="D456" s="91" t="s">
        <v>104</v>
      </c>
      <c r="E456" s="91" t="s">
        <v>105</v>
      </c>
      <c r="F456" s="91" t="s">
        <v>106</v>
      </c>
      <c r="G456" s="91" t="s">
        <v>107</v>
      </c>
      <c r="H456" s="91" t="s">
        <v>104</v>
      </c>
    </row>
    <row r="457" spans="1:8" x14ac:dyDescent="0.3">
      <c r="A457" s="91" t="s">
        <v>61</v>
      </c>
      <c r="B457" s="91" t="s">
        <v>168</v>
      </c>
      <c r="C457" s="91" t="s">
        <v>103</v>
      </c>
      <c r="D457" s="91" t="s">
        <v>104</v>
      </c>
      <c r="E457" s="91" t="s">
        <v>105</v>
      </c>
      <c r="F457" s="91" t="s">
        <v>106</v>
      </c>
      <c r="G457" s="91" t="s">
        <v>107</v>
      </c>
      <c r="H457" s="91" t="s">
        <v>104</v>
      </c>
    </row>
    <row r="458" spans="1:8" x14ac:dyDescent="0.3">
      <c r="A458" s="91" t="s">
        <v>61</v>
      </c>
      <c r="B458" s="91" t="s">
        <v>207</v>
      </c>
      <c r="C458" s="91" t="s">
        <v>103</v>
      </c>
      <c r="D458" s="91" t="s">
        <v>104</v>
      </c>
      <c r="E458" s="91" t="s">
        <v>208</v>
      </c>
      <c r="F458" s="91" t="s">
        <v>106</v>
      </c>
      <c r="G458" s="91" t="s">
        <v>107</v>
      </c>
      <c r="H458" s="91" t="s">
        <v>104</v>
      </c>
    </row>
    <row r="459" spans="1:8" x14ac:dyDescent="0.3">
      <c r="A459" s="91" t="s">
        <v>61</v>
      </c>
      <c r="B459" s="91" t="s">
        <v>209</v>
      </c>
      <c r="C459" s="91" t="s">
        <v>103</v>
      </c>
      <c r="D459" s="91" t="s">
        <v>104</v>
      </c>
      <c r="E459" s="91" t="s">
        <v>208</v>
      </c>
      <c r="F459" s="91" t="s">
        <v>106</v>
      </c>
      <c r="G459" s="91" t="s">
        <v>107</v>
      </c>
      <c r="H459" s="91" t="s">
        <v>104</v>
      </c>
    </row>
    <row r="460" spans="1:8" x14ac:dyDescent="0.3">
      <c r="A460" s="91" t="s">
        <v>61</v>
      </c>
      <c r="B460" s="91" t="s">
        <v>210</v>
      </c>
      <c r="C460" s="91" t="s">
        <v>103</v>
      </c>
      <c r="D460" s="91" t="s">
        <v>104</v>
      </c>
      <c r="E460" s="91" t="s">
        <v>208</v>
      </c>
      <c r="F460" s="91" t="s">
        <v>106</v>
      </c>
      <c r="G460" s="91" t="s">
        <v>107</v>
      </c>
      <c r="H460" s="91" t="s">
        <v>104</v>
      </c>
    </row>
    <row r="461" spans="1:8" x14ac:dyDescent="0.3">
      <c r="A461" s="91" t="s">
        <v>61</v>
      </c>
      <c r="B461" s="91" t="s">
        <v>211</v>
      </c>
      <c r="C461" s="91" t="s">
        <v>103</v>
      </c>
      <c r="D461" s="91" t="s">
        <v>104</v>
      </c>
      <c r="E461" s="91" t="s">
        <v>208</v>
      </c>
      <c r="F461" s="91" t="s">
        <v>106</v>
      </c>
      <c r="G461" s="91" t="s">
        <v>107</v>
      </c>
      <c r="H461" s="91" t="s">
        <v>104</v>
      </c>
    </row>
    <row r="462" spans="1:8" x14ac:dyDescent="0.3">
      <c r="A462" s="91" t="s">
        <v>61</v>
      </c>
      <c r="B462" s="91" t="s">
        <v>212</v>
      </c>
      <c r="C462" s="91" t="s">
        <v>103</v>
      </c>
      <c r="D462" s="91" t="s">
        <v>104</v>
      </c>
      <c r="E462" s="91" t="s">
        <v>208</v>
      </c>
      <c r="F462" s="91" t="s">
        <v>106</v>
      </c>
      <c r="G462" s="91" t="s">
        <v>107</v>
      </c>
      <c r="H462" s="91" t="s">
        <v>104</v>
      </c>
    </row>
    <row r="463" spans="1:8" x14ac:dyDescent="0.3">
      <c r="A463" s="91" t="s">
        <v>61</v>
      </c>
      <c r="B463" s="91" t="s">
        <v>213</v>
      </c>
      <c r="C463" s="91" t="s">
        <v>103</v>
      </c>
      <c r="D463" s="91" t="s">
        <v>104</v>
      </c>
      <c r="E463" s="91" t="s">
        <v>208</v>
      </c>
      <c r="F463" s="91" t="s">
        <v>106</v>
      </c>
      <c r="G463" s="91" t="s">
        <v>107</v>
      </c>
      <c r="H463" s="91" t="s">
        <v>104</v>
      </c>
    </row>
    <row r="464" spans="1:8" x14ac:dyDescent="0.3">
      <c r="A464" s="91" t="s">
        <v>61</v>
      </c>
      <c r="B464" s="91" t="s">
        <v>214</v>
      </c>
      <c r="C464" s="91" t="s">
        <v>103</v>
      </c>
      <c r="D464" s="91" t="s">
        <v>104</v>
      </c>
      <c r="E464" s="91" t="s">
        <v>208</v>
      </c>
      <c r="F464" s="91" t="s">
        <v>106</v>
      </c>
      <c r="G464" s="91" t="s">
        <v>107</v>
      </c>
      <c r="H464" s="91" t="s">
        <v>104</v>
      </c>
    </row>
    <row r="465" spans="1:8" x14ac:dyDescent="0.3">
      <c r="A465" s="91" t="s">
        <v>61</v>
      </c>
      <c r="B465" s="91" t="s">
        <v>215</v>
      </c>
      <c r="C465" s="91" t="s">
        <v>103</v>
      </c>
      <c r="D465" s="91" t="s">
        <v>104</v>
      </c>
      <c r="E465" s="91" t="s">
        <v>208</v>
      </c>
      <c r="F465" s="91" t="s">
        <v>106</v>
      </c>
      <c r="G465" s="91" t="s">
        <v>107</v>
      </c>
      <c r="H465" s="91" t="s">
        <v>104</v>
      </c>
    </row>
    <row r="466" spans="1:8" x14ac:dyDescent="0.3">
      <c r="A466" s="91" t="s">
        <v>61</v>
      </c>
      <c r="B466" s="91" t="s">
        <v>216</v>
      </c>
      <c r="C466" s="91" t="s">
        <v>103</v>
      </c>
      <c r="D466" s="91" t="s">
        <v>104</v>
      </c>
      <c r="E466" s="91" t="s">
        <v>208</v>
      </c>
      <c r="F466" s="91" t="s">
        <v>106</v>
      </c>
      <c r="G466" s="91" t="s">
        <v>107</v>
      </c>
      <c r="H466" s="91" t="s">
        <v>104</v>
      </c>
    </row>
    <row r="467" spans="1:8" x14ac:dyDescent="0.3">
      <c r="A467" s="91" t="s">
        <v>61</v>
      </c>
      <c r="B467" s="91" t="s">
        <v>217</v>
      </c>
      <c r="C467" s="91" t="s">
        <v>103</v>
      </c>
      <c r="D467" s="91" t="s">
        <v>104</v>
      </c>
      <c r="E467" s="91" t="s">
        <v>208</v>
      </c>
      <c r="F467" s="91" t="s">
        <v>106</v>
      </c>
      <c r="G467" s="91" t="s">
        <v>107</v>
      </c>
      <c r="H467" s="91" t="s">
        <v>104</v>
      </c>
    </row>
    <row r="468" spans="1:8" x14ac:dyDescent="0.3">
      <c r="A468" s="91" t="s">
        <v>61</v>
      </c>
      <c r="B468" s="91" t="s">
        <v>218</v>
      </c>
      <c r="C468" s="91" t="s">
        <v>103</v>
      </c>
      <c r="D468" s="91" t="s">
        <v>104</v>
      </c>
      <c r="E468" s="91" t="s">
        <v>208</v>
      </c>
      <c r="F468" s="91" t="s">
        <v>106</v>
      </c>
      <c r="G468" s="91" t="s">
        <v>107</v>
      </c>
      <c r="H468" s="91" t="s">
        <v>104</v>
      </c>
    </row>
    <row r="469" spans="1:8" x14ac:dyDescent="0.3">
      <c r="A469" s="91" t="s">
        <v>61</v>
      </c>
      <c r="B469" s="91" t="s">
        <v>219</v>
      </c>
      <c r="C469" s="91" t="s">
        <v>103</v>
      </c>
      <c r="D469" s="91" t="s">
        <v>104</v>
      </c>
      <c r="E469" s="91" t="s">
        <v>208</v>
      </c>
      <c r="F469" s="91" t="s">
        <v>106</v>
      </c>
      <c r="G469" s="91" t="s">
        <v>107</v>
      </c>
      <c r="H469" s="91" t="s">
        <v>104</v>
      </c>
    </row>
    <row r="470" spans="1:8" x14ac:dyDescent="0.3">
      <c r="A470" s="91" t="s">
        <v>61</v>
      </c>
      <c r="B470" s="91" t="s">
        <v>220</v>
      </c>
      <c r="C470" s="91" t="s">
        <v>103</v>
      </c>
      <c r="D470" s="91" t="s">
        <v>104</v>
      </c>
      <c r="E470" s="91" t="s">
        <v>208</v>
      </c>
      <c r="F470" s="91" t="s">
        <v>106</v>
      </c>
      <c r="G470" s="91" t="s">
        <v>107</v>
      </c>
      <c r="H470" s="91" t="s">
        <v>104</v>
      </c>
    </row>
    <row r="471" spans="1:8" x14ac:dyDescent="0.3">
      <c r="A471" s="91" t="s">
        <v>61</v>
      </c>
      <c r="B471" s="91" t="s">
        <v>221</v>
      </c>
      <c r="C471" s="91" t="s">
        <v>103</v>
      </c>
      <c r="D471" s="91" t="s">
        <v>104</v>
      </c>
      <c r="E471" s="91" t="s">
        <v>208</v>
      </c>
      <c r="F471" s="91" t="s">
        <v>106</v>
      </c>
      <c r="G471" s="91" t="s">
        <v>107</v>
      </c>
      <c r="H471" s="91" t="s">
        <v>104</v>
      </c>
    </row>
    <row r="472" spans="1:8" x14ac:dyDescent="0.3">
      <c r="A472" s="91" t="s">
        <v>61</v>
      </c>
      <c r="B472" s="91" t="s">
        <v>222</v>
      </c>
      <c r="C472" s="91" t="s">
        <v>103</v>
      </c>
      <c r="D472" s="91" t="s">
        <v>104</v>
      </c>
      <c r="E472" s="91" t="s">
        <v>208</v>
      </c>
      <c r="F472" s="91" t="s">
        <v>106</v>
      </c>
      <c r="G472" s="91" t="s">
        <v>107</v>
      </c>
      <c r="H472" s="91" t="s">
        <v>104</v>
      </c>
    </row>
    <row r="473" spans="1:8" x14ac:dyDescent="0.3">
      <c r="A473" s="91" t="s">
        <v>61</v>
      </c>
      <c r="B473" s="91" t="s">
        <v>223</v>
      </c>
      <c r="C473" s="91" t="s">
        <v>103</v>
      </c>
      <c r="D473" s="91" t="s">
        <v>104</v>
      </c>
      <c r="E473" s="91" t="s">
        <v>208</v>
      </c>
      <c r="F473" s="91" t="s">
        <v>106</v>
      </c>
      <c r="G473" s="91" t="s">
        <v>107</v>
      </c>
      <c r="H473" s="91" t="s">
        <v>104</v>
      </c>
    </row>
    <row r="474" spans="1:8" x14ac:dyDescent="0.3">
      <c r="A474" s="91" t="s">
        <v>61</v>
      </c>
      <c r="B474" s="91" t="s">
        <v>224</v>
      </c>
      <c r="C474" s="91" t="s">
        <v>103</v>
      </c>
      <c r="D474" s="91" t="s">
        <v>104</v>
      </c>
      <c r="E474" s="91" t="s">
        <v>208</v>
      </c>
      <c r="F474" s="91" t="s">
        <v>106</v>
      </c>
      <c r="G474" s="91" t="s">
        <v>107</v>
      </c>
      <c r="H474" s="91" t="s">
        <v>104</v>
      </c>
    </row>
    <row r="475" spans="1:8" x14ac:dyDescent="0.3">
      <c r="A475" s="91" t="s">
        <v>61</v>
      </c>
      <c r="B475" s="91" t="s">
        <v>225</v>
      </c>
      <c r="C475" s="91" t="s">
        <v>103</v>
      </c>
      <c r="D475" s="91" t="s">
        <v>104</v>
      </c>
      <c r="E475" s="91" t="s">
        <v>208</v>
      </c>
      <c r="F475" s="91" t="s">
        <v>106</v>
      </c>
      <c r="G475" s="91" t="s">
        <v>107</v>
      </c>
      <c r="H475" s="91" t="s">
        <v>104</v>
      </c>
    </row>
    <row r="476" spans="1:8" x14ac:dyDescent="0.3">
      <c r="A476" s="91" t="s">
        <v>61</v>
      </c>
      <c r="B476" s="91" t="s">
        <v>226</v>
      </c>
      <c r="C476" s="91" t="s">
        <v>103</v>
      </c>
      <c r="D476" s="91" t="s">
        <v>104</v>
      </c>
      <c r="E476" s="91" t="s">
        <v>208</v>
      </c>
      <c r="F476" s="91" t="s">
        <v>106</v>
      </c>
      <c r="G476" s="91" t="s">
        <v>107</v>
      </c>
      <c r="H476" s="91" t="s">
        <v>104</v>
      </c>
    </row>
    <row r="477" spans="1:8" x14ac:dyDescent="0.3">
      <c r="A477" s="91" t="s">
        <v>61</v>
      </c>
      <c r="B477" s="91" t="s">
        <v>227</v>
      </c>
      <c r="C477" s="91" t="s">
        <v>103</v>
      </c>
      <c r="D477" s="91" t="s">
        <v>104</v>
      </c>
      <c r="E477" s="91" t="s">
        <v>208</v>
      </c>
      <c r="F477" s="91" t="s">
        <v>106</v>
      </c>
      <c r="G477" s="91" t="s">
        <v>107</v>
      </c>
      <c r="H477" s="91" t="s">
        <v>104</v>
      </c>
    </row>
    <row r="478" spans="1:8" x14ac:dyDescent="0.3">
      <c r="A478" s="91" t="s">
        <v>61</v>
      </c>
      <c r="B478" s="91" t="s">
        <v>228</v>
      </c>
      <c r="C478" s="91" t="s">
        <v>103</v>
      </c>
      <c r="D478" s="91" t="s">
        <v>104</v>
      </c>
      <c r="E478" s="91" t="s">
        <v>208</v>
      </c>
      <c r="F478" s="91" t="s">
        <v>106</v>
      </c>
      <c r="G478" s="91" t="s">
        <v>107</v>
      </c>
      <c r="H478" s="91" t="s">
        <v>104</v>
      </c>
    </row>
    <row r="479" spans="1:8" x14ac:dyDescent="0.3">
      <c r="A479" s="91" t="s">
        <v>61</v>
      </c>
      <c r="B479" s="91" t="s">
        <v>229</v>
      </c>
      <c r="C479" s="91" t="s">
        <v>103</v>
      </c>
      <c r="D479" s="91" t="s">
        <v>104</v>
      </c>
      <c r="E479" s="91" t="s">
        <v>208</v>
      </c>
      <c r="F479" s="91" t="s">
        <v>106</v>
      </c>
      <c r="G479" s="91" t="s">
        <v>107</v>
      </c>
      <c r="H479" s="91" t="s">
        <v>104</v>
      </c>
    </row>
    <row r="480" spans="1:8" x14ac:dyDescent="0.3">
      <c r="A480" s="91" t="s">
        <v>61</v>
      </c>
      <c r="B480" s="91" t="s">
        <v>230</v>
      </c>
      <c r="C480" s="91" t="s">
        <v>103</v>
      </c>
      <c r="D480" s="91" t="s">
        <v>104</v>
      </c>
      <c r="E480" s="91" t="s">
        <v>208</v>
      </c>
      <c r="F480" s="91" t="s">
        <v>106</v>
      </c>
      <c r="G480" s="91" t="s">
        <v>107</v>
      </c>
      <c r="H480" s="91" t="s">
        <v>104</v>
      </c>
    </row>
    <row r="481" spans="1:8" x14ac:dyDescent="0.3">
      <c r="A481" s="91" t="s">
        <v>61</v>
      </c>
      <c r="B481" s="91" t="s">
        <v>231</v>
      </c>
      <c r="C481" s="91" t="s">
        <v>103</v>
      </c>
      <c r="D481" s="91" t="s">
        <v>104</v>
      </c>
      <c r="E481" s="91" t="s">
        <v>208</v>
      </c>
      <c r="F481" s="91" t="s">
        <v>106</v>
      </c>
      <c r="G481" s="91" t="s">
        <v>107</v>
      </c>
      <c r="H481" s="91" t="s">
        <v>104</v>
      </c>
    </row>
    <row r="482" spans="1:8" x14ac:dyDescent="0.3">
      <c r="A482" s="91" t="s">
        <v>61</v>
      </c>
      <c r="B482" s="91" t="s">
        <v>232</v>
      </c>
      <c r="C482" s="91" t="s">
        <v>103</v>
      </c>
      <c r="D482" s="91" t="s">
        <v>104</v>
      </c>
      <c r="E482" s="91" t="s">
        <v>208</v>
      </c>
      <c r="F482" s="91" t="s">
        <v>106</v>
      </c>
      <c r="G482" s="91" t="s">
        <v>107</v>
      </c>
      <c r="H482" s="91" t="s">
        <v>104</v>
      </c>
    </row>
    <row r="483" spans="1:8" x14ac:dyDescent="0.3">
      <c r="A483" s="91" t="s">
        <v>61</v>
      </c>
      <c r="B483" s="91" t="s">
        <v>233</v>
      </c>
      <c r="C483" s="91" t="s">
        <v>103</v>
      </c>
      <c r="D483" s="91" t="s">
        <v>104</v>
      </c>
      <c r="E483" s="91" t="s">
        <v>208</v>
      </c>
      <c r="F483" s="91" t="s">
        <v>106</v>
      </c>
      <c r="G483" s="91" t="s">
        <v>107</v>
      </c>
      <c r="H483" s="91" t="s">
        <v>104</v>
      </c>
    </row>
    <row r="484" spans="1:8" x14ac:dyDescent="0.3">
      <c r="A484" s="91" t="s">
        <v>61</v>
      </c>
      <c r="B484" s="91" t="s">
        <v>234</v>
      </c>
      <c r="C484" s="91" t="s">
        <v>103</v>
      </c>
      <c r="D484" s="91" t="s">
        <v>104</v>
      </c>
      <c r="E484" s="91" t="s">
        <v>208</v>
      </c>
      <c r="F484" s="91" t="s">
        <v>106</v>
      </c>
      <c r="G484" s="91" t="s">
        <v>107</v>
      </c>
      <c r="H484" s="91" t="s">
        <v>104</v>
      </c>
    </row>
    <row r="485" spans="1:8" x14ac:dyDescent="0.3">
      <c r="A485" s="91" t="s">
        <v>61</v>
      </c>
      <c r="B485" s="91" t="s">
        <v>235</v>
      </c>
      <c r="C485" s="91" t="s">
        <v>103</v>
      </c>
      <c r="D485" s="91" t="s">
        <v>104</v>
      </c>
      <c r="E485" s="91" t="s">
        <v>208</v>
      </c>
      <c r="F485" s="91" t="s">
        <v>106</v>
      </c>
      <c r="G485" s="91" t="s">
        <v>107</v>
      </c>
      <c r="H485" s="91" t="s">
        <v>104</v>
      </c>
    </row>
    <row r="486" spans="1:8" x14ac:dyDescent="0.3">
      <c r="A486" s="91" t="s">
        <v>61</v>
      </c>
      <c r="B486" s="91" t="s">
        <v>236</v>
      </c>
      <c r="C486" s="91" t="s">
        <v>103</v>
      </c>
      <c r="D486" s="91" t="s">
        <v>104</v>
      </c>
      <c r="E486" s="91" t="s">
        <v>208</v>
      </c>
      <c r="F486" s="91" t="s">
        <v>106</v>
      </c>
      <c r="G486" s="91" t="s">
        <v>107</v>
      </c>
      <c r="H486" s="91" t="s">
        <v>104</v>
      </c>
    </row>
    <row r="487" spans="1:8" x14ac:dyDescent="0.3">
      <c r="A487" s="91" t="s">
        <v>61</v>
      </c>
      <c r="B487" s="91" t="s">
        <v>237</v>
      </c>
      <c r="C487" s="91" t="s">
        <v>103</v>
      </c>
      <c r="D487" s="91" t="s">
        <v>104</v>
      </c>
      <c r="E487" s="91" t="s">
        <v>208</v>
      </c>
      <c r="F487" s="91" t="s">
        <v>106</v>
      </c>
      <c r="G487" s="91" t="s">
        <v>107</v>
      </c>
      <c r="H487" s="91" t="s">
        <v>104</v>
      </c>
    </row>
    <row r="488" spans="1:8" x14ac:dyDescent="0.3">
      <c r="A488" s="91" t="s">
        <v>61</v>
      </c>
      <c r="B488" s="91" t="s">
        <v>238</v>
      </c>
      <c r="C488" s="91" t="s">
        <v>103</v>
      </c>
      <c r="D488" s="91" t="s">
        <v>104</v>
      </c>
      <c r="E488" s="91" t="s">
        <v>208</v>
      </c>
      <c r="F488" s="91" t="s">
        <v>106</v>
      </c>
      <c r="G488" s="91" t="s">
        <v>107</v>
      </c>
      <c r="H488" s="91" t="s">
        <v>104</v>
      </c>
    </row>
    <row r="489" spans="1:8" x14ac:dyDescent="0.3">
      <c r="A489" s="91" t="s">
        <v>61</v>
      </c>
      <c r="B489" s="91" t="s">
        <v>239</v>
      </c>
      <c r="C489" s="91" t="s">
        <v>103</v>
      </c>
      <c r="D489" s="91" t="s">
        <v>104</v>
      </c>
      <c r="E489" s="91" t="s">
        <v>208</v>
      </c>
      <c r="F489" s="91" t="s">
        <v>106</v>
      </c>
      <c r="G489" s="91" t="s">
        <v>107</v>
      </c>
      <c r="H489" s="91" t="s">
        <v>104</v>
      </c>
    </row>
    <row r="490" spans="1:8" x14ac:dyDescent="0.3">
      <c r="A490" s="91" t="s">
        <v>61</v>
      </c>
      <c r="B490" s="91" t="s">
        <v>240</v>
      </c>
      <c r="C490" s="91" t="s">
        <v>103</v>
      </c>
      <c r="D490" s="91" t="s">
        <v>104</v>
      </c>
      <c r="E490" s="91" t="s">
        <v>208</v>
      </c>
      <c r="F490" s="91" t="s">
        <v>106</v>
      </c>
      <c r="G490" s="91" t="s">
        <v>107</v>
      </c>
      <c r="H490" s="91" t="s">
        <v>104</v>
      </c>
    </row>
    <row r="491" spans="1:8" x14ac:dyDescent="0.3">
      <c r="A491" s="91" t="s">
        <v>61</v>
      </c>
      <c r="B491" s="91" t="s">
        <v>241</v>
      </c>
      <c r="C491" s="91" t="s">
        <v>103</v>
      </c>
      <c r="D491" s="91" t="s">
        <v>104</v>
      </c>
      <c r="E491" s="91" t="s">
        <v>208</v>
      </c>
      <c r="F491" s="91" t="s">
        <v>106</v>
      </c>
      <c r="G491" s="91" t="s">
        <v>107</v>
      </c>
      <c r="H491" s="91" t="s">
        <v>104</v>
      </c>
    </row>
    <row r="492" spans="1:8" x14ac:dyDescent="0.3">
      <c r="A492" s="91" t="s">
        <v>61</v>
      </c>
      <c r="B492" s="91" t="s">
        <v>242</v>
      </c>
      <c r="C492" s="91" t="s">
        <v>103</v>
      </c>
      <c r="D492" s="91" t="s">
        <v>104</v>
      </c>
      <c r="E492" s="91" t="s">
        <v>208</v>
      </c>
      <c r="F492" s="91" t="s">
        <v>106</v>
      </c>
      <c r="G492" s="91" t="s">
        <v>107</v>
      </c>
      <c r="H492" s="91" t="s">
        <v>104</v>
      </c>
    </row>
    <row r="493" spans="1:8" x14ac:dyDescent="0.3">
      <c r="A493" s="91" t="s">
        <v>61</v>
      </c>
      <c r="B493" s="91" t="s">
        <v>243</v>
      </c>
      <c r="C493" s="91" t="s">
        <v>103</v>
      </c>
      <c r="D493" s="91" t="s">
        <v>104</v>
      </c>
      <c r="E493" s="91" t="s">
        <v>208</v>
      </c>
      <c r="F493" s="91" t="s">
        <v>106</v>
      </c>
      <c r="G493" s="91" t="s">
        <v>107</v>
      </c>
      <c r="H493" s="91" t="s">
        <v>104</v>
      </c>
    </row>
    <row r="494" spans="1:8" x14ac:dyDescent="0.3">
      <c r="A494" s="91" t="s">
        <v>61</v>
      </c>
      <c r="B494" s="91" t="s">
        <v>244</v>
      </c>
      <c r="C494" s="91" t="s">
        <v>103</v>
      </c>
      <c r="D494" s="91" t="s">
        <v>104</v>
      </c>
      <c r="E494" s="91" t="s">
        <v>208</v>
      </c>
      <c r="F494" s="91" t="s">
        <v>106</v>
      </c>
      <c r="G494" s="91" t="s">
        <v>107</v>
      </c>
      <c r="H494" s="91" t="s">
        <v>104</v>
      </c>
    </row>
    <row r="495" spans="1:8" x14ac:dyDescent="0.3">
      <c r="A495" s="91" t="s">
        <v>61</v>
      </c>
      <c r="B495" s="91" t="s">
        <v>245</v>
      </c>
      <c r="C495" s="91" t="s">
        <v>103</v>
      </c>
      <c r="D495" s="91" t="s">
        <v>104</v>
      </c>
      <c r="E495" s="91" t="s">
        <v>208</v>
      </c>
      <c r="F495" s="91" t="s">
        <v>106</v>
      </c>
      <c r="G495" s="91" t="s">
        <v>107</v>
      </c>
      <c r="H495" s="91" t="s">
        <v>104</v>
      </c>
    </row>
    <row r="496" spans="1:8" x14ac:dyDescent="0.3">
      <c r="A496" s="91" t="s">
        <v>61</v>
      </c>
      <c r="B496" s="91" t="s">
        <v>246</v>
      </c>
      <c r="C496" s="91" t="s">
        <v>103</v>
      </c>
      <c r="D496" s="91" t="s">
        <v>104</v>
      </c>
      <c r="E496" s="91" t="s">
        <v>208</v>
      </c>
      <c r="F496" s="91" t="s">
        <v>106</v>
      </c>
      <c r="G496" s="91" t="s">
        <v>107</v>
      </c>
      <c r="H496" s="91" t="s">
        <v>104</v>
      </c>
    </row>
    <row r="497" spans="1:8" x14ac:dyDescent="0.3">
      <c r="A497" s="91" t="s">
        <v>61</v>
      </c>
      <c r="B497" s="91" t="s">
        <v>247</v>
      </c>
      <c r="C497" s="91" t="s">
        <v>103</v>
      </c>
      <c r="D497" s="91" t="s">
        <v>104</v>
      </c>
      <c r="E497" s="91" t="s">
        <v>208</v>
      </c>
      <c r="F497" s="91" t="s">
        <v>106</v>
      </c>
      <c r="G497" s="91" t="s">
        <v>107</v>
      </c>
      <c r="H497" s="91" t="s">
        <v>104</v>
      </c>
    </row>
    <row r="498" spans="1:8" x14ac:dyDescent="0.3">
      <c r="A498" s="91" t="s">
        <v>61</v>
      </c>
      <c r="B498" s="91" t="s">
        <v>248</v>
      </c>
      <c r="C498" s="91" t="s">
        <v>103</v>
      </c>
      <c r="D498" s="91" t="s">
        <v>104</v>
      </c>
      <c r="E498" s="91" t="s">
        <v>208</v>
      </c>
      <c r="F498" s="91" t="s">
        <v>106</v>
      </c>
      <c r="G498" s="91" t="s">
        <v>107</v>
      </c>
      <c r="H498" s="91" t="s">
        <v>104</v>
      </c>
    </row>
    <row r="499" spans="1:8" x14ac:dyDescent="0.3">
      <c r="A499" s="91" t="s">
        <v>61</v>
      </c>
      <c r="B499" s="91" t="s">
        <v>249</v>
      </c>
      <c r="C499" s="91" t="s">
        <v>103</v>
      </c>
      <c r="D499" s="91" t="s">
        <v>104</v>
      </c>
      <c r="E499" s="91" t="s">
        <v>208</v>
      </c>
      <c r="F499" s="91" t="s">
        <v>106</v>
      </c>
      <c r="G499" s="91" t="s">
        <v>107</v>
      </c>
      <c r="H499" s="91" t="s">
        <v>104</v>
      </c>
    </row>
    <row r="500" spans="1:8" x14ac:dyDescent="0.3">
      <c r="A500" s="91" t="s">
        <v>61</v>
      </c>
      <c r="B500" s="91" t="s">
        <v>250</v>
      </c>
      <c r="C500" s="91" t="s">
        <v>103</v>
      </c>
      <c r="D500" s="91" t="s">
        <v>104</v>
      </c>
      <c r="E500" s="91" t="s">
        <v>208</v>
      </c>
      <c r="F500" s="91" t="s">
        <v>106</v>
      </c>
      <c r="G500" s="91" t="s">
        <v>107</v>
      </c>
      <c r="H500" s="91" t="s">
        <v>104</v>
      </c>
    </row>
    <row r="501" spans="1:8" x14ac:dyDescent="0.3">
      <c r="A501" s="91" t="s">
        <v>61</v>
      </c>
      <c r="B501" s="91" t="s">
        <v>251</v>
      </c>
      <c r="C501" s="91" t="s">
        <v>103</v>
      </c>
      <c r="D501" s="91" t="s">
        <v>104</v>
      </c>
      <c r="E501" s="91" t="s">
        <v>208</v>
      </c>
      <c r="F501" s="91" t="s">
        <v>106</v>
      </c>
      <c r="G501" s="91" t="s">
        <v>107</v>
      </c>
      <c r="H501" s="91" t="s">
        <v>104</v>
      </c>
    </row>
    <row r="502" spans="1:8" x14ac:dyDescent="0.3">
      <c r="A502" s="91" t="s">
        <v>61</v>
      </c>
      <c r="B502" s="91" t="s">
        <v>252</v>
      </c>
      <c r="C502" s="91" t="s">
        <v>103</v>
      </c>
      <c r="D502" s="91" t="s">
        <v>104</v>
      </c>
      <c r="E502" s="91" t="s">
        <v>208</v>
      </c>
      <c r="F502" s="91" t="s">
        <v>106</v>
      </c>
      <c r="G502" s="91" t="s">
        <v>107</v>
      </c>
      <c r="H502" s="91" t="s">
        <v>104</v>
      </c>
    </row>
    <row r="503" spans="1:8" x14ac:dyDescent="0.3">
      <c r="A503" s="91" t="s">
        <v>61</v>
      </c>
      <c r="B503" s="91" t="s">
        <v>253</v>
      </c>
      <c r="C503" s="91" t="s">
        <v>103</v>
      </c>
      <c r="D503" s="91" t="s">
        <v>104</v>
      </c>
      <c r="E503" s="91" t="s">
        <v>208</v>
      </c>
      <c r="F503" s="91" t="s">
        <v>106</v>
      </c>
      <c r="G503" s="91" t="s">
        <v>107</v>
      </c>
      <c r="H503" s="91" t="s">
        <v>104</v>
      </c>
    </row>
    <row r="504" spans="1:8" x14ac:dyDescent="0.3">
      <c r="A504" s="91" t="s">
        <v>61</v>
      </c>
      <c r="B504" s="91" t="s">
        <v>254</v>
      </c>
      <c r="C504" s="91" t="s">
        <v>103</v>
      </c>
      <c r="D504" s="91" t="s">
        <v>104</v>
      </c>
      <c r="E504" s="91" t="s">
        <v>208</v>
      </c>
      <c r="F504" s="91" t="s">
        <v>106</v>
      </c>
      <c r="G504" s="91" t="s">
        <v>107</v>
      </c>
      <c r="H504" s="91" t="s">
        <v>104</v>
      </c>
    </row>
    <row r="505" spans="1:8" x14ac:dyDescent="0.3">
      <c r="A505" s="91" t="s">
        <v>61</v>
      </c>
      <c r="B505" s="91" t="s">
        <v>255</v>
      </c>
      <c r="C505" s="91" t="s">
        <v>103</v>
      </c>
      <c r="D505" s="91" t="s">
        <v>104</v>
      </c>
      <c r="E505" s="91" t="s">
        <v>208</v>
      </c>
      <c r="F505" s="91" t="s">
        <v>106</v>
      </c>
      <c r="G505" s="91" t="s">
        <v>107</v>
      </c>
      <c r="H505" s="91" t="s">
        <v>104</v>
      </c>
    </row>
    <row r="506" spans="1:8" x14ac:dyDescent="0.3">
      <c r="A506" s="91" t="s">
        <v>61</v>
      </c>
      <c r="B506" s="91" t="s">
        <v>256</v>
      </c>
      <c r="C506" s="91" t="s">
        <v>103</v>
      </c>
      <c r="D506" s="91" t="s">
        <v>104</v>
      </c>
      <c r="E506" s="91" t="s">
        <v>208</v>
      </c>
      <c r="F506" s="91" t="s">
        <v>106</v>
      </c>
      <c r="G506" s="91" t="s">
        <v>107</v>
      </c>
      <c r="H506" s="91" t="s">
        <v>104</v>
      </c>
    </row>
    <row r="507" spans="1:8" x14ac:dyDescent="0.3">
      <c r="A507" s="91" t="s">
        <v>61</v>
      </c>
      <c r="B507" s="91" t="s">
        <v>257</v>
      </c>
      <c r="C507" s="91" t="s">
        <v>103</v>
      </c>
      <c r="D507" s="91" t="s">
        <v>104</v>
      </c>
      <c r="E507" s="91" t="s">
        <v>208</v>
      </c>
      <c r="F507" s="91" t="s">
        <v>106</v>
      </c>
      <c r="G507" s="91" t="s">
        <v>107</v>
      </c>
      <c r="H507" s="91" t="s">
        <v>104</v>
      </c>
    </row>
    <row r="508" spans="1:8" x14ac:dyDescent="0.3">
      <c r="A508" s="91" t="s">
        <v>61</v>
      </c>
      <c r="B508" s="91" t="s">
        <v>258</v>
      </c>
      <c r="C508" s="91" t="s">
        <v>103</v>
      </c>
      <c r="D508" s="91" t="s">
        <v>104</v>
      </c>
      <c r="E508" s="91" t="s">
        <v>208</v>
      </c>
      <c r="F508" s="91" t="s">
        <v>106</v>
      </c>
      <c r="G508" s="91" t="s">
        <v>107</v>
      </c>
      <c r="H508" s="91" t="s">
        <v>104</v>
      </c>
    </row>
    <row r="509" spans="1:8" x14ac:dyDescent="0.3">
      <c r="A509" s="91" t="s">
        <v>61</v>
      </c>
      <c r="B509" s="91" t="s">
        <v>259</v>
      </c>
      <c r="C509" s="91" t="s">
        <v>103</v>
      </c>
      <c r="D509" s="91" t="s">
        <v>104</v>
      </c>
      <c r="E509" s="91" t="s">
        <v>208</v>
      </c>
      <c r="F509" s="91" t="s">
        <v>106</v>
      </c>
      <c r="G509" s="91" t="s">
        <v>107</v>
      </c>
      <c r="H509" s="91" t="s">
        <v>104</v>
      </c>
    </row>
    <row r="510" spans="1:8" x14ac:dyDescent="0.3">
      <c r="A510" s="91" t="s">
        <v>61</v>
      </c>
      <c r="B510" s="91" t="s">
        <v>260</v>
      </c>
      <c r="C510" s="91" t="s">
        <v>103</v>
      </c>
      <c r="D510" s="91" t="s">
        <v>104</v>
      </c>
      <c r="E510" s="91" t="s">
        <v>208</v>
      </c>
      <c r="F510" s="91" t="s">
        <v>106</v>
      </c>
      <c r="G510" s="91" t="s">
        <v>107</v>
      </c>
      <c r="H510" s="91" t="s">
        <v>104</v>
      </c>
    </row>
    <row r="511" spans="1:8" x14ac:dyDescent="0.3">
      <c r="A511" s="91" t="s">
        <v>61</v>
      </c>
      <c r="B511" s="91" t="s">
        <v>261</v>
      </c>
      <c r="C511" s="91" t="s">
        <v>103</v>
      </c>
      <c r="D511" s="91" t="s">
        <v>104</v>
      </c>
      <c r="E511" s="91" t="s">
        <v>208</v>
      </c>
      <c r="F511" s="91" t="s">
        <v>106</v>
      </c>
      <c r="G511" s="91" t="s">
        <v>107</v>
      </c>
      <c r="H511" s="91" t="s">
        <v>104</v>
      </c>
    </row>
    <row r="512" spans="1:8" x14ac:dyDescent="0.3">
      <c r="A512" s="91" t="s">
        <v>62</v>
      </c>
      <c r="B512" s="91" t="s">
        <v>115</v>
      </c>
      <c r="C512" s="91" t="s">
        <v>103</v>
      </c>
      <c r="D512" s="91" t="s">
        <v>104</v>
      </c>
      <c r="E512" s="91" t="s">
        <v>105</v>
      </c>
      <c r="F512" s="91" t="s">
        <v>106</v>
      </c>
      <c r="G512" s="91" t="s">
        <v>107</v>
      </c>
      <c r="H512" s="91" t="s">
        <v>104</v>
      </c>
    </row>
    <row r="513" spans="1:8" x14ac:dyDescent="0.3">
      <c r="A513" s="91" t="s">
        <v>62</v>
      </c>
      <c r="B513" s="91" t="s">
        <v>207</v>
      </c>
      <c r="C513" s="91" t="s">
        <v>103</v>
      </c>
      <c r="D513" s="91" t="s">
        <v>104</v>
      </c>
      <c r="E513" s="91" t="s">
        <v>208</v>
      </c>
      <c r="F513" s="91" t="s">
        <v>106</v>
      </c>
      <c r="G513" s="91" t="s">
        <v>107</v>
      </c>
      <c r="H513" s="91" t="s">
        <v>104</v>
      </c>
    </row>
    <row r="514" spans="1:8" x14ac:dyDescent="0.3">
      <c r="A514" s="91" t="s">
        <v>63</v>
      </c>
      <c r="B514" s="91" t="s">
        <v>115</v>
      </c>
      <c r="C514" s="91" t="s">
        <v>103</v>
      </c>
      <c r="D514" s="91" t="s">
        <v>104</v>
      </c>
      <c r="E514" s="91" t="s">
        <v>105</v>
      </c>
      <c r="F514" s="91" t="s">
        <v>106</v>
      </c>
      <c r="G514" s="91" t="s">
        <v>107</v>
      </c>
      <c r="H514" s="91" t="s">
        <v>104</v>
      </c>
    </row>
    <row r="515" spans="1:8" x14ac:dyDescent="0.3">
      <c r="A515" s="91" t="s">
        <v>63</v>
      </c>
      <c r="B515" s="91" t="s">
        <v>207</v>
      </c>
      <c r="C515" s="91" t="s">
        <v>103</v>
      </c>
      <c r="D515" s="91" t="s">
        <v>104</v>
      </c>
      <c r="E515" s="91" t="s">
        <v>208</v>
      </c>
      <c r="F515" s="91" t="s">
        <v>106</v>
      </c>
      <c r="G515" s="91" t="s">
        <v>107</v>
      </c>
      <c r="H515" s="91" t="s">
        <v>104</v>
      </c>
    </row>
    <row r="516" spans="1:8" x14ac:dyDescent="0.3">
      <c r="A516" s="91" t="s">
        <v>64</v>
      </c>
      <c r="B516" s="91" t="s">
        <v>115</v>
      </c>
      <c r="C516" s="91" t="s">
        <v>103</v>
      </c>
      <c r="D516" s="91" t="s">
        <v>104</v>
      </c>
      <c r="E516" s="91" t="s">
        <v>105</v>
      </c>
      <c r="F516" s="91" t="s">
        <v>106</v>
      </c>
      <c r="G516" s="91" t="s">
        <v>107</v>
      </c>
      <c r="H516" s="91" t="s">
        <v>104</v>
      </c>
    </row>
    <row r="517" spans="1:8" x14ac:dyDescent="0.3">
      <c r="A517" s="91" t="s">
        <v>64</v>
      </c>
      <c r="B517" s="91" t="s">
        <v>207</v>
      </c>
      <c r="C517" s="91" t="s">
        <v>103</v>
      </c>
      <c r="D517" s="91" t="s">
        <v>104</v>
      </c>
      <c r="E517" s="91" t="s">
        <v>208</v>
      </c>
      <c r="F517" s="91" t="s">
        <v>106</v>
      </c>
      <c r="G517" s="91" t="s">
        <v>107</v>
      </c>
      <c r="H517" s="91" t="s">
        <v>104</v>
      </c>
    </row>
    <row r="518" spans="1:8" x14ac:dyDescent="0.3">
      <c r="A518" s="91" t="s">
        <v>86</v>
      </c>
      <c r="B518" s="91" t="s">
        <v>115</v>
      </c>
      <c r="C518" s="91" t="s">
        <v>103</v>
      </c>
      <c r="D518" s="91" t="s">
        <v>104</v>
      </c>
      <c r="E518" s="91" t="s">
        <v>105</v>
      </c>
      <c r="F518" s="91" t="s">
        <v>106</v>
      </c>
      <c r="G518" s="91" t="s">
        <v>107</v>
      </c>
      <c r="H518" s="91" t="s">
        <v>104</v>
      </c>
    </row>
    <row r="519" spans="1:8" x14ac:dyDescent="0.3">
      <c r="A519" s="91" t="s">
        <v>86</v>
      </c>
      <c r="B519" s="91" t="s">
        <v>207</v>
      </c>
      <c r="C519" s="91" t="s">
        <v>103</v>
      </c>
      <c r="D519" s="91" t="s">
        <v>104</v>
      </c>
      <c r="E519" s="91" t="s">
        <v>208</v>
      </c>
      <c r="F519" s="91" t="s">
        <v>106</v>
      </c>
      <c r="G519" s="91" t="s">
        <v>107</v>
      </c>
      <c r="H519" s="91" t="s">
        <v>104</v>
      </c>
    </row>
    <row r="520" spans="1:8" ht="14.5" x14ac:dyDescent="0.35">
      <c r="A520"/>
      <c r="B520"/>
      <c r="C520"/>
      <c r="D520"/>
      <c r="E520"/>
      <c r="F520"/>
      <c r="G520"/>
      <c r="H520"/>
    </row>
    <row r="521" spans="1:8" ht="14.5" x14ac:dyDescent="0.35">
      <c r="A521"/>
      <c r="B521"/>
      <c r="C521"/>
      <c r="D521"/>
      <c r="E521"/>
      <c r="F521"/>
      <c r="G521"/>
      <c r="H521"/>
    </row>
    <row r="522" spans="1:8" ht="14.5" x14ac:dyDescent="0.35">
      <c r="A522"/>
      <c r="B522"/>
      <c r="C522"/>
      <c r="D522"/>
      <c r="E522"/>
      <c r="F522"/>
      <c r="G522"/>
      <c r="H522"/>
    </row>
    <row r="523" spans="1:8" ht="14.5" x14ac:dyDescent="0.35">
      <c r="A523"/>
      <c r="B523"/>
      <c r="C523"/>
      <c r="D523"/>
      <c r="E523"/>
      <c r="F523"/>
      <c r="G523"/>
      <c r="H523"/>
    </row>
    <row r="524" spans="1:8" ht="14.5" x14ac:dyDescent="0.35">
      <c r="A524"/>
      <c r="B524"/>
      <c r="C524"/>
      <c r="D524"/>
      <c r="E524"/>
      <c r="F524"/>
      <c r="G524"/>
      <c r="H524"/>
    </row>
    <row r="525" spans="1:8" ht="14.5" x14ac:dyDescent="0.35">
      <c r="A525"/>
      <c r="B525"/>
      <c r="C525"/>
      <c r="D525"/>
      <c r="E525"/>
      <c r="F525"/>
      <c r="G525"/>
      <c r="H525"/>
    </row>
    <row r="526" spans="1:8" ht="14.5" x14ac:dyDescent="0.35">
      <c r="A526"/>
      <c r="B526"/>
      <c r="C526"/>
      <c r="D526"/>
      <c r="E526"/>
      <c r="F526"/>
      <c r="G526"/>
      <c r="H526"/>
    </row>
    <row r="527" spans="1:8" ht="14.5" x14ac:dyDescent="0.35">
      <c r="A527"/>
      <c r="B527"/>
      <c r="C527"/>
      <c r="D527"/>
      <c r="E527"/>
      <c r="F527"/>
      <c r="G527"/>
      <c r="H527"/>
    </row>
    <row r="528" spans="1:8" ht="14.5" x14ac:dyDescent="0.35">
      <c r="A528"/>
      <c r="B528"/>
      <c r="C528"/>
      <c r="D528"/>
      <c r="E528"/>
      <c r="F528"/>
      <c r="G528"/>
      <c r="H528"/>
    </row>
    <row r="529" spans="1:8" ht="14.5" x14ac:dyDescent="0.35">
      <c r="A529"/>
      <c r="B529"/>
      <c r="C529"/>
      <c r="D529"/>
      <c r="E529"/>
      <c r="F529"/>
      <c r="G529"/>
      <c r="H529"/>
    </row>
    <row r="530" spans="1:8" ht="14.5" x14ac:dyDescent="0.35">
      <c r="A530"/>
      <c r="B530"/>
      <c r="C530"/>
      <c r="D530"/>
      <c r="E530"/>
      <c r="F530"/>
      <c r="G530"/>
      <c r="H530"/>
    </row>
    <row r="531" spans="1:8" ht="14.5" x14ac:dyDescent="0.35">
      <c r="A531"/>
      <c r="B531"/>
      <c r="C531"/>
      <c r="D531"/>
      <c r="E531"/>
      <c r="F531"/>
      <c r="G531"/>
      <c r="H531"/>
    </row>
    <row r="532" spans="1:8" ht="14.5" x14ac:dyDescent="0.35">
      <c r="A532"/>
      <c r="B532"/>
      <c r="C532"/>
      <c r="D532"/>
      <c r="E532"/>
      <c r="F532"/>
      <c r="G532"/>
      <c r="H532"/>
    </row>
    <row r="533" spans="1:8" ht="14.5" x14ac:dyDescent="0.35">
      <c r="A533"/>
      <c r="B533"/>
      <c r="C533"/>
      <c r="D533"/>
      <c r="E533"/>
      <c r="F533"/>
      <c r="G533"/>
      <c r="H533"/>
    </row>
    <row r="534" spans="1:8" ht="14.5" x14ac:dyDescent="0.35">
      <c r="A534"/>
      <c r="B534"/>
      <c r="C534"/>
      <c r="D534"/>
      <c r="E534"/>
      <c r="F534"/>
      <c r="G534"/>
      <c r="H534"/>
    </row>
    <row r="535" spans="1:8" ht="14.5" x14ac:dyDescent="0.35">
      <c r="A535"/>
      <c r="B535"/>
      <c r="C535"/>
      <c r="D535"/>
      <c r="E535"/>
      <c r="F535"/>
      <c r="G535"/>
      <c r="H535"/>
    </row>
    <row r="536" spans="1:8" ht="14.5" x14ac:dyDescent="0.35">
      <c r="A536"/>
      <c r="B536"/>
      <c r="C536"/>
      <c r="D536"/>
      <c r="E536"/>
      <c r="F536"/>
      <c r="G536"/>
      <c r="H536"/>
    </row>
    <row r="537" spans="1:8" ht="14.5" x14ac:dyDescent="0.35">
      <c r="A537"/>
      <c r="B537"/>
      <c r="C537"/>
      <c r="D537"/>
      <c r="E537"/>
      <c r="F537"/>
      <c r="G537"/>
      <c r="H537"/>
    </row>
    <row r="538" spans="1:8" ht="14.5" x14ac:dyDescent="0.35">
      <c r="A538"/>
      <c r="B538"/>
      <c r="C538"/>
      <c r="D538"/>
      <c r="E538"/>
      <c r="F538"/>
      <c r="G538"/>
      <c r="H538"/>
    </row>
    <row r="539" spans="1:8" ht="14.5" x14ac:dyDescent="0.35">
      <c r="A539"/>
      <c r="B539"/>
      <c r="C539"/>
      <c r="D539"/>
      <c r="E539"/>
      <c r="F539"/>
      <c r="G539"/>
      <c r="H539"/>
    </row>
    <row r="540" spans="1:8" ht="14.5" x14ac:dyDescent="0.35">
      <c r="A540"/>
      <c r="B540"/>
      <c r="C540"/>
      <c r="D540"/>
      <c r="E540"/>
      <c r="F540"/>
      <c r="G540"/>
      <c r="H540"/>
    </row>
    <row r="541" spans="1:8" ht="14.5" x14ac:dyDescent="0.35">
      <c r="A541"/>
      <c r="B541"/>
      <c r="C541"/>
      <c r="D541"/>
      <c r="E541"/>
      <c r="F541"/>
      <c r="G541"/>
      <c r="H541"/>
    </row>
    <row r="542" spans="1:8" ht="14.5" x14ac:dyDescent="0.35">
      <c r="A542"/>
      <c r="B542"/>
      <c r="C542"/>
      <c r="D542"/>
      <c r="E542"/>
      <c r="F542"/>
      <c r="G542"/>
      <c r="H542"/>
    </row>
    <row r="543" spans="1:8" ht="14.5" x14ac:dyDescent="0.35">
      <c r="A543"/>
      <c r="B543"/>
      <c r="C543"/>
      <c r="D543"/>
      <c r="E543"/>
      <c r="F543"/>
      <c r="G543"/>
      <c r="H543"/>
    </row>
    <row r="544" spans="1:8" ht="14.5" x14ac:dyDescent="0.35">
      <c r="A544"/>
      <c r="B544"/>
      <c r="C544"/>
      <c r="D544"/>
      <c r="E544"/>
      <c r="F544"/>
      <c r="G544"/>
      <c r="H544"/>
    </row>
    <row r="545" spans="1:8" ht="14.5" x14ac:dyDescent="0.35">
      <c r="A545"/>
      <c r="B545"/>
      <c r="C545"/>
      <c r="D545"/>
      <c r="E545"/>
      <c r="F545"/>
      <c r="G545"/>
      <c r="H545"/>
    </row>
    <row r="546" spans="1:8" ht="14.5" x14ac:dyDescent="0.35">
      <c r="A546"/>
      <c r="B546"/>
      <c r="C546"/>
      <c r="D546"/>
      <c r="E546"/>
      <c r="F546"/>
      <c r="G546"/>
      <c r="H546"/>
    </row>
    <row r="547" spans="1:8" ht="14.5" x14ac:dyDescent="0.35">
      <c r="A547"/>
      <c r="B547"/>
      <c r="C547"/>
      <c r="D547"/>
      <c r="E547"/>
      <c r="F547"/>
      <c r="G547"/>
      <c r="H547"/>
    </row>
    <row r="548" spans="1:8" ht="14.5" x14ac:dyDescent="0.35">
      <c r="A548"/>
      <c r="B548"/>
      <c r="C548"/>
      <c r="D548"/>
      <c r="E548"/>
      <c r="F548"/>
      <c r="G548"/>
      <c r="H548"/>
    </row>
    <row r="549" spans="1:8" ht="14.5" x14ac:dyDescent="0.35">
      <c r="A549"/>
      <c r="B549"/>
      <c r="C549"/>
      <c r="D549"/>
      <c r="E549"/>
      <c r="F549"/>
      <c r="G549"/>
      <c r="H549"/>
    </row>
    <row r="550" spans="1:8" ht="14.5" x14ac:dyDescent="0.35">
      <c r="A550"/>
      <c r="B550"/>
      <c r="C550"/>
      <c r="D550"/>
      <c r="E550"/>
      <c r="F550"/>
      <c r="G550"/>
      <c r="H550"/>
    </row>
    <row r="551" spans="1:8" ht="14.5" x14ac:dyDescent="0.35">
      <c r="A551"/>
      <c r="B551"/>
      <c r="C551"/>
      <c r="D551"/>
      <c r="E551"/>
      <c r="F551"/>
      <c r="G551"/>
      <c r="H551"/>
    </row>
    <row r="552" spans="1:8" ht="14.5" x14ac:dyDescent="0.35">
      <c r="A552"/>
      <c r="B552"/>
      <c r="C552"/>
      <c r="D552"/>
      <c r="E552"/>
      <c r="F552"/>
      <c r="G552"/>
      <c r="H552"/>
    </row>
    <row r="553" spans="1:8" ht="14.5" x14ac:dyDescent="0.35">
      <c r="A553"/>
      <c r="B553"/>
      <c r="C553"/>
      <c r="D553"/>
      <c r="E553"/>
      <c r="F553"/>
      <c r="G553"/>
      <c r="H553"/>
    </row>
    <row r="554" spans="1:8" ht="14.5" x14ac:dyDescent="0.35">
      <c r="A554"/>
      <c r="B554"/>
      <c r="C554"/>
      <c r="D554"/>
      <c r="E554"/>
      <c r="F554"/>
      <c r="G554"/>
      <c r="H554"/>
    </row>
    <row r="555" spans="1:8" ht="14.5" x14ac:dyDescent="0.35">
      <c r="A555"/>
      <c r="B555"/>
      <c r="C555"/>
      <c r="D555"/>
      <c r="E555"/>
      <c r="F555"/>
      <c r="G555"/>
      <c r="H555"/>
    </row>
    <row r="556" spans="1:8" ht="14.5" x14ac:dyDescent="0.35">
      <c r="A556"/>
      <c r="B556"/>
      <c r="C556"/>
      <c r="D556"/>
      <c r="E556"/>
      <c r="F556"/>
      <c r="G556"/>
      <c r="H556"/>
    </row>
    <row r="557" spans="1:8" ht="14.5" x14ac:dyDescent="0.35">
      <c r="A557"/>
      <c r="B557"/>
      <c r="C557"/>
      <c r="D557"/>
      <c r="E557"/>
      <c r="F557"/>
      <c r="G557"/>
      <c r="H557"/>
    </row>
    <row r="558" spans="1:8" ht="14.5" x14ac:dyDescent="0.35">
      <c r="A558"/>
      <c r="B558"/>
      <c r="C558"/>
      <c r="D558"/>
      <c r="E558"/>
      <c r="F558"/>
      <c r="G558"/>
      <c r="H558"/>
    </row>
    <row r="559" spans="1:8" ht="14.5" x14ac:dyDescent="0.35">
      <c r="A559"/>
      <c r="B559"/>
      <c r="C559"/>
      <c r="D559"/>
      <c r="E559"/>
      <c r="F559"/>
      <c r="G559"/>
      <c r="H559"/>
    </row>
    <row r="560" spans="1:8" ht="14.5" x14ac:dyDescent="0.35">
      <c r="A560"/>
      <c r="B560"/>
      <c r="C560"/>
      <c r="D560"/>
      <c r="E560"/>
      <c r="F560"/>
      <c r="G560"/>
      <c r="H560"/>
    </row>
    <row r="561" spans="1:8" ht="14.5" x14ac:dyDescent="0.35">
      <c r="A561"/>
      <c r="B561"/>
      <c r="C561"/>
      <c r="D561"/>
      <c r="E561"/>
      <c r="F561"/>
      <c r="G561"/>
      <c r="H561"/>
    </row>
    <row r="562" spans="1:8" ht="14.5" x14ac:dyDescent="0.35">
      <c r="A562"/>
      <c r="B562"/>
      <c r="C562"/>
      <c r="D562"/>
      <c r="E562"/>
      <c r="F562"/>
      <c r="G562"/>
      <c r="H562"/>
    </row>
    <row r="563" spans="1:8" ht="14.5" x14ac:dyDescent="0.35">
      <c r="A563"/>
      <c r="B563"/>
      <c r="C563"/>
      <c r="D563"/>
      <c r="E563"/>
      <c r="F563"/>
      <c r="G563"/>
      <c r="H563"/>
    </row>
    <row r="564" spans="1:8" ht="14.5" x14ac:dyDescent="0.35">
      <c r="A564"/>
      <c r="B564"/>
      <c r="C564"/>
      <c r="D564"/>
      <c r="E564"/>
      <c r="F564"/>
      <c r="G564"/>
      <c r="H564"/>
    </row>
    <row r="565" spans="1:8" ht="14.5" x14ac:dyDescent="0.35">
      <c r="A565"/>
      <c r="B565"/>
      <c r="C565"/>
      <c r="D565"/>
      <c r="E565"/>
      <c r="F565"/>
      <c r="G565"/>
      <c r="H565"/>
    </row>
    <row r="566" spans="1:8" ht="14.5" x14ac:dyDescent="0.35">
      <c r="A566"/>
      <c r="B566"/>
      <c r="C566"/>
      <c r="D566"/>
      <c r="E566"/>
      <c r="F566"/>
      <c r="G566"/>
      <c r="H566"/>
    </row>
    <row r="567" spans="1:8" ht="14.5" x14ac:dyDescent="0.35">
      <c r="A567"/>
      <c r="B567"/>
      <c r="C567"/>
      <c r="D567"/>
      <c r="E567"/>
      <c r="F567"/>
      <c r="G567"/>
      <c r="H567"/>
    </row>
    <row r="568" spans="1:8" ht="14.5" x14ac:dyDescent="0.35">
      <c r="A568"/>
      <c r="B568"/>
      <c r="C568"/>
      <c r="D568"/>
      <c r="E568"/>
      <c r="F568"/>
      <c r="G568"/>
      <c r="H568"/>
    </row>
    <row r="569" spans="1:8" ht="14.5" x14ac:dyDescent="0.35">
      <c r="A569"/>
      <c r="B569"/>
      <c r="C569"/>
      <c r="D569"/>
      <c r="E569"/>
      <c r="F569"/>
      <c r="G569"/>
      <c r="H569"/>
    </row>
    <row r="570" spans="1:8" ht="14.5" x14ac:dyDescent="0.35">
      <c r="A570"/>
      <c r="B570"/>
      <c r="C570"/>
      <c r="D570"/>
      <c r="E570"/>
      <c r="F570"/>
      <c r="G570"/>
      <c r="H570"/>
    </row>
    <row r="571" spans="1:8" ht="14.5" x14ac:dyDescent="0.35">
      <c r="A571"/>
      <c r="B571"/>
      <c r="C571"/>
      <c r="D571"/>
      <c r="E571"/>
      <c r="F571"/>
      <c r="G571"/>
      <c r="H571"/>
    </row>
    <row r="572" spans="1:8" ht="14.5" x14ac:dyDescent="0.35">
      <c r="A572"/>
      <c r="B572"/>
      <c r="C572"/>
      <c r="D572"/>
      <c r="E572"/>
      <c r="F572"/>
      <c r="G572"/>
      <c r="H572"/>
    </row>
    <row r="573" spans="1:8" ht="14.5" x14ac:dyDescent="0.35">
      <c r="A573"/>
      <c r="B573"/>
      <c r="C573"/>
      <c r="D573"/>
      <c r="E573"/>
      <c r="F573"/>
      <c r="G573"/>
      <c r="H573"/>
    </row>
    <row r="574" spans="1:8" ht="14.5" x14ac:dyDescent="0.35">
      <c r="A574"/>
      <c r="B574"/>
      <c r="C574"/>
      <c r="D574"/>
      <c r="E574"/>
      <c r="F574"/>
      <c r="G574"/>
      <c r="H574"/>
    </row>
    <row r="575" spans="1:8" ht="14.5" x14ac:dyDescent="0.35">
      <c r="A575"/>
      <c r="B575"/>
      <c r="C575"/>
      <c r="D575"/>
      <c r="E575"/>
      <c r="F575"/>
      <c r="G575"/>
      <c r="H575"/>
    </row>
    <row r="576" spans="1:8" ht="14.5" x14ac:dyDescent="0.35">
      <c r="A576"/>
      <c r="B576"/>
      <c r="C576"/>
      <c r="D576"/>
      <c r="E576"/>
      <c r="F576"/>
      <c r="G576"/>
      <c r="H576"/>
    </row>
    <row r="577" spans="1:8" ht="14.5" x14ac:dyDescent="0.35">
      <c r="A577"/>
      <c r="B577"/>
      <c r="C577"/>
      <c r="D577"/>
      <c r="E577"/>
      <c r="F577"/>
      <c r="G577"/>
      <c r="H577"/>
    </row>
    <row r="578" spans="1:8" ht="14.5" x14ac:dyDescent="0.35">
      <c r="A578"/>
      <c r="B578"/>
      <c r="C578"/>
      <c r="D578"/>
      <c r="E578"/>
      <c r="F578"/>
      <c r="G578"/>
      <c r="H578"/>
    </row>
    <row r="579" spans="1:8" ht="14.5" x14ac:dyDescent="0.35">
      <c r="A579"/>
      <c r="B579"/>
      <c r="C579"/>
      <c r="D579"/>
      <c r="E579"/>
      <c r="F579"/>
      <c r="G579"/>
      <c r="H579"/>
    </row>
    <row r="580" spans="1:8" ht="14.5" x14ac:dyDescent="0.35">
      <c r="A580"/>
      <c r="B580"/>
      <c r="C580"/>
      <c r="D580"/>
      <c r="E580"/>
      <c r="F580"/>
      <c r="G580"/>
      <c r="H580"/>
    </row>
    <row r="581" spans="1:8" ht="14.5" x14ac:dyDescent="0.35">
      <c r="A581"/>
      <c r="B581"/>
      <c r="C581"/>
      <c r="D581"/>
      <c r="E581"/>
      <c r="F581"/>
      <c r="G581"/>
      <c r="H581"/>
    </row>
    <row r="582" spans="1:8" ht="14.5" x14ac:dyDescent="0.35">
      <c r="A582"/>
      <c r="B582"/>
      <c r="C582"/>
      <c r="D582"/>
      <c r="E582"/>
      <c r="F582"/>
      <c r="G582"/>
      <c r="H582"/>
    </row>
    <row r="583" spans="1:8" ht="14.5" x14ac:dyDescent="0.35">
      <c r="A583"/>
      <c r="B583"/>
      <c r="C583"/>
      <c r="D583"/>
      <c r="E583"/>
      <c r="F583"/>
      <c r="G583"/>
      <c r="H583"/>
    </row>
    <row r="584" spans="1:8" ht="14.5" x14ac:dyDescent="0.35">
      <c r="A584"/>
      <c r="B584"/>
      <c r="C584"/>
      <c r="D584"/>
      <c r="E584"/>
      <c r="F584"/>
      <c r="G584"/>
      <c r="H584"/>
    </row>
    <row r="585" spans="1:8" ht="14.5" x14ac:dyDescent="0.35">
      <c r="A585"/>
      <c r="B585"/>
      <c r="C585"/>
      <c r="D585"/>
      <c r="E585"/>
      <c r="F585"/>
      <c r="G585"/>
      <c r="H585"/>
    </row>
    <row r="586" spans="1:8" ht="14.5" x14ac:dyDescent="0.35">
      <c r="A586"/>
      <c r="B586"/>
      <c r="C586"/>
      <c r="D586"/>
      <c r="E586"/>
      <c r="F586"/>
      <c r="G586"/>
      <c r="H586"/>
    </row>
    <row r="587" spans="1:8" ht="14.5" x14ac:dyDescent="0.35">
      <c r="A587"/>
      <c r="B587"/>
      <c r="C587"/>
      <c r="D587"/>
      <c r="E587"/>
      <c r="F587"/>
      <c r="G587"/>
      <c r="H587"/>
    </row>
    <row r="588" spans="1:8" ht="14.5" x14ac:dyDescent="0.35">
      <c r="A588"/>
      <c r="B588"/>
      <c r="C588"/>
      <c r="D588"/>
      <c r="E588"/>
      <c r="F588"/>
      <c r="G588"/>
      <c r="H588"/>
    </row>
    <row r="589" spans="1:8" ht="14.5" x14ac:dyDescent="0.35">
      <c r="A589"/>
      <c r="B589"/>
      <c r="C589"/>
      <c r="D589"/>
      <c r="E589"/>
      <c r="F589"/>
      <c r="G589"/>
      <c r="H589"/>
    </row>
    <row r="590" spans="1:8" ht="14.5" x14ac:dyDescent="0.35">
      <c r="A590"/>
      <c r="B590"/>
      <c r="C590"/>
      <c r="D590"/>
      <c r="E590"/>
      <c r="F590"/>
      <c r="G590"/>
      <c r="H590"/>
    </row>
    <row r="591" spans="1:8" ht="14.5" x14ac:dyDescent="0.35">
      <c r="A591"/>
      <c r="B591"/>
      <c r="C591"/>
      <c r="D591"/>
      <c r="E591"/>
      <c r="F591"/>
      <c r="G591"/>
      <c r="H591"/>
    </row>
    <row r="592" spans="1:8" ht="14.5" x14ac:dyDescent="0.35">
      <c r="A592"/>
      <c r="B592"/>
      <c r="C592"/>
      <c r="D592"/>
      <c r="E592"/>
      <c r="F592"/>
      <c r="G592"/>
      <c r="H592"/>
    </row>
    <row r="593" spans="1:8" ht="14.5" x14ac:dyDescent="0.35">
      <c r="A593"/>
      <c r="B593"/>
      <c r="C593"/>
      <c r="D593"/>
      <c r="E593"/>
      <c r="F593"/>
      <c r="G593"/>
      <c r="H593"/>
    </row>
    <row r="594" spans="1:8" ht="14.5" x14ac:dyDescent="0.35">
      <c r="A594"/>
      <c r="B594"/>
      <c r="C594"/>
      <c r="D594"/>
      <c r="E594"/>
      <c r="F594"/>
      <c r="G594"/>
      <c r="H594"/>
    </row>
    <row r="595" spans="1:8" ht="14.5" x14ac:dyDescent="0.35">
      <c r="A595"/>
      <c r="B595"/>
      <c r="C595"/>
      <c r="D595"/>
      <c r="E595"/>
      <c r="F595"/>
      <c r="G595"/>
      <c r="H595"/>
    </row>
    <row r="596" spans="1:8" ht="14.5" x14ac:dyDescent="0.35">
      <c r="A596"/>
      <c r="B596"/>
      <c r="C596"/>
      <c r="D596"/>
      <c r="E596"/>
      <c r="F596"/>
      <c r="G596"/>
      <c r="H596"/>
    </row>
    <row r="597" spans="1:8" ht="14.5" x14ac:dyDescent="0.35">
      <c r="A597"/>
      <c r="B597"/>
      <c r="C597"/>
      <c r="D597"/>
      <c r="E597"/>
      <c r="F597"/>
      <c r="G597"/>
      <c r="H597"/>
    </row>
    <row r="598" spans="1:8" ht="14.5" x14ac:dyDescent="0.35">
      <c r="A598"/>
      <c r="B598"/>
      <c r="C598"/>
      <c r="D598"/>
      <c r="E598"/>
      <c r="F598"/>
      <c r="G598"/>
      <c r="H598"/>
    </row>
    <row r="599" spans="1:8" ht="14.5" x14ac:dyDescent="0.35">
      <c r="A599"/>
      <c r="B599"/>
      <c r="C599"/>
      <c r="D599"/>
      <c r="E599"/>
      <c r="F599"/>
      <c r="G599"/>
      <c r="H599"/>
    </row>
    <row r="600" spans="1:8" ht="14.5" x14ac:dyDescent="0.35">
      <c r="A600"/>
      <c r="B600"/>
      <c r="C600"/>
      <c r="D600"/>
      <c r="E600"/>
      <c r="F600"/>
      <c r="G600"/>
      <c r="H600"/>
    </row>
    <row r="601" spans="1:8" ht="14.5" x14ac:dyDescent="0.35">
      <c r="A601"/>
      <c r="B601"/>
      <c r="C601"/>
      <c r="D601"/>
      <c r="E601"/>
      <c r="F601"/>
      <c r="G601"/>
      <c r="H601"/>
    </row>
    <row r="602" spans="1:8" ht="14.5" x14ac:dyDescent="0.35">
      <c r="A602"/>
      <c r="B602"/>
      <c r="C602"/>
      <c r="D602"/>
      <c r="E602"/>
      <c r="F602"/>
      <c r="G602"/>
      <c r="H602"/>
    </row>
    <row r="603" spans="1:8" ht="14.5" x14ac:dyDescent="0.35">
      <c r="A603"/>
      <c r="B603"/>
      <c r="C603"/>
      <c r="D603"/>
      <c r="E603"/>
      <c r="F603"/>
      <c r="G603"/>
      <c r="H603"/>
    </row>
    <row r="604" spans="1:8" ht="14.5" x14ac:dyDescent="0.35">
      <c r="A604"/>
      <c r="B604"/>
      <c r="C604"/>
      <c r="D604"/>
      <c r="E604"/>
      <c r="F604"/>
      <c r="G604"/>
      <c r="H604"/>
    </row>
    <row r="605" spans="1:8" ht="14.5" x14ac:dyDescent="0.35">
      <c r="A605"/>
      <c r="B605"/>
      <c r="C605"/>
      <c r="D605"/>
      <c r="E605"/>
      <c r="F605"/>
      <c r="G605"/>
      <c r="H605"/>
    </row>
    <row r="606" spans="1:8" ht="14.5" x14ac:dyDescent="0.35">
      <c r="A606"/>
      <c r="B606"/>
      <c r="C606"/>
      <c r="D606"/>
      <c r="E606"/>
      <c r="F606"/>
      <c r="G606"/>
      <c r="H606"/>
    </row>
    <row r="607" spans="1:8" ht="14.5" x14ac:dyDescent="0.35">
      <c r="A607"/>
      <c r="B607"/>
      <c r="C607"/>
      <c r="D607"/>
      <c r="E607"/>
      <c r="F607"/>
      <c r="G607"/>
      <c r="H607"/>
    </row>
    <row r="608" spans="1:8" ht="14.5" x14ac:dyDescent="0.35">
      <c r="A608"/>
      <c r="B608"/>
      <c r="C608"/>
      <c r="D608"/>
      <c r="E608"/>
      <c r="F608"/>
      <c r="G608"/>
      <c r="H608"/>
    </row>
    <row r="609" spans="1:8" ht="14.5" x14ac:dyDescent="0.35">
      <c r="A609"/>
      <c r="B609"/>
      <c r="C609"/>
      <c r="D609"/>
      <c r="E609"/>
      <c r="F609"/>
      <c r="G609"/>
      <c r="H609"/>
    </row>
    <row r="610" spans="1:8" ht="14.5" x14ac:dyDescent="0.35">
      <c r="A610"/>
      <c r="B610"/>
      <c r="C610"/>
      <c r="D610"/>
      <c r="E610"/>
      <c r="F610"/>
      <c r="G610"/>
      <c r="H610"/>
    </row>
    <row r="611" spans="1:8" ht="14.5" x14ac:dyDescent="0.35">
      <c r="A611"/>
      <c r="B611"/>
      <c r="C611"/>
      <c r="D611"/>
      <c r="E611"/>
      <c r="F611"/>
      <c r="G611"/>
      <c r="H611"/>
    </row>
    <row r="612" spans="1:8" ht="14.5" x14ac:dyDescent="0.35">
      <c r="A612"/>
      <c r="B612"/>
      <c r="C612"/>
      <c r="D612"/>
      <c r="E612"/>
      <c r="F612"/>
      <c r="G612"/>
      <c r="H612"/>
    </row>
    <row r="613" spans="1:8" ht="14.5" x14ac:dyDescent="0.35">
      <c r="A613"/>
      <c r="B613"/>
      <c r="C613"/>
      <c r="D613"/>
      <c r="E613"/>
      <c r="F613"/>
      <c r="G613"/>
      <c r="H613"/>
    </row>
    <row r="614" spans="1:8" ht="14.5" x14ac:dyDescent="0.35">
      <c r="A614"/>
      <c r="B614"/>
      <c r="C614"/>
      <c r="D614"/>
      <c r="E614"/>
      <c r="F614"/>
      <c r="G614"/>
      <c r="H614"/>
    </row>
    <row r="615" spans="1:8" ht="14.5" x14ac:dyDescent="0.35">
      <c r="A615"/>
      <c r="B615"/>
      <c r="C615"/>
      <c r="D615"/>
      <c r="E615"/>
      <c r="F615"/>
      <c r="G615"/>
      <c r="H615"/>
    </row>
    <row r="616" spans="1:8" ht="14.5" x14ac:dyDescent="0.35">
      <c r="A616"/>
      <c r="B616"/>
      <c r="C616"/>
      <c r="D616"/>
      <c r="E616"/>
      <c r="F616"/>
      <c r="G616"/>
      <c r="H616"/>
    </row>
    <row r="617" spans="1:8" ht="14.5" x14ac:dyDescent="0.35">
      <c r="A617"/>
      <c r="B617"/>
      <c r="C617"/>
      <c r="D617"/>
      <c r="E617"/>
      <c r="F617"/>
      <c r="G617"/>
      <c r="H617"/>
    </row>
    <row r="618" spans="1:8" ht="14.5" x14ac:dyDescent="0.35">
      <c r="A618"/>
      <c r="B618"/>
      <c r="C618"/>
      <c r="D618"/>
      <c r="E618"/>
      <c r="F618"/>
      <c r="G618"/>
      <c r="H618"/>
    </row>
    <row r="619" spans="1:8" ht="14.5" x14ac:dyDescent="0.35">
      <c r="A619"/>
      <c r="B619"/>
      <c r="C619"/>
      <c r="D619"/>
      <c r="E619"/>
      <c r="F619"/>
      <c r="G619"/>
      <c r="H619"/>
    </row>
    <row r="620" spans="1:8" ht="14.5" x14ac:dyDescent="0.35">
      <c r="A620"/>
      <c r="B620"/>
      <c r="C620"/>
      <c r="D620"/>
      <c r="E620"/>
      <c r="F620"/>
      <c r="G620"/>
      <c r="H620"/>
    </row>
    <row r="621" spans="1:8" ht="14.5" x14ac:dyDescent="0.35">
      <c r="A621"/>
      <c r="B621"/>
      <c r="C621"/>
      <c r="D621"/>
      <c r="E621"/>
      <c r="F621"/>
      <c r="G621"/>
      <c r="H621"/>
    </row>
    <row r="622" spans="1:8" ht="14.5" x14ac:dyDescent="0.35">
      <c r="A622"/>
      <c r="B622"/>
      <c r="C622"/>
      <c r="D622"/>
      <c r="E622"/>
      <c r="F622"/>
      <c r="G622"/>
      <c r="H622"/>
    </row>
    <row r="623" spans="1:8" ht="14.5" x14ac:dyDescent="0.35">
      <c r="A623"/>
      <c r="B623"/>
      <c r="C623"/>
      <c r="D623"/>
      <c r="E623"/>
      <c r="F623"/>
      <c r="G623"/>
      <c r="H623"/>
    </row>
    <row r="624" spans="1:8" ht="14.5" x14ac:dyDescent="0.35">
      <c r="A624"/>
      <c r="B624"/>
      <c r="C624"/>
      <c r="D624"/>
      <c r="E624"/>
      <c r="F624"/>
      <c r="G624"/>
      <c r="H624"/>
    </row>
    <row r="625" spans="1:8" ht="14.5" x14ac:dyDescent="0.35">
      <c r="A625"/>
      <c r="B625"/>
      <c r="C625"/>
      <c r="D625"/>
      <c r="E625"/>
      <c r="F625"/>
      <c r="G625"/>
      <c r="H625"/>
    </row>
    <row r="626" spans="1:8" ht="14.5" x14ac:dyDescent="0.35">
      <c r="A626"/>
      <c r="B626"/>
      <c r="C626"/>
      <c r="D626"/>
      <c r="E626"/>
      <c r="F626"/>
      <c r="G626"/>
      <c r="H626"/>
    </row>
    <row r="627" spans="1:8" ht="14.5" x14ac:dyDescent="0.35">
      <c r="A627"/>
      <c r="B627"/>
      <c r="C627"/>
      <c r="D627"/>
      <c r="E627"/>
      <c r="F627"/>
      <c r="G627"/>
      <c r="H627"/>
    </row>
    <row r="628" spans="1:8" ht="14.5" x14ac:dyDescent="0.35">
      <c r="A628"/>
      <c r="B628"/>
      <c r="C628"/>
      <c r="D628"/>
      <c r="E628"/>
      <c r="F628"/>
      <c r="G628"/>
      <c r="H628"/>
    </row>
    <row r="629" spans="1:8" ht="14.5" x14ac:dyDescent="0.35">
      <c r="A629"/>
      <c r="B629"/>
      <c r="C629"/>
      <c r="D629"/>
      <c r="E629"/>
      <c r="F629"/>
      <c r="G629"/>
      <c r="H629"/>
    </row>
    <row r="630" spans="1:8" ht="14.5" x14ac:dyDescent="0.35">
      <c r="A630"/>
      <c r="B630"/>
      <c r="C630"/>
      <c r="D630"/>
      <c r="E630"/>
      <c r="F630"/>
      <c r="G630"/>
      <c r="H630"/>
    </row>
    <row r="631" spans="1:8" ht="14.5" x14ac:dyDescent="0.35">
      <c r="A631"/>
      <c r="B631"/>
      <c r="C631"/>
      <c r="D631"/>
      <c r="E631"/>
      <c r="F631"/>
      <c r="G631"/>
      <c r="H631"/>
    </row>
    <row r="632" spans="1:8" ht="14.5" x14ac:dyDescent="0.35">
      <c r="A632"/>
      <c r="B632"/>
      <c r="C632"/>
      <c r="D632"/>
      <c r="E632"/>
      <c r="F632"/>
      <c r="G632"/>
      <c r="H632"/>
    </row>
    <row r="633" spans="1:8" ht="14.5" x14ac:dyDescent="0.35">
      <c r="A633"/>
      <c r="B633"/>
      <c r="C633"/>
      <c r="D633"/>
      <c r="E633"/>
      <c r="F633"/>
      <c r="G633"/>
      <c r="H633"/>
    </row>
    <row r="634" spans="1:8" ht="14.5" x14ac:dyDescent="0.35">
      <c r="A634"/>
      <c r="B634"/>
      <c r="C634"/>
      <c r="D634"/>
      <c r="E634"/>
      <c r="F634"/>
      <c r="G634"/>
      <c r="H634"/>
    </row>
    <row r="635" spans="1:8" ht="14.5" x14ac:dyDescent="0.35">
      <c r="A635"/>
      <c r="B635"/>
      <c r="C635"/>
      <c r="D635"/>
      <c r="E635"/>
      <c r="F635"/>
      <c r="G635"/>
      <c r="H635"/>
    </row>
    <row r="636" spans="1:8" ht="14.5" x14ac:dyDescent="0.35">
      <c r="A636"/>
      <c r="B636"/>
      <c r="C636"/>
      <c r="D636"/>
      <c r="E636"/>
      <c r="F636"/>
      <c r="G636"/>
      <c r="H636"/>
    </row>
    <row r="637" spans="1:8" ht="14.5" x14ac:dyDescent="0.35">
      <c r="A637"/>
      <c r="B637"/>
      <c r="C637"/>
      <c r="D637"/>
      <c r="E637"/>
      <c r="F637"/>
      <c r="G637"/>
      <c r="H637"/>
    </row>
    <row r="638" spans="1:8" ht="14.5" x14ac:dyDescent="0.35">
      <c r="A638"/>
      <c r="B638"/>
      <c r="C638"/>
      <c r="D638"/>
      <c r="E638"/>
      <c r="F638"/>
      <c r="G638"/>
      <c r="H638"/>
    </row>
    <row r="639" spans="1:8" ht="14.5" x14ac:dyDescent="0.35">
      <c r="A639"/>
      <c r="B639"/>
      <c r="C639"/>
      <c r="D639"/>
      <c r="E639"/>
      <c r="F639"/>
      <c r="G639"/>
      <c r="H639"/>
    </row>
    <row r="640" spans="1:8" ht="14.5" x14ac:dyDescent="0.35">
      <c r="A640"/>
      <c r="B640"/>
      <c r="C640"/>
      <c r="D640"/>
      <c r="E640"/>
      <c r="F640"/>
      <c r="G640"/>
      <c r="H640"/>
    </row>
    <row r="641" spans="1:8" ht="14.5" x14ac:dyDescent="0.35">
      <c r="A641"/>
      <c r="B641"/>
      <c r="C641"/>
      <c r="D641"/>
      <c r="E641"/>
      <c r="F641"/>
      <c r="G641"/>
      <c r="H641"/>
    </row>
    <row r="642" spans="1:8" ht="14.5" x14ac:dyDescent="0.35">
      <c r="A642"/>
      <c r="B642"/>
      <c r="C642"/>
      <c r="D642"/>
      <c r="E642"/>
      <c r="F642"/>
      <c r="G642"/>
      <c r="H642"/>
    </row>
    <row r="643" spans="1:8" ht="14.5" x14ac:dyDescent="0.35">
      <c r="A643"/>
      <c r="B643"/>
      <c r="C643"/>
      <c r="D643"/>
      <c r="E643"/>
      <c r="F643"/>
      <c r="G643"/>
      <c r="H643"/>
    </row>
    <row r="644" spans="1:8" ht="14.5" x14ac:dyDescent="0.35">
      <c r="A644"/>
      <c r="B644"/>
      <c r="C644"/>
      <c r="D644"/>
      <c r="E644"/>
      <c r="F644"/>
      <c r="G644"/>
      <c r="H644"/>
    </row>
    <row r="645" spans="1:8" ht="14.5" x14ac:dyDescent="0.35">
      <c r="A645"/>
      <c r="B645"/>
      <c r="C645"/>
      <c r="D645"/>
      <c r="E645"/>
      <c r="F645"/>
      <c r="G645"/>
      <c r="H645"/>
    </row>
    <row r="646" spans="1:8" ht="14.5" x14ac:dyDescent="0.35">
      <c r="A646"/>
      <c r="B646"/>
      <c r="C646"/>
      <c r="D646"/>
      <c r="E646"/>
      <c r="F646"/>
      <c r="G646"/>
      <c r="H646"/>
    </row>
    <row r="647" spans="1:8" ht="14.5" x14ac:dyDescent="0.35">
      <c r="A647"/>
      <c r="B647"/>
      <c r="C647"/>
      <c r="D647"/>
      <c r="E647"/>
      <c r="F647"/>
      <c r="G647"/>
      <c r="H647"/>
    </row>
    <row r="648" spans="1:8" ht="14.5" x14ac:dyDescent="0.35">
      <c r="A648"/>
      <c r="B648"/>
      <c r="C648"/>
      <c r="D648"/>
      <c r="E648"/>
      <c r="F648"/>
      <c r="G648"/>
      <c r="H648"/>
    </row>
    <row r="649" spans="1:8" ht="14.5" x14ac:dyDescent="0.35">
      <c r="A649"/>
      <c r="B649"/>
      <c r="C649"/>
      <c r="D649"/>
      <c r="E649"/>
      <c r="F649"/>
      <c r="G649"/>
      <c r="H649"/>
    </row>
    <row r="650" spans="1:8" ht="14.5" x14ac:dyDescent="0.35">
      <c r="A650"/>
      <c r="B650"/>
      <c r="C650"/>
      <c r="D650"/>
      <c r="E650"/>
      <c r="F650"/>
      <c r="G650"/>
      <c r="H650"/>
    </row>
    <row r="651" spans="1:8" ht="14.5" x14ac:dyDescent="0.35">
      <c r="A651"/>
      <c r="B651"/>
      <c r="C651"/>
      <c r="D651"/>
      <c r="E651"/>
      <c r="F651"/>
      <c r="G651"/>
      <c r="H651"/>
    </row>
    <row r="652" spans="1:8" ht="14.5" x14ac:dyDescent="0.35">
      <c r="A652"/>
      <c r="B652"/>
      <c r="C652"/>
      <c r="D652"/>
      <c r="E652"/>
      <c r="F652"/>
      <c r="G652"/>
      <c r="H652"/>
    </row>
    <row r="653" spans="1:8" ht="14.5" x14ac:dyDescent="0.35">
      <c r="A653"/>
      <c r="B653"/>
      <c r="C653"/>
      <c r="D653"/>
      <c r="E653"/>
      <c r="F653"/>
      <c r="G653"/>
      <c r="H653"/>
    </row>
    <row r="654" spans="1:8" ht="14.5" x14ac:dyDescent="0.35">
      <c r="A654"/>
      <c r="B654"/>
      <c r="C654"/>
      <c r="D654"/>
      <c r="E654"/>
      <c r="F654"/>
      <c r="G654"/>
      <c r="H654"/>
    </row>
    <row r="655" spans="1:8" ht="14.5" x14ac:dyDescent="0.35">
      <c r="A655"/>
      <c r="B655"/>
      <c r="C655"/>
      <c r="D655"/>
      <c r="E655"/>
      <c r="F655"/>
      <c r="G655"/>
      <c r="H655"/>
    </row>
    <row r="656" spans="1:8" ht="14.5" x14ac:dyDescent="0.35">
      <c r="A656"/>
      <c r="B656"/>
      <c r="C656"/>
      <c r="D656"/>
      <c r="E656"/>
      <c r="F656"/>
      <c r="G656"/>
      <c r="H656"/>
    </row>
    <row r="657" spans="1:8" ht="14.5" x14ac:dyDescent="0.35">
      <c r="A657"/>
      <c r="B657"/>
      <c r="C657"/>
      <c r="D657"/>
      <c r="E657"/>
      <c r="F657"/>
      <c r="G657"/>
      <c r="H657"/>
    </row>
    <row r="658" spans="1:8" ht="14.5" x14ac:dyDescent="0.35">
      <c r="A658"/>
      <c r="B658"/>
      <c r="C658"/>
      <c r="D658"/>
      <c r="E658"/>
      <c r="F658"/>
      <c r="G658"/>
      <c r="H658"/>
    </row>
    <row r="659" spans="1:8" ht="14.5" x14ac:dyDescent="0.35">
      <c r="A659"/>
      <c r="B659"/>
      <c r="C659"/>
      <c r="D659"/>
      <c r="E659"/>
      <c r="F659"/>
      <c r="G659"/>
      <c r="H659"/>
    </row>
    <row r="660" spans="1:8" ht="14.5" x14ac:dyDescent="0.35">
      <c r="A660"/>
      <c r="B660"/>
      <c r="C660"/>
      <c r="D660"/>
      <c r="E660"/>
      <c r="F660"/>
      <c r="G660"/>
      <c r="H660"/>
    </row>
    <row r="661" spans="1:8" ht="14.5" x14ac:dyDescent="0.35">
      <c r="A661"/>
      <c r="B661"/>
      <c r="C661"/>
      <c r="D661"/>
      <c r="E661"/>
      <c r="F661"/>
      <c r="G661"/>
      <c r="H661"/>
    </row>
    <row r="662" spans="1:8" ht="14.5" x14ac:dyDescent="0.35">
      <c r="A662"/>
      <c r="B662"/>
      <c r="C662"/>
      <c r="D662"/>
      <c r="E662"/>
      <c r="F662"/>
      <c r="G662"/>
      <c r="H662"/>
    </row>
    <row r="663" spans="1:8" ht="14.5" x14ac:dyDescent="0.35">
      <c r="A663"/>
      <c r="B663"/>
      <c r="C663"/>
      <c r="D663"/>
      <c r="E663"/>
      <c r="F663"/>
      <c r="G663"/>
      <c r="H663"/>
    </row>
    <row r="664" spans="1:8" ht="14.5" x14ac:dyDescent="0.35">
      <c r="A664"/>
      <c r="B664"/>
      <c r="C664"/>
      <c r="D664"/>
      <c r="E664"/>
      <c r="F664"/>
      <c r="G664"/>
      <c r="H664"/>
    </row>
    <row r="665" spans="1:8" ht="14.5" x14ac:dyDescent="0.35">
      <c r="A665"/>
      <c r="B665"/>
      <c r="C665"/>
      <c r="D665"/>
      <c r="E665"/>
      <c r="F665"/>
      <c r="G665"/>
      <c r="H665"/>
    </row>
    <row r="666" spans="1:8" ht="14.5" x14ac:dyDescent="0.35">
      <c r="A666"/>
      <c r="B666"/>
      <c r="C666"/>
      <c r="D666"/>
      <c r="E666"/>
      <c r="F666"/>
      <c r="G666"/>
      <c r="H666"/>
    </row>
    <row r="667" spans="1:8" ht="14.5" x14ac:dyDescent="0.35">
      <c r="A667"/>
      <c r="B667"/>
      <c r="C667"/>
      <c r="D667"/>
      <c r="E667"/>
      <c r="F667"/>
      <c r="G667"/>
      <c r="H667"/>
    </row>
    <row r="668" spans="1:8" ht="14.5" x14ac:dyDescent="0.35">
      <c r="A668"/>
      <c r="B668"/>
      <c r="C668"/>
      <c r="D668"/>
      <c r="E668"/>
      <c r="F668"/>
      <c r="G668"/>
      <c r="H668"/>
    </row>
    <row r="669" spans="1:8" ht="14.5" x14ac:dyDescent="0.35">
      <c r="A669"/>
      <c r="B669"/>
      <c r="C669"/>
      <c r="D669"/>
      <c r="E669"/>
      <c r="F669"/>
      <c r="G669"/>
      <c r="H669"/>
    </row>
    <row r="670" spans="1:8" ht="14.5" x14ac:dyDescent="0.35">
      <c r="A670"/>
      <c r="B670"/>
      <c r="C670"/>
      <c r="D670"/>
      <c r="E670"/>
      <c r="F670"/>
      <c r="G670"/>
      <c r="H670"/>
    </row>
    <row r="671" spans="1:8" ht="14.5" x14ac:dyDescent="0.35">
      <c r="A671"/>
      <c r="B671"/>
      <c r="C671"/>
      <c r="D671"/>
      <c r="E671"/>
      <c r="F671"/>
      <c r="G671"/>
      <c r="H671"/>
    </row>
    <row r="672" spans="1:8" ht="14.5" x14ac:dyDescent="0.35">
      <c r="A672"/>
      <c r="B672"/>
      <c r="C672"/>
      <c r="D672"/>
      <c r="E672"/>
      <c r="F672"/>
      <c r="G672"/>
      <c r="H672"/>
    </row>
    <row r="673" spans="1:8" ht="14.5" x14ac:dyDescent="0.35">
      <c r="A673"/>
      <c r="B673"/>
      <c r="C673"/>
      <c r="D673"/>
      <c r="E673"/>
      <c r="F673"/>
      <c r="G673"/>
      <c r="H673"/>
    </row>
    <row r="674" spans="1:8" ht="14.5" x14ac:dyDescent="0.35">
      <c r="A674"/>
      <c r="B674"/>
      <c r="C674"/>
      <c r="D674"/>
      <c r="E674"/>
      <c r="F674"/>
      <c r="G674"/>
      <c r="H674"/>
    </row>
    <row r="675" spans="1:8" ht="14.5" x14ac:dyDescent="0.35">
      <c r="A675"/>
      <c r="B675"/>
      <c r="C675"/>
      <c r="D675"/>
      <c r="E675"/>
      <c r="F675"/>
      <c r="G675"/>
      <c r="H675"/>
    </row>
    <row r="676" spans="1:8" ht="14.5" x14ac:dyDescent="0.35">
      <c r="A676"/>
      <c r="B676"/>
      <c r="C676"/>
      <c r="D676"/>
      <c r="E676"/>
      <c r="F676"/>
      <c r="G676"/>
      <c r="H676"/>
    </row>
    <row r="677" spans="1:8" ht="14.5" x14ac:dyDescent="0.35">
      <c r="A677"/>
      <c r="B677"/>
      <c r="C677"/>
      <c r="D677"/>
      <c r="E677"/>
      <c r="F677"/>
      <c r="G677"/>
      <c r="H677"/>
    </row>
    <row r="678" spans="1:8" ht="14.5" x14ac:dyDescent="0.35">
      <c r="A678"/>
      <c r="B678"/>
      <c r="C678"/>
      <c r="D678"/>
      <c r="E678"/>
      <c r="F678"/>
      <c r="G678"/>
      <c r="H678"/>
    </row>
    <row r="679" spans="1:8" ht="14.5" x14ac:dyDescent="0.35">
      <c r="A679"/>
      <c r="B679"/>
      <c r="C679"/>
      <c r="D679"/>
      <c r="E679"/>
      <c r="F679"/>
      <c r="G679"/>
      <c r="H679"/>
    </row>
    <row r="680" spans="1:8" ht="14.5" x14ac:dyDescent="0.35">
      <c r="A680"/>
      <c r="B680"/>
      <c r="C680"/>
      <c r="D680"/>
      <c r="E680"/>
      <c r="F680"/>
      <c r="G680"/>
      <c r="H680"/>
    </row>
    <row r="681" spans="1:8" ht="14.5" x14ac:dyDescent="0.35">
      <c r="A681"/>
      <c r="B681"/>
      <c r="C681"/>
      <c r="D681"/>
      <c r="E681"/>
      <c r="F681"/>
      <c r="G681"/>
      <c r="H681"/>
    </row>
    <row r="682" spans="1:8" ht="14.5" x14ac:dyDescent="0.35">
      <c r="A682"/>
      <c r="B682"/>
      <c r="C682"/>
      <c r="D682"/>
      <c r="E682"/>
      <c r="F682"/>
      <c r="G682"/>
      <c r="H682"/>
    </row>
    <row r="683" spans="1:8" ht="14.5" x14ac:dyDescent="0.35">
      <c r="A683"/>
      <c r="B683"/>
      <c r="C683"/>
      <c r="D683"/>
      <c r="E683"/>
      <c r="F683"/>
      <c r="G683"/>
      <c r="H683"/>
    </row>
    <row r="684" spans="1:8" ht="14.5" x14ac:dyDescent="0.35">
      <c r="A684"/>
      <c r="B684"/>
      <c r="C684"/>
      <c r="D684"/>
      <c r="E684"/>
      <c r="F684"/>
      <c r="G684"/>
      <c r="H684"/>
    </row>
    <row r="685" spans="1:8" ht="14.5" x14ac:dyDescent="0.35">
      <c r="A685"/>
      <c r="B685"/>
      <c r="C685"/>
      <c r="D685"/>
      <c r="E685"/>
      <c r="F685"/>
      <c r="G685"/>
      <c r="H685"/>
    </row>
    <row r="686" spans="1:8" ht="14.5" x14ac:dyDescent="0.35">
      <c r="A686"/>
      <c r="B686"/>
      <c r="C686"/>
      <c r="D686"/>
      <c r="E686"/>
      <c r="F686"/>
      <c r="G686"/>
      <c r="H686"/>
    </row>
    <row r="687" spans="1:8" ht="14.5" x14ac:dyDescent="0.35">
      <c r="A687"/>
      <c r="B687"/>
      <c r="C687"/>
      <c r="D687"/>
      <c r="E687"/>
      <c r="F687"/>
      <c r="G687"/>
      <c r="H687"/>
    </row>
    <row r="688" spans="1:8" ht="14.5" x14ac:dyDescent="0.35">
      <c r="A688"/>
      <c r="B688"/>
      <c r="C688"/>
      <c r="D688"/>
      <c r="E688"/>
      <c r="F688"/>
      <c r="G688"/>
      <c r="H688"/>
    </row>
    <row r="689" spans="1:8" ht="14.5" x14ac:dyDescent="0.35">
      <c r="A689"/>
      <c r="B689"/>
      <c r="C689"/>
      <c r="D689"/>
      <c r="E689"/>
      <c r="F689"/>
      <c r="G689"/>
      <c r="H689"/>
    </row>
    <row r="690" spans="1:8" ht="14.5" x14ac:dyDescent="0.35">
      <c r="A690"/>
      <c r="B690"/>
      <c r="C690"/>
      <c r="D690"/>
      <c r="E690"/>
      <c r="F690"/>
      <c r="G690"/>
      <c r="H690"/>
    </row>
    <row r="691" spans="1:8" ht="14.5" x14ac:dyDescent="0.35">
      <c r="A691"/>
      <c r="B691"/>
      <c r="C691"/>
      <c r="D691"/>
      <c r="E691"/>
      <c r="F691"/>
      <c r="G691"/>
      <c r="H691"/>
    </row>
    <row r="692" spans="1:8" ht="14.5" x14ac:dyDescent="0.35">
      <c r="A692"/>
      <c r="B692"/>
      <c r="C692"/>
      <c r="D692"/>
      <c r="E692"/>
      <c r="F692"/>
      <c r="G692"/>
      <c r="H692"/>
    </row>
    <row r="693" spans="1:8" ht="14.5" x14ac:dyDescent="0.35">
      <c r="A693"/>
      <c r="B693"/>
      <c r="C693"/>
      <c r="D693"/>
      <c r="E693"/>
      <c r="F693"/>
      <c r="G693"/>
      <c r="H693"/>
    </row>
    <row r="694" spans="1:8" ht="14.5" x14ac:dyDescent="0.35">
      <c r="A694"/>
      <c r="B694"/>
      <c r="C694"/>
      <c r="D694"/>
      <c r="E694"/>
      <c r="F694"/>
      <c r="G694"/>
      <c r="H694"/>
    </row>
    <row r="695" spans="1:8" ht="14.5" x14ac:dyDescent="0.35">
      <c r="A695"/>
      <c r="B695"/>
      <c r="C695"/>
      <c r="D695"/>
      <c r="E695"/>
      <c r="F695"/>
      <c r="G695"/>
      <c r="H695"/>
    </row>
    <row r="696" spans="1:8" ht="14.5" x14ac:dyDescent="0.35">
      <c r="A696"/>
      <c r="B696"/>
      <c r="C696"/>
      <c r="D696"/>
      <c r="E696"/>
      <c r="F696"/>
      <c r="G696"/>
      <c r="H696"/>
    </row>
    <row r="697" spans="1:8" ht="14.5" x14ac:dyDescent="0.35">
      <c r="A697"/>
      <c r="B697"/>
      <c r="C697"/>
      <c r="D697"/>
      <c r="E697"/>
      <c r="F697"/>
      <c r="G697"/>
      <c r="H697"/>
    </row>
    <row r="698" spans="1:8" ht="14.5" x14ac:dyDescent="0.35">
      <c r="A698"/>
      <c r="B698"/>
      <c r="C698"/>
      <c r="D698"/>
      <c r="E698"/>
      <c r="F698"/>
      <c r="G698"/>
      <c r="H698"/>
    </row>
    <row r="699" spans="1:8" ht="14.5" x14ac:dyDescent="0.35">
      <c r="A699"/>
      <c r="B699"/>
      <c r="C699"/>
      <c r="D699"/>
      <c r="E699"/>
      <c r="F699"/>
      <c r="G699"/>
      <c r="H699"/>
    </row>
    <row r="700" spans="1:8" ht="14.5" x14ac:dyDescent="0.35">
      <c r="A700"/>
      <c r="B700"/>
      <c r="C700"/>
      <c r="D700"/>
      <c r="E700"/>
      <c r="F700"/>
      <c r="G700"/>
      <c r="H700"/>
    </row>
    <row r="701" spans="1:8" ht="14.5" x14ac:dyDescent="0.35">
      <c r="A701"/>
      <c r="B701"/>
      <c r="C701"/>
      <c r="D701"/>
      <c r="E701"/>
      <c r="F701"/>
      <c r="G701"/>
      <c r="H701"/>
    </row>
    <row r="702" spans="1:8" ht="14.5" x14ac:dyDescent="0.35">
      <c r="A702"/>
      <c r="B702"/>
      <c r="C702"/>
      <c r="D702"/>
      <c r="E702"/>
      <c r="F702"/>
      <c r="G702"/>
      <c r="H702"/>
    </row>
    <row r="703" spans="1:8" ht="14.5" x14ac:dyDescent="0.35">
      <c r="A703"/>
      <c r="B703"/>
      <c r="C703"/>
      <c r="D703"/>
      <c r="E703"/>
      <c r="F703"/>
      <c r="G703"/>
      <c r="H703"/>
    </row>
    <row r="704" spans="1:8" ht="14.5" x14ac:dyDescent="0.35">
      <c r="A704"/>
      <c r="B704"/>
      <c r="C704"/>
      <c r="D704"/>
      <c r="E704"/>
      <c r="F704"/>
      <c r="G704"/>
      <c r="H704"/>
    </row>
    <row r="705" spans="1:8" ht="14.5" x14ac:dyDescent="0.35">
      <c r="A705"/>
      <c r="B705"/>
      <c r="C705"/>
      <c r="D705"/>
      <c r="E705"/>
      <c r="F705"/>
      <c r="G705"/>
      <c r="H705"/>
    </row>
    <row r="706" spans="1:8" ht="14.5" x14ac:dyDescent="0.35">
      <c r="A706"/>
      <c r="B706"/>
      <c r="C706"/>
      <c r="D706"/>
      <c r="E706"/>
      <c r="F706"/>
      <c r="G706"/>
      <c r="H706"/>
    </row>
    <row r="707" spans="1:8" ht="14.5" x14ac:dyDescent="0.35">
      <c r="A707"/>
      <c r="B707"/>
      <c r="C707"/>
      <c r="D707"/>
      <c r="E707"/>
      <c r="F707"/>
      <c r="G707"/>
      <c r="H707"/>
    </row>
    <row r="708" spans="1:8" ht="14.5" x14ac:dyDescent="0.35">
      <c r="A708"/>
      <c r="B708"/>
      <c r="C708"/>
      <c r="D708"/>
      <c r="E708"/>
      <c r="F708"/>
      <c r="G708"/>
      <c r="H708"/>
    </row>
    <row r="709" spans="1:8" ht="14.5" x14ac:dyDescent="0.35">
      <c r="A709"/>
      <c r="B709"/>
      <c r="C709"/>
      <c r="D709"/>
      <c r="E709"/>
      <c r="F709"/>
      <c r="G709"/>
      <c r="H709"/>
    </row>
    <row r="710" spans="1:8" ht="14.5" x14ac:dyDescent="0.35">
      <c r="A710"/>
      <c r="B710"/>
      <c r="C710"/>
      <c r="D710"/>
      <c r="E710"/>
      <c r="F710"/>
      <c r="G710"/>
      <c r="H710"/>
    </row>
    <row r="711" spans="1:8" ht="14.5" x14ac:dyDescent="0.35">
      <c r="A711"/>
      <c r="B711"/>
      <c r="C711"/>
      <c r="D711"/>
      <c r="E711"/>
      <c r="F711"/>
      <c r="G711"/>
      <c r="H711"/>
    </row>
    <row r="712" spans="1:8" ht="14.5" x14ac:dyDescent="0.35">
      <c r="A712"/>
      <c r="B712"/>
      <c r="C712"/>
      <c r="D712"/>
      <c r="E712"/>
      <c r="F712"/>
      <c r="G712"/>
      <c r="H712"/>
    </row>
    <row r="713" spans="1:8" ht="14.5" x14ac:dyDescent="0.35">
      <c r="A713"/>
      <c r="B713"/>
      <c r="C713"/>
      <c r="D713"/>
      <c r="E713"/>
      <c r="F713"/>
      <c r="G713"/>
      <c r="H713"/>
    </row>
    <row r="714" spans="1:8" ht="14.5" x14ac:dyDescent="0.35">
      <c r="A714"/>
      <c r="B714"/>
      <c r="C714"/>
      <c r="D714"/>
      <c r="E714"/>
      <c r="F714"/>
      <c r="G714"/>
      <c r="H714"/>
    </row>
    <row r="715" spans="1:8" ht="14.5" x14ac:dyDescent="0.35">
      <c r="A715"/>
      <c r="B715"/>
      <c r="C715"/>
      <c r="D715"/>
      <c r="E715"/>
      <c r="F715"/>
      <c r="G715"/>
      <c r="H715"/>
    </row>
    <row r="716" spans="1:8" ht="14.5" x14ac:dyDescent="0.35">
      <c r="A716"/>
      <c r="B716"/>
      <c r="C716"/>
      <c r="D716"/>
      <c r="E716"/>
      <c r="F716"/>
      <c r="G716"/>
      <c r="H716"/>
    </row>
    <row r="717" spans="1:8" ht="14.5" x14ac:dyDescent="0.35">
      <c r="A717"/>
      <c r="B717"/>
      <c r="C717"/>
      <c r="D717"/>
      <c r="E717"/>
      <c r="F717"/>
      <c r="G717"/>
      <c r="H717"/>
    </row>
    <row r="718" spans="1:8" ht="14.5" x14ac:dyDescent="0.35">
      <c r="A718"/>
      <c r="B718"/>
      <c r="C718"/>
      <c r="D718"/>
      <c r="E718"/>
      <c r="F718"/>
      <c r="G718"/>
      <c r="H718"/>
    </row>
    <row r="719" spans="1:8" ht="14.5" x14ac:dyDescent="0.35">
      <c r="A719"/>
      <c r="B719"/>
      <c r="C719"/>
      <c r="D719"/>
      <c r="E719"/>
      <c r="F719"/>
      <c r="G719"/>
      <c r="H719"/>
    </row>
    <row r="720" spans="1:8" ht="14.5" x14ac:dyDescent="0.35">
      <c r="A720"/>
      <c r="B720"/>
      <c r="C720"/>
      <c r="D720"/>
      <c r="E720"/>
      <c r="F720"/>
      <c r="G720"/>
      <c r="H720"/>
    </row>
    <row r="721" spans="1:8" ht="14.5" x14ac:dyDescent="0.35">
      <c r="A721"/>
      <c r="B721"/>
      <c r="C721"/>
      <c r="D721"/>
      <c r="E721"/>
      <c r="F721"/>
      <c r="G721"/>
      <c r="H721"/>
    </row>
    <row r="722" spans="1:8" ht="14.5" x14ac:dyDescent="0.35">
      <c r="A722"/>
      <c r="B722"/>
      <c r="C722"/>
      <c r="D722"/>
      <c r="E722"/>
      <c r="F722"/>
      <c r="G722"/>
      <c r="H722"/>
    </row>
    <row r="723" spans="1:8" ht="14.5" x14ac:dyDescent="0.35">
      <c r="A723"/>
      <c r="B723"/>
      <c r="C723"/>
      <c r="D723"/>
      <c r="E723"/>
      <c r="F723"/>
      <c r="G723"/>
      <c r="H723"/>
    </row>
    <row r="724" spans="1:8" ht="14.5" x14ac:dyDescent="0.35">
      <c r="A724"/>
      <c r="B724"/>
      <c r="C724"/>
      <c r="D724"/>
      <c r="E724"/>
      <c r="F724"/>
      <c r="G724"/>
      <c r="H724"/>
    </row>
    <row r="725" spans="1:8" ht="14.5" x14ac:dyDescent="0.35">
      <c r="A725"/>
      <c r="B725"/>
      <c r="C725"/>
      <c r="D725"/>
      <c r="E725"/>
      <c r="F725"/>
      <c r="G725"/>
      <c r="H725"/>
    </row>
    <row r="726" spans="1:8" ht="14.5" x14ac:dyDescent="0.35">
      <c r="A726"/>
      <c r="B726"/>
      <c r="C726"/>
      <c r="D726"/>
      <c r="E726"/>
      <c r="F726"/>
      <c r="G726"/>
      <c r="H726"/>
    </row>
    <row r="727" spans="1:8" ht="14.5" x14ac:dyDescent="0.35">
      <c r="A727"/>
      <c r="B727"/>
      <c r="C727"/>
      <c r="D727"/>
      <c r="E727"/>
      <c r="F727"/>
      <c r="G727"/>
      <c r="H727"/>
    </row>
    <row r="728" spans="1:8" ht="14.5" x14ac:dyDescent="0.35">
      <c r="A728"/>
      <c r="B728"/>
      <c r="C728"/>
      <c r="D728"/>
      <c r="E728"/>
      <c r="F728"/>
      <c r="G728"/>
      <c r="H728"/>
    </row>
    <row r="729" spans="1:8" ht="14.5" x14ac:dyDescent="0.35">
      <c r="A729"/>
      <c r="B729"/>
      <c r="C729"/>
      <c r="D729"/>
      <c r="E729"/>
      <c r="F729"/>
      <c r="G729"/>
      <c r="H729"/>
    </row>
    <row r="730" spans="1:8" ht="14.5" x14ac:dyDescent="0.35">
      <c r="A730"/>
      <c r="B730"/>
      <c r="C730"/>
      <c r="D730"/>
      <c r="E730"/>
      <c r="F730"/>
      <c r="G730"/>
      <c r="H730"/>
    </row>
    <row r="731" spans="1:8" ht="14.5" x14ac:dyDescent="0.35">
      <c r="A731"/>
      <c r="B731"/>
      <c r="C731"/>
      <c r="D731"/>
      <c r="E731"/>
      <c r="F731"/>
      <c r="G731"/>
      <c r="H731"/>
    </row>
    <row r="732" spans="1:8" ht="14.5" x14ac:dyDescent="0.35">
      <c r="A732"/>
      <c r="B732"/>
      <c r="C732"/>
      <c r="D732"/>
      <c r="E732"/>
      <c r="F732"/>
      <c r="G732"/>
      <c r="H732"/>
    </row>
    <row r="733" spans="1:8" ht="14.5" x14ac:dyDescent="0.35">
      <c r="A733"/>
      <c r="B733"/>
      <c r="C733"/>
      <c r="D733"/>
      <c r="E733"/>
      <c r="F733"/>
      <c r="G733"/>
      <c r="H733"/>
    </row>
    <row r="734" spans="1:8" ht="14.5" x14ac:dyDescent="0.35">
      <c r="A734"/>
      <c r="B734"/>
      <c r="C734"/>
      <c r="D734"/>
      <c r="E734"/>
      <c r="F734"/>
      <c r="G734"/>
      <c r="H734"/>
    </row>
    <row r="735" spans="1:8" ht="14.5" x14ac:dyDescent="0.35">
      <c r="A735"/>
      <c r="B735"/>
      <c r="C735"/>
      <c r="D735"/>
      <c r="E735"/>
      <c r="F735"/>
      <c r="G735"/>
      <c r="H735"/>
    </row>
    <row r="736" spans="1:8" ht="14.5" x14ac:dyDescent="0.35">
      <c r="A736"/>
      <c r="B736"/>
      <c r="C736"/>
      <c r="D736"/>
      <c r="E736"/>
      <c r="F736"/>
      <c r="G736"/>
      <c r="H736"/>
    </row>
    <row r="737" spans="1:8" ht="14.5" x14ac:dyDescent="0.35">
      <c r="A737"/>
      <c r="B737"/>
      <c r="C737"/>
      <c r="D737"/>
      <c r="E737"/>
      <c r="F737"/>
      <c r="G737"/>
      <c r="H737"/>
    </row>
    <row r="738" spans="1:8" ht="14.5" x14ac:dyDescent="0.35">
      <c r="A738"/>
      <c r="B738"/>
      <c r="C738"/>
      <c r="D738"/>
      <c r="E738"/>
      <c r="F738"/>
      <c r="G738"/>
      <c r="H738"/>
    </row>
    <row r="739" spans="1:8" ht="14.5" x14ac:dyDescent="0.35">
      <c r="A739"/>
      <c r="B739"/>
      <c r="C739"/>
      <c r="D739"/>
      <c r="E739"/>
      <c r="F739"/>
      <c r="G739"/>
      <c r="H739"/>
    </row>
    <row r="740" spans="1:8" ht="14.5" x14ac:dyDescent="0.35">
      <c r="A740"/>
      <c r="B740"/>
      <c r="C740"/>
      <c r="D740"/>
      <c r="E740"/>
      <c r="F740"/>
      <c r="G740"/>
      <c r="H740"/>
    </row>
    <row r="741" spans="1:8" ht="14.5" x14ac:dyDescent="0.35">
      <c r="A741"/>
      <c r="B741"/>
      <c r="C741"/>
      <c r="D741"/>
      <c r="E741"/>
      <c r="F741"/>
      <c r="G741"/>
      <c r="H741"/>
    </row>
    <row r="742" spans="1:8" ht="14.5" x14ac:dyDescent="0.35">
      <c r="A742"/>
      <c r="B742"/>
      <c r="C742"/>
      <c r="D742"/>
      <c r="E742"/>
      <c r="F742"/>
      <c r="G742"/>
      <c r="H742"/>
    </row>
    <row r="743" spans="1:8" ht="14.5" x14ac:dyDescent="0.35">
      <c r="A743"/>
      <c r="B743"/>
      <c r="C743"/>
      <c r="D743"/>
      <c r="E743"/>
      <c r="F743"/>
      <c r="G743"/>
      <c r="H743"/>
    </row>
    <row r="744" spans="1:8" ht="14.5" x14ac:dyDescent="0.35">
      <c r="A744"/>
      <c r="B744"/>
      <c r="C744"/>
      <c r="D744"/>
      <c r="E744"/>
      <c r="F744"/>
      <c r="G744"/>
      <c r="H744"/>
    </row>
    <row r="745" spans="1:8" ht="14.5" x14ac:dyDescent="0.35">
      <c r="A745"/>
      <c r="B745"/>
      <c r="C745"/>
      <c r="D745"/>
      <c r="E745"/>
      <c r="F745"/>
      <c r="G745"/>
      <c r="H745"/>
    </row>
    <row r="746" spans="1:8" ht="14.5" x14ac:dyDescent="0.35">
      <c r="A746"/>
      <c r="B746"/>
      <c r="C746"/>
      <c r="D746"/>
      <c r="E746"/>
      <c r="F746"/>
      <c r="G746"/>
      <c r="H746"/>
    </row>
    <row r="747" spans="1:8" ht="14.5" x14ac:dyDescent="0.35">
      <c r="A747"/>
      <c r="B747"/>
      <c r="C747"/>
      <c r="D747"/>
      <c r="E747"/>
      <c r="F747"/>
      <c r="G747"/>
      <c r="H747"/>
    </row>
    <row r="748" spans="1:8" ht="14.5" x14ac:dyDescent="0.35">
      <c r="A748"/>
      <c r="B748"/>
      <c r="C748"/>
      <c r="D748"/>
      <c r="E748"/>
      <c r="F748"/>
      <c r="G748"/>
      <c r="H748"/>
    </row>
    <row r="749" spans="1:8" ht="14.5" x14ac:dyDescent="0.35">
      <c r="A749"/>
      <c r="B749"/>
      <c r="C749"/>
      <c r="D749"/>
      <c r="E749"/>
      <c r="F749"/>
      <c r="G749"/>
      <c r="H749"/>
    </row>
    <row r="750" spans="1:8" ht="14.5" x14ac:dyDescent="0.35">
      <c r="A750"/>
      <c r="B750"/>
      <c r="C750"/>
      <c r="D750"/>
      <c r="E750"/>
      <c r="F750"/>
      <c r="G750"/>
      <c r="H750"/>
    </row>
    <row r="751" spans="1:8" ht="14.5" x14ac:dyDescent="0.35">
      <c r="A751"/>
      <c r="B751"/>
      <c r="C751"/>
      <c r="D751"/>
      <c r="E751"/>
      <c r="F751"/>
      <c r="G751"/>
      <c r="H751"/>
    </row>
    <row r="752" spans="1:8" ht="14.5" x14ac:dyDescent="0.35">
      <c r="A752"/>
      <c r="B752"/>
      <c r="C752"/>
      <c r="D752"/>
      <c r="E752"/>
      <c r="F752"/>
      <c r="G752"/>
      <c r="H752"/>
    </row>
    <row r="753" spans="1:8" ht="14.5" x14ac:dyDescent="0.35">
      <c r="A753"/>
      <c r="B753"/>
      <c r="C753"/>
      <c r="D753"/>
      <c r="E753"/>
      <c r="F753"/>
      <c r="G753"/>
      <c r="H753"/>
    </row>
    <row r="754" spans="1:8" ht="14.5" x14ac:dyDescent="0.35">
      <c r="A754"/>
      <c r="B754"/>
      <c r="C754"/>
      <c r="D754"/>
      <c r="E754"/>
      <c r="F754"/>
      <c r="G754"/>
      <c r="H754"/>
    </row>
    <row r="755" spans="1:8" ht="14.5" x14ac:dyDescent="0.35">
      <c r="A755"/>
      <c r="B755"/>
      <c r="C755"/>
      <c r="D755"/>
      <c r="E755"/>
      <c r="F755"/>
      <c r="G755"/>
      <c r="H755"/>
    </row>
    <row r="756" spans="1:8" ht="14.5" x14ac:dyDescent="0.35">
      <c r="A756"/>
      <c r="B756"/>
      <c r="C756"/>
      <c r="D756"/>
      <c r="E756"/>
      <c r="F756"/>
      <c r="G756"/>
      <c r="H756"/>
    </row>
    <row r="757" spans="1:8" ht="14.5" x14ac:dyDescent="0.35">
      <c r="A757"/>
      <c r="B757"/>
      <c r="C757"/>
      <c r="D757"/>
      <c r="E757"/>
      <c r="F757"/>
      <c r="G757"/>
      <c r="H757"/>
    </row>
    <row r="758" spans="1:8" ht="14.5" x14ac:dyDescent="0.35">
      <c r="A758"/>
      <c r="B758"/>
      <c r="C758"/>
      <c r="D758"/>
      <c r="E758"/>
      <c r="F758"/>
      <c r="G758"/>
      <c r="H758"/>
    </row>
    <row r="759" spans="1:8" ht="14.5" x14ac:dyDescent="0.35">
      <c r="A759"/>
      <c r="B759"/>
      <c r="C759"/>
      <c r="D759"/>
      <c r="E759"/>
      <c r="F759"/>
      <c r="G759"/>
      <c r="H759"/>
    </row>
    <row r="760" spans="1:8" ht="14.5" x14ac:dyDescent="0.35">
      <c r="A760"/>
      <c r="B760"/>
      <c r="C760"/>
      <c r="D760"/>
      <c r="E760"/>
      <c r="F760"/>
      <c r="G760"/>
      <c r="H760"/>
    </row>
    <row r="761" spans="1:8" ht="14.5" x14ac:dyDescent="0.35">
      <c r="A761"/>
      <c r="B761"/>
      <c r="C761"/>
      <c r="D761"/>
      <c r="E761"/>
      <c r="F761"/>
      <c r="G761"/>
      <c r="H761"/>
    </row>
    <row r="762" spans="1:8" ht="14.5" x14ac:dyDescent="0.35">
      <c r="A762"/>
      <c r="B762"/>
      <c r="C762"/>
      <c r="D762"/>
      <c r="E762"/>
      <c r="F762"/>
      <c r="G762"/>
      <c r="H762"/>
    </row>
    <row r="763" spans="1:8" ht="14.5" x14ac:dyDescent="0.35">
      <c r="A763"/>
      <c r="B763"/>
      <c r="C763"/>
      <c r="D763"/>
      <c r="E763"/>
      <c r="F763"/>
      <c r="G763"/>
      <c r="H763"/>
    </row>
    <row r="764" spans="1:8" ht="14.5" x14ac:dyDescent="0.35">
      <c r="A764"/>
      <c r="B764"/>
      <c r="C764"/>
      <c r="D764"/>
      <c r="E764"/>
      <c r="F764"/>
      <c r="G764"/>
      <c r="H764"/>
    </row>
    <row r="765" spans="1:8" ht="14.5" x14ac:dyDescent="0.35">
      <c r="A765"/>
      <c r="B765"/>
      <c r="C765"/>
      <c r="D765"/>
      <c r="E765"/>
      <c r="F765"/>
      <c r="G765"/>
      <c r="H765"/>
    </row>
    <row r="766" spans="1:8" ht="14.5" x14ac:dyDescent="0.35">
      <c r="A766"/>
      <c r="B766"/>
      <c r="C766"/>
      <c r="D766"/>
      <c r="E766"/>
      <c r="F766"/>
      <c r="G766"/>
      <c r="H766"/>
    </row>
    <row r="767" spans="1:8" ht="14.5" x14ac:dyDescent="0.35">
      <c r="A767"/>
      <c r="B767"/>
      <c r="C767"/>
      <c r="D767"/>
      <c r="E767"/>
      <c r="F767"/>
      <c r="G767"/>
      <c r="H767"/>
    </row>
    <row r="768" spans="1:8" ht="14.5" x14ac:dyDescent="0.35">
      <c r="A768"/>
      <c r="B768"/>
      <c r="C768"/>
      <c r="D768"/>
      <c r="E768"/>
      <c r="F768"/>
      <c r="G768"/>
      <c r="H768"/>
    </row>
    <row r="769" spans="1:8" ht="14.5" x14ac:dyDescent="0.35">
      <c r="A769"/>
      <c r="B769"/>
      <c r="C769"/>
      <c r="D769"/>
      <c r="E769"/>
      <c r="F769"/>
      <c r="G769"/>
      <c r="H769"/>
    </row>
    <row r="770" spans="1:8" ht="14.5" x14ac:dyDescent="0.35">
      <c r="A770"/>
      <c r="B770"/>
      <c r="C770"/>
      <c r="D770"/>
      <c r="E770"/>
      <c r="F770"/>
      <c r="G770"/>
      <c r="H770"/>
    </row>
    <row r="771" spans="1:8" ht="14.5" x14ac:dyDescent="0.35">
      <c r="A771"/>
      <c r="B771"/>
      <c r="C771"/>
      <c r="D771"/>
      <c r="E771"/>
      <c r="F771"/>
      <c r="G771"/>
      <c r="H771"/>
    </row>
    <row r="772" spans="1:8" ht="14.5" x14ac:dyDescent="0.35">
      <c r="A772"/>
      <c r="B772"/>
      <c r="C772"/>
      <c r="D772"/>
      <c r="E772"/>
      <c r="F772"/>
      <c r="G772"/>
      <c r="H772"/>
    </row>
    <row r="773" spans="1:8" ht="14.5" x14ac:dyDescent="0.35">
      <c r="A773"/>
      <c r="B773"/>
      <c r="C773"/>
      <c r="D773"/>
      <c r="E773"/>
      <c r="F773"/>
      <c r="G773"/>
      <c r="H773"/>
    </row>
    <row r="774" spans="1:8" ht="14.5" x14ac:dyDescent="0.35">
      <c r="A774"/>
      <c r="B774"/>
      <c r="C774"/>
      <c r="D774"/>
      <c r="E774"/>
      <c r="F774"/>
      <c r="G774"/>
      <c r="H774"/>
    </row>
    <row r="775" spans="1:8" ht="14.5" x14ac:dyDescent="0.35">
      <c r="A775"/>
      <c r="B775"/>
      <c r="C775"/>
      <c r="D775"/>
      <c r="E775"/>
      <c r="F775"/>
      <c r="G775"/>
      <c r="H775"/>
    </row>
    <row r="776" spans="1:8" ht="14.5" x14ac:dyDescent="0.35">
      <c r="A776"/>
      <c r="B776"/>
      <c r="C776"/>
      <c r="D776"/>
      <c r="E776"/>
      <c r="F776"/>
      <c r="G776"/>
      <c r="H776"/>
    </row>
    <row r="777" spans="1:8" ht="14.5" x14ac:dyDescent="0.35">
      <c r="A777"/>
      <c r="B777"/>
      <c r="C777"/>
      <c r="D777"/>
      <c r="E777"/>
      <c r="F777"/>
      <c r="G777"/>
      <c r="H777"/>
    </row>
    <row r="778" spans="1:8" ht="14.5" x14ac:dyDescent="0.35">
      <c r="A778"/>
      <c r="B778"/>
      <c r="C778"/>
      <c r="D778"/>
      <c r="E778"/>
      <c r="F778"/>
      <c r="G778"/>
      <c r="H778"/>
    </row>
    <row r="779" spans="1:8" ht="14.5" x14ac:dyDescent="0.35">
      <c r="A779"/>
      <c r="B779"/>
      <c r="C779"/>
      <c r="D779"/>
      <c r="E779"/>
      <c r="F779"/>
      <c r="G779"/>
      <c r="H779"/>
    </row>
    <row r="780" spans="1:8" ht="14.5" x14ac:dyDescent="0.35">
      <c r="A780"/>
      <c r="B780"/>
      <c r="C780"/>
      <c r="D780"/>
      <c r="E780"/>
      <c r="F780"/>
      <c r="G780"/>
      <c r="H780"/>
    </row>
    <row r="781" spans="1:8" ht="14.5" x14ac:dyDescent="0.35">
      <c r="A781"/>
      <c r="B781"/>
      <c r="C781"/>
      <c r="D781"/>
      <c r="E781"/>
      <c r="F781"/>
      <c r="G781"/>
      <c r="H781"/>
    </row>
    <row r="782" spans="1:8" ht="14.5" x14ac:dyDescent="0.35">
      <c r="A782"/>
      <c r="B782"/>
      <c r="C782"/>
      <c r="D782"/>
      <c r="E782"/>
      <c r="F782"/>
      <c r="G782"/>
      <c r="H782"/>
    </row>
    <row r="783" spans="1:8" ht="14.5" x14ac:dyDescent="0.35">
      <c r="A783"/>
      <c r="B783"/>
      <c r="C783"/>
      <c r="D783"/>
      <c r="E783"/>
      <c r="F783"/>
      <c r="G783"/>
      <c r="H783"/>
    </row>
    <row r="784" spans="1:8" ht="14.5" x14ac:dyDescent="0.35">
      <c r="A784"/>
      <c r="B784"/>
      <c r="C784"/>
      <c r="D784"/>
      <c r="E784"/>
      <c r="F784"/>
      <c r="G784"/>
      <c r="H784"/>
    </row>
    <row r="785" spans="1:8" ht="14.5" x14ac:dyDescent="0.35">
      <c r="A785"/>
      <c r="B785"/>
      <c r="C785"/>
      <c r="D785"/>
      <c r="E785"/>
      <c r="F785"/>
      <c r="G785"/>
      <c r="H785"/>
    </row>
    <row r="786" spans="1:8" ht="14.5" x14ac:dyDescent="0.35">
      <c r="A786"/>
      <c r="B786"/>
      <c r="C786"/>
      <c r="D786"/>
      <c r="E786"/>
      <c r="F786"/>
      <c r="G786"/>
      <c r="H786"/>
    </row>
    <row r="787" spans="1:8" ht="14.5" x14ac:dyDescent="0.35">
      <c r="A787"/>
      <c r="B787"/>
      <c r="C787"/>
      <c r="D787"/>
      <c r="E787"/>
      <c r="F787"/>
      <c r="G787"/>
      <c r="H787"/>
    </row>
    <row r="788" spans="1:8" ht="14.5" x14ac:dyDescent="0.35">
      <c r="A788"/>
      <c r="B788"/>
      <c r="C788"/>
      <c r="D788"/>
      <c r="E788"/>
      <c r="F788"/>
      <c r="G788"/>
      <c r="H788"/>
    </row>
    <row r="789" spans="1:8" ht="14.5" x14ac:dyDescent="0.35">
      <c r="A789"/>
      <c r="B789"/>
      <c r="C789"/>
      <c r="D789"/>
      <c r="E789"/>
      <c r="F789"/>
      <c r="G789"/>
      <c r="H789"/>
    </row>
    <row r="790" spans="1:8" ht="14.5" x14ac:dyDescent="0.35">
      <c r="A790"/>
      <c r="B790"/>
      <c r="C790"/>
      <c r="D790"/>
      <c r="E790"/>
      <c r="F790"/>
      <c r="G790"/>
      <c r="H790"/>
    </row>
    <row r="791" spans="1:8" ht="14.5" x14ac:dyDescent="0.35">
      <c r="A791"/>
      <c r="B791"/>
      <c r="C791"/>
      <c r="D791"/>
      <c r="E791"/>
      <c r="F791"/>
      <c r="G791"/>
      <c r="H791"/>
    </row>
    <row r="792" spans="1:8" ht="14.5" x14ac:dyDescent="0.35">
      <c r="A792"/>
      <c r="B792"/>
      <c r="C792"/>
      <c r="D792"/>
      <c r="E792"/>
      <c r="F792"/>
      <c r="G792"/>
      <c r="H792"/>
    </row>
    <row r="793" spans="1:8" ht="14.5" x14ac:dyDescent="0.35">
      <c r="A793"/>
      <c r="B793"/>
      <c r="C793"/>
      <c r="D793"/>
      <c r="E793"/>
      <c r="F793"/>
      <c r="G793"/>
      <c r="H793"/>
    </row>
    <row r="794" spans="1:8" ht="14.5" x14ac:dyDescent="0.35">
      <c r="A794"/>
      <c r="B794"/>
      <c r="C794"/>
      <c r="D794"/>
      <c r="E794"/>
      <c r="F794"/>
      <c r="G794"/>
      <c r="H794"/>
    </row>
    <row r="795" spans="1:8" ht="14.5" x14ac:dyDescent="0.35">
      <c r="A795"/>
      <c r="B795"/>
      <c r="C795"/>
      <c r="D795"/>
      <c r="E795"/>
      <c r="F795"/>
      <c r="G795"/>
      <c r="H795"/>
    </row>
    <row r="796" spans="1:8" ht="14.5" x14ac:dyDescent="0.35">
      <c r="A796"/>
      <c r="B796"/>
      <c r="C796"/>
      <c r="D796"/>
      <c r="E796"/>
      <c r="F796"/>
      <c r="G796"/>
      <c r="H796"/>
    </row>
    <row r="797" spans="1:8" ht="14.5" x14ac:dyDescent="0.35">
      <c r="A797"/>
      <c r="B797"/>
      <c r="C797"/>
      <c r="D797"/>
      <c r="E797"/>
      <c r="F797"/>
      <c r="G797"/>
      <c r="H797"/>
    </row>
    <row r="798" spans="1:8" ht="14.5" x14ac:dyDescent="0.35">
      <c r="A798"/>
      <c r="B798"/>
      <c r="C798"/>
      <c r="D798"/>
      <c r="E798"/>
      <c r="F798"/>
      <c r="G798"/>
      <c r="H798"/>
    </row>
    <row r="799" spans="1:8" ht="14.5" x14ac:dyDescent="0.35">
      <c r="A799"/>
      <c r="B799"/>
      <c r="C799"/>
      <c r="D799"/>
      <c r="E799"/>
      <c r="F799"/>
      <c r="G799"/>
      <c r="H799"/>
    </row>
    <row r="800" spans="1:8" ht="14.5" x14ac:dyDescent="0.35">
      <c r="A800"/>
      <c r="B800"/>
      <c r="C800"/>
      <c r="D800"/>
      <c r="E800"/>
      <c r="F800"/>
      <c r="G800"/>
      <c r="H800"/>
    </row>
    <row r="801" spans="1:8" ht="14.5" x14ac:dyDescent="0.35">
      <c r="A801"/>
      <c r="B801"/>
      <c r="C801"/>
      <c r="D801"/>
      <c r="E801"/>
      <c r="F801"/>
      <c r="G801"/>
      <c r="H801"/>
    </row>
    <row r="802" spans="1:8" ht="14.5" x14ac:dyDescent="0.35">
      <c r="A802"/>
      <c r="B802"/>
      <c r="C802"/>
      <c r="D802"/>
      <c r="E802"/>
      <c r="F802"/>
      <c r="G802"/>
      <c r="H802"/>
    </row>
    <row r="803" spans="1:8" ht="14.5" x14ac:dyDescent="0.35">
      <c r="A803"/>
      <c r="B803"/>
      <c r="C803"/>
      <c r="D803"/>
      <c r="E803"/>
      <c r="F803"/>
      <c r="G803"/>
      <c r="H803"/>
    </row>
    <row r="804" spans="1:8" ht="14.5" x14ac:dyDescent="0.35">
      <c r="A804"/>
      <c r="B804"/>
      <c r="C804"/>
      <c r="D804"/>
      <c r="E804"/>
      <c r="F804"/>
      <c r="G804"/>
      <c r="H804"/>
    </row>
    <row r="805" spans="1:8" ht="14.5" x14ac:dyDescent="0.35">
      <c r="A805"/>
      <c r="B805"/>
      <c r="C805"/>
      <c r="D805"/>
      <c r="E805"/>
      <c r="F805"/>
      <c r="G805"/>
      <c r="H805"/>
    </row>
    <row r="806" spans="1:8" ht="14.5" x14ac:dyDescent="0.35">
      <c r="A806"/>
      <c r="B806"/>
      <c r="C806"/>
      <c r="D806"/>
      <c r="E806"/>
      <c r="F806"/>
      <c r="G806"/>
      <c r="H806"/>
    </row>
    <row r="807" spans="1:8" ht="14.5" x14ac:dyDescent="0.35">
      <c r="A807"/>
      <c r="B807"/>
      <c r="C807"/>
      <c r="D807"/>
      <c r="E807"/>
      <c r="F807"/>
      <c r="G807"/>
      <c r="H807"/>
    </row>
    <row r="808" spans="1:8" ht="14.5" x14ac:dyDescent="0.35">
      <c r="A808"/>
      <c r="B808"/>
      <c r="C808"/>
      <c r="D808"/>
      <c r="E808"/>
      <c r="F808"/>
      <c r="G808"/>
      <c r="H808"/>
    </row>
    <row r="809" spans="1:8" ht="14.5" x14ac:dyDescent="0.35">
      <c r="A809"/>
      <c r="B809"/>
      <c r="C809"/>
      <c r="D809"/>
      <c r="E809"/>
      <c r="F809"/>
      <c r="G809"/>
      <c r="H809"/>
    </row>
    <row r="810" spans="1:8" ht="14.5" x14ac:dyDescent="0.35">
      <c r="A810"/>
      <c r="B810"/>
      <c r="C810"/>
      <c r="D810"/>
      <c r="E810"/>
      <c r="F810"/>
      <c r="G810"/>
      <c r="H810"/>
    </row>
    <row r="811" spans="1:8" ht="14.5" x14ac:dyDescent="0.35">
      <c r="A811"/>
      <c r="B811"/>
      <c r="C811"/>
      <c r="D811"/>
      <c r="E811"/>
      <c r="F811"/>
      <c r="G811"/>
      <c r="H811"/>
    </row>
    <row r="812" spans="1:8" ht="14.5" x14ac:dyDescent="0.35">
      <c r="A812"/>
      <c r="B812"/>
      <c r="C812"/>
      <c r="D812"/>
      <c r="E812"/>
      <c r="F812"/>
      <c r="G812"/>
      <c r="H812"/>
    </row>
    <row r="813" spans="1:8" ht="14.5" x14ac:dyDescent="0.35">
      <c r="A813"/>
      <c r="B813"/>
      <c r="C813"/>
      <c r="D813"/>
      <c r="E813"/>
      <c r="F813"/>
      <c r="G813"/>
      <c r="H813"/>
    </row>
    <row r="814" spans="1:8" ht="14.5" x14ac:dyDescent="0.35">
      <c r="A814"/>
      <c r="B814"/>
      <c r="C814"/>
      <c r="D814"/>
      <c r="E814"/>
      <c r="F814"/>
      <c r="G814"/>
      <c r="H814"/>
    </row>
    <row r="815" spans="1:8" ht="14.5" x14ac:dyDescent="0.35">
      <c r="A815"/>
      <c r="B815"/>
      <c r="C815"/>
      <c r="D815"/>
      <c r="E815"/>
      <c r="F815"/>
      <c r="G815"/>
      <c r="H815"/>
    </row>
    <row r="816" spans="1:8" ht="14.5" x14ac:dyDescent="0.35">
      <c r="A816"/>
      <c r="B816"/>
      <c r="C816"/>
      <c r="D816"/>
      <c r="E816"/>
      <c r="F816"/>
      <c r="G816"/>
      <c r="H816"/>
    </row>
    <row r="817" spans="1:8" ht="14.5" x14ac:dyDescent="0.35">
      <c r="A817"/>
      <c r="B817"/>
      <c r="C817"/>
      <c r="D817"/>
      <c r="E817"/>
      <c r="F817"/>
      <c r="G817"/>
      <c r="H817"/>
    </row>
    <row r="818" spans="1:8" ht="14.5" x14ac:dyDescent="0.35">
      <c r="A818"/>
      <c r="B818"/>
      <c r="C818"/>
      <c r="D818"/>
      <c r="E818"/>
      <c r="F818"/>
      <c r="G818"/>
      <c r="H818"/>
    </row>
    <row r="819" spans="1:8" ht="14.5" x14ac:dyDescent="0.35">
      <c r="A819"/>
      <c r="B819"/>
      <c r="C819"/>
      <c r="D819"/>
      <c r="E819"/>
      <c r="F819"/>
      <c r="G819"/>
      <c r="H819"/>
    </row>
    <row r="820" spans="1:8" ht="14.5" x14ac:dyDescent="0.35">
      <c r="A820"/>
      <c r="B820"/>
      <c r="C820"/>
      <c r="D820"/>
      <c r="E820"/>
      <c r="F820"/>
      <c r="G820"/>
      <c r="H820"/>
    </row>
    <row r="821" spans="1:8" ht="14.5" x14ac:dyDescent="0.35">
      <c r="A821"/>
      <c r="B821"/>
      <c r="C821"/>
      <c r="D821"/>
      <c r="E821"/>
      <c r="F821"/>
      <c r="G821"/>
      <c r="H821"/>
    </row>
    <row r="822" spans="1:8" ht="14.5" x14ac:dyDescent="0.35">
      <c r="A822"/>
      <c r="B822"/>
      <c r="C822"/>
      <c r="D822"/>
      <c r="E822"/>
      <c r="F822"/>
      <c r="G822"/>
      <c r="H822"/>
    </row>
    <row r="823" spans="1:8" ht="14.5" x14ac:dyDescent="0.35">
      <c r="A823"/>
      <c r="B823"/>
      <c r="C823"/>
      <c r="D823"/>
      <c r="E823"/>
      <c r="F823"/>
      <c r="G823"/>
      <c r="H823"/>
    </row>
    <row r="824" spans="1:8" ht="14.5" x14ac:dyDescent="0.35">
      <c r="A824"/>
      <c r="B824"/>
      <c r="C824"/>
      <c r="D824"/>
      <c r="E824"/>
      <c r="F824"/>
      <c r="G824"/>
      <c r="H824"/>
    </row>
    <row r="825" spans="1:8" ht="14.5" x14ac:dyDescent="0.35">
      <c r="A825"/>
      <c r="B825"/>
      <c r="C825"/>
      <c r="D825"/>
      <c r="E825"/>
      <c r="F825"/>
      <c r="G825"/>
      <c r="H825"/>
    </row>
    <row r="826" spans="1:8" ht="14.5" x14ac:dyDescent="0.35">
      <c r="A826"/>
      <c r="B826"/>
      <c r="C826"/>
      <c r="D826"/>
      <c r="E826"/>
      <c r="F826"/>
      <c r="G826"/>
      <c r="H826"/>
    </row>
    <row r="827" spans="1:8" ht="14.5" x14ac:dyDescent="0.35">
      <c r="A827"/>
      <c r="B827"/>
      <c r="C827"/>
      <c r="D827"/>
      <c r="E827"/>
      <c r="F827"/>
      <c r="G827"/>
      <c r="H827"/>
    </row>
    <row r="828" spans="1:8" ht="14.5" x14ac:dyDescent="0.35">
      <c r="A828"/>
      <c r="B828"/>
      <c r="C828"/>
      <c r="D828"/>
      <c r="E828"/>
      <c r="F828"/>
      <c r="G828"/>
      <c r="H828"/>
    </row>
    <row r="829" spans="1:8" ht="14.5" x14ac:dyDescent="0.35">
      <c r="A829"/>
      <c r="B829"/>
      <c r="C829"/>
      <c r="D829"/>
      <c r="E829"/>
      <c r="F829"/>
      <c r="G829"/>
      <c r="H829"/>
    </row>
    <row r="830" spans="1:8" ht="14.5" x14ac:dyDescent="0.35">
      <c r="A830"/>
      <c r="B830"/>
      <c r="C830"/>
      <c r="D830"/>
      <c r="E830"/>
      <c r="F830"/>
      <c r="G830"/>
      <c r="H830"/>
    </row>
    <row r="831" spans="1:8" ht="14.5" x14ac:dyDescent="0.35">
      <c r="A831"/>
      <c r="B831"/>
      <c r="C831"/>
      <c r="D831"/>
      <c r="E831"/>
      <c r="F831"/>
      <c r="G831"/>
      <c r="H831"/>
    </row>
    <row r="832" spans="1:8" ht="14.5" x14ac:dyDescent="0.35">
      <c r="A832"/>
      <c r="B832"/>
      <c r="C832"/>
      <c r="D832"/>
      <c r="E832"/>
      <c r="F832"/>
      <c r="G832"/>
      <c r="H832"/>
    </row>
    <row r="833" spans="1:8" ht="14.5" x14ac:dyDescent="0.35">
      <c r="A833"/>
      <c r="B833"/>
      <c r="C833"/>
      <c r="D833"/>
      <c r="E833"/>
      <c r="F833"/>
      <c r="G833"/>
      <c r="H833"/>
    </row>
    <row r="834" spans="1:8" ht="14.5" x14ac:dyDescent="0.35">
      <c r="A834"/>
      <c r="B834"/>
      <c r="C834"/>
      <c r="D834"/>
      <c r="E834"/>
      <c r="F834"/>
      <c r="G834"/>
      <c r="H834"/>
    </row>
    <row r="835" spans="1:8" ht="14.5" x14ac:dyDescent="0.35">
      <c r="A835"/>
      <c r="B835"/>
      <c r="C835"/>
      <c r="D835"/>
      <c r="E835"/>
      <c r="F835"/>
      <c r="G835"/>
      <c r="H835"/>
    </row>
    <row r="836" spans="1:8" ht="14.5" x14ac:dyDescent="0.35">
      <c r="A836"/>
      <c r="B836"/>
      <c r="C836"/>
      <c r="D836"/>
      <c r="E836"/>
      <c r="F836"/>
      <c r="G836"/>
      <c r="H836"/>
    </row>
    <row r="837" spans="1:8" ht="14.5" x14ac:dyDescent="0.35">
      <c r="A837"/>
      <c r="B837"/>
      <c r="C837"/>
      <c r="D837"/>
      <c r="E837"/>
      <c r="F837"/>
      <c r="G837"/>
      <c r="H837"/>
    </row>
    <row r="838" spans="1:8" ht="14.5" x14ac:dyDescent="0.35">
      <c r="A838"/>
      <c r="B838"/>
      <c r="C838"/>
      <c r="D838"/>
      <c r="E838"/>
      <c r="F838"/>
      <c r="G838"/>
      <c r="H838"/>
    </row>
    <row r="839" spans="1:8" ht="14.5" x14ac:dyDescent="0.35">
      <c r="A839"/>
      <c r="B839"/>
      <c r="C839"/>
      <c r="D839"/>
      <c r="E839"/>
      <c r="F839"/>
      <c r="G839"/>
      <c r="H839"/>
    </row>
    <row r="840" spans="1:8" ht="14.5" x14ac:dyDescent="0.35">
      <c r="A840"/>
      <c r="B840"/>
      <c r="C840"/>
      <c r="D840"/>
      <c r="E840"/>
      <c r="F840"/>
      <c r="G840"/>
      <c r="H840"/>
    </row>
    <row r="841" spans="1:8" ht="14.5" x14ac:dyDescent="0.35">
      <c r="A841"/>
      <c r="B841"/>
      <c r="C841"/>
      <c r="D841"/>
      <c r="E841"/>
      <c r="F841"/>
      <c r="G841"/>
      <c r="H841"/>
    </row>
    <row r="842" spans="1:8" ht="14.5" x14ac:dyDescent="0.35">
      <c r="A842"/>
      <c r="B842"/>
      <c r="C842"/>
      <c r="D842"/>
      <c r="E842"/>
      <c r="F842"/>
      <c r="G842"/>
      <c r="H842"/>
    </row>
    <row r="843" spans="1:8" ht="14.5" x14ac:dyDescent="0.35">
      <c r="A843"/>
      <c r="B843"/>
      <c r="C843"/>
      <c r="D843"/>
      <c r="E843"/>
      <c r="F843"/>
      <c r="G843"/>
      <c r="H843"/>
    </row>
    <row r="844" spans="1:8" ht="14.5" x14ac:dyDescent="0.35">
      <c r="A844"/>
      <c r="B844"/>
      <c r="C844"/>
      <c r="D844"/>
      <c r="E844"/>
      <c r="F844"/>
      <c r="G844"/>
      <c r="H844"/>
    </row>
    <row r="845" spans="1:8" ht="14.5" x14ac:dyDescent="0.35">
      <c r="A845"/>
      <c r="B845"/>
      <c r="C845"/>
      <c r="D845"/>
      <c r="E845"/>
      <c r="F845"/>
      <c r="G845"/>
      <c r="H845"/>
    </row>
    <row r="846" spans="1:8" ht="14.5" x14ac:dyDescent="0.35">
      <c r="A846"/>
      <c r="B846"/>
      <c r="C846"/>
      <c r="D846"/>
      <c r="E846"/>
      <c r="F846"/>
      <c r="G846"/>
      <c r="H846"/>
    </row>
    <row r="847" spans="1:8" ht="14.5" x14ac:dyDescent="0.35">
      <c r="A847"/>
      <c r="B847"/>
      <c r="C847"/>
      <c r="D847"/>
      <c r="E847"/>
      <c r="F847"/>
      <c r="G847"/>
      <c r="H847"/>
    </row>
    <row r="848" spans="1:8" ht="14.5" x14ac:dyDescent="0.35">
      <c r="A848"/>
      <c r="B848"/>
      <c r="C848"/>
      <c r="D848"/>
      <c r="E848"/>
      <c r="F848"/>
      <c r="G848"/>
      <c r="H848"/>
    </row>
    <row r="849" spans="1:8" ht="14.5" x14ac:dyDescent="0.35">
      <c r="A849"/>
      <c r="B849"/>
      <c r="C849"/>
      <c r="D849"/>
      <c r="E849"/>
      <c r="F849"/>
      <c r="G849"/>
      <c r="H849"/>
    </row>
    <row r="850" spans="1:8" ht="14.5" x14ac:dyDescent="0.35">
      <c r="A850"/>
      <c r="B850"/>
      <c r="C850"/>
      <c r="D850"/>
      <c r="E850"/>
      <c r="F850"/>
      <c r="G850"/>
      <c r="H850"/>
    </row>
    <row r="851" spans="1:8" ht="14.5" x14ac:dyDescent="0.35">
      <c r="A851"/>
      <c r="B851"/>
      <c r="C851"/>
      <c r="D851"/>
      <c r="E851"/>
      <c r="F851"/>
      <c r="G851"/>
      <c r="H851"/>
    </row>
    <row r="852" spans="1:8" ht="14.5" x14ac:dyDescent="0.35">
      <c r="A852"/>
      <c r="B852"/>
      <c r="C852"/>
      <c r="D852"/>
      <c r="E852"/>
      <c r="F852"/>
      <c r="G852"/>
      <c r="H852"/>
    </row>
    <row r="853" spans="1:8" ht="14.5" x14ac:dyDescent="0.35">
      <c r="A853"/>
      <c r="B853"/>
      <c r="C853"/>
      <c r="D853"/>
      <c r="E853"/>
      <c r="F853"/>
      <c r="G853"/>
      <c r="H853"/>
    </row>
    <row r="854" spans="1:8" ht="14.5" x14ac:dyDescent="0.35">
      <c r="A854"/>
      <c r="B854"/>
      <c r="C854"/>
      <c r="D854"/>
      <c r="E854"/>
      <c r="F854"/>
      <c r="G854"/>
      <c r="H854"/>
    </row>
    <row r="855" spans="1:8" ht="14.5" x14ac:dyDescent="0.35">
      <c r="A855"/>
      <c r="B855"/>
      <c r="C855"/>
      <c r="D855"/>
      <c r="E855"/>
      <c r="F855"/>
      <c r="G855"/>
      <c r="H855"/>
    </row>
    <row r="856" spans="1:8" ht="14.5" x14ac:dyDescent="0.35">
      <c r="A856"/>
      <c r="B856"/>
      <c r="C856"/>
      <c r="D856"/>
      <c r="E856"/>
      <c r="F856"/>
      <c r="G856"/>
      <c r="H856"/>
    </row>
    <row r="857" spans="1:8" ht="14.5" x14ac:dyDescent="0.35">
      <c r="A857"/>
      <c r="B857"/>
      <c r="C857"/>
      <c r="D857"/>
      <c r="E857"/>
      <c r="F857"/>
      <c r="G857"/>
      <c r="H857"/>
    </row>
    <row r="858" spans="1:8" ht="14.5" x14ac:dyDescent="0.35">
      <c r="A858"/>
      <c r="B858"/>
      <c r="C858"/>
      <c r="D858"/>
      <c r="E858"/>
      <c r="F858"/>
      <c r="G858"/>
      <c r="H858"/>
    </row>
    <row r="859" spans="1:8" ht="14.5" x14ac:dyDescent="0.35">
      <c r="A859"/>
      <c r="B859"/>
      <c r="C859"/>
      <c r="D859"/>
      <c r="E859"/>
      <c r="F859"/>
      <c r="G859"/>
      <c r="H859"/>
    </row>
    <row r="860" spans="1:8" ht="14.5" x14ac:dyDescent="0.35">
      <c r="A860"/>
      <c r="B860"/>
      <c r="C860"/>
      <c r="D860"/>
      <c r="E860"/>
      <c r="F860"/>
      <c r="G860"/>
      <c r="H860"/>
    </row>
    <row r="861" spans="1:8" ht="14.5" x14ac:dyDescent="0.35">
      <c r="A861"/>
      <c r="B861"/>
      <c r="C861"/>
      <c r="D861"/>
      <c r="E861"/>
      <c r="F861"/>
      <c r="G861"/>
      <c r="H861"/>
    </row>
    <row r="862" spans="1:8" ht="14.5" x14ac:dyDescent="0.35">
      <c r="A862"/>
      <c r="B862"/>
      <c r="C862"/>
      <c r="D862"/>
      <c r="E862"/>
      <c r="F862"/>
      <c r="G862"/>
      <c r="H862"/>
    </row>
    <row r="863" spans="1:8" ht="14.5" x14ac:dyDescent="0.35">
      <c r="A863"/>
      <c r="B863"/>
      <c r="C863"/>
      <c r="D863"/>
      <c r="E863"/>
      <c r="F863"/>
      <c r="G863"/>
      <c r="H863"/>
    </row>
    <row r="864" spans="1:8" ht="14.5" x14ac:dyDescent="0.35">
      <c r="A864"/>
      <c r="B864"/>
      <c r="C864"/>
      <c r="D864"/>
      <c r="E864"/>
      <c r="F864"/>
      <c r="G864"/>
      <c r="H864"/>
    </row>
    <row r="865" spans="1:8" ht="14.5" x14ac:dyDescent="0.35">
      <c r="A865"/>
      <c r="B865"/>
      <c r="C865"/>
      <c r="D865"/>
      <c r="E865"/>
      <c r="F865"/>
      <c r="G865"/>
      <c r="H865"/>
    </row>
    <row r="866" spans="1:8" ht="14.5" x14ac:dyDescent="0.35">
      <c r="A866"/>
      <c r="B866"/>
      <c r="C866"/>
      <c r="D866"/>
      <c r="E866"/>
      <c r="F866"/>
      <c r="G866"/>
      <c r="H866"/>
    </row>
    <row r="867" spans="1:8" ht="14.5" x14ac:dyDescent="0.35">
      <c r="A867"/>
      <c r="B867"/>
      <c r="C867"/>
      <c r="D867"/>
      <c r="E867"/>
      <c r="F867"/>
      <c r="G867"/>
      <c r="H867"/>
    </row>
    <row r="868" spans="1:8" ht="14.5" x14ac:dyDescent="0.35">
      <c r="A868"/>
      <c r="B868"/>
      <c r="C868"/>
      <c r="D868"/>
      <c r="E868"/>
      <c r="F868"/>
      <c r="G868"/>
      <c r="H868"/>
    </row>
    <row r="869" spans="1:8" ht="14.5" x14ac:dyDescent="0.35">
      <c r="A869"/>
      <c r="B869"/>
      <c r="C869"/>
      <c r="D869"/>
      <c r="E869"/>
      <c r="F869"/>
      <c r="G869"/>
      <c r="H869"/>
    </row>
    <row r="870" spans="1:8" ht="14.5" x14ac:dyDescent="0.35">
      <c r="A870"/>
      <c r="B870"/>
      <c r="C870"/>
      <c r="D870"/>
      <c r="E870"/>
      <c r="F870"/>
      <c r="G870"/>
      <c r="H870"/>
    </row>
    <row r="871" spans="1:8" ht="14.5" x14ac:dyDescent="0.35">
      <c r="A871"/>
      <c r="B871"/>
      <c r="C871"/>
      <c r="D871"/>
      <c r="E871"/>
      <c r="F871"/>
      <c r="G871"/>
      <c r="H871"/>
    </row>
    <row r="872" spans="1:8" ht="14.5" x14ac:dyDescent="0.35">
      <c r="A872"/>
      <c r="B872"/>
      <c r="C872"/>
      <c r="D872"/>
      <c r="E872"/>
      <c r="F872"/>
      <c r="G872"/>
      <c r="H872"/>
    </row>
    <row r="873" spans="1:8" ht="14.5" x14ac:dyDescent="0.35">
      <c r="A873"/>
      <c r="B873"/>
      <c r="C873"/>
      <c r="D873"/>
      <c r="E873"/>
      <c r="F873"/>
      <c r="G873"/>
      <c r="H873"/>
    </row>
    <row r="874" spans="1:8" ht="14.5" x14ac:dyDescent="0.35">
      <c r="A874"/>
      <c r="B874"/>
      <c r="C874"/>
      <c r="D874"/>
      <c r="E874"/>
      <c r="F874"/>
      <c r="G874"/>
      <c r="H874"/>
    </row>
    <row r="875" spans="1:8" ht="14.5" x14ac:dyDescent="0.35">
      <c r="A875"/>
      <c r="B875"/>
      <c r="C875"/>
      <c r="D875"/>
      <c r="E875"/>
      <c r="F875"/>
      <c r="G875"/>
      <c r="H875"/>
    </row>
    <row r="876" spans="1:8" ht="14.5" x14ac:dyDescent="0.35">
      <c r="A876"/>
      <c r="B876"/>
      <c r="C876"/>
      <c r="D876"/>
      <c r="E876"/>
      <c r="F876"/>
      <c r="G876"/>
      <c r="H876"/>
    </row>
    <row r="877" spans="1:8" ht="14.5" x14ac:dyDescent="0.35">
      <c r="A877"/>
      <c r="B877"/>
      <c r="C877"/>
      <c r="D877"/>
      <c r="E877"/>
      <c r="F877"/>
      <c r="G877"/>
      <c r="H877"/>
    </row>
    <row r="878" spans="1:8" ht="14.5" x14ac:dyDescent="0.35">
      <c r="A878"/>
      <c r="B878"/>
      <c r="C878"/>
      <c r="D878"/>
      <c r="E878"/>
      <c r="F878"/>
      <c r="G878"/>
      <c r="H878"/>
    </row>
    <row r="879" spans="1:8" ht="14.5" x14ac:dyDescent="0.35">
      <c r="A879"/>
      <c r="B879"/>
      <c r="C879"/>
      <c r="D879"/>
      <c r="E879"/>
      <c r="F879"/>
      <c r="G879"/>
      <c r="H879"/>
    </row>
    <row r="880" spans="1:8" ht="14.5" x14ac:dyDescent="0.35">
      <c r="A880"/>
      <c r="B880"/>
      <c r="C880"/>
      <c r="D880"/>
      <c r="E880"/>
      <c r="F880"/>
      <c r="G880"/>
      <c r="H880"/>
    </row>
    <row r="881" spans="1:8" ht="14.5" x14ac:dyDescent="0.35">
      <c r="A881"/>
      <c r="B881"/>
      <c r="C881"/>
      <c r="D881"/>
      <c r="E881"/>
      <c r="F881"/>
      <c r="G881"/>
      <c r="H881"/>
    </row>
    <row r="882" spans="1:8" ht="14.5" x14ac:dyDescent="0.35">
      <c r="A882"/>
      <c r="B882"/>
      <c r="C882"/>
      <c r="D882"/>
      <c r="E882"/>
      <c r="F882"/>
      <c r="G882"/>
      <c r="H882"/>
    </row>
    <row r="883" spans="1:8" ht="14.5" x14ac:dyDescent="0.35">
      <c r="A883"/>
      <c r="B883"/>
      <c r="C883"/>
      <c r="D883"/>
      <c r="E883"/>
      <c r="F883"/>
      <c r="G883"/>
      <c r="H883"/>
    </row>
    <row r="884" spans="1:8" ht="14.5" x14ac:dyDescent="0.35">
      <c r="A884"/>
      <c r="B884"/>
      <c r="C884"/>
      <c r="D884"/>
      <c r="E884"/>
      <c r="F884"/>
      <c r="G884"/>
      <c r="H884"/>
    </row>
    <row r="885" spans="1:8" ht="14.5" x14ac:dyDescent="0.35">
      <c r="A885"/>
      <c r="B885"/>
      <c r="C885"/>
      <c r="D885"/>
      <c r="E885"/>
      <c r="F885"/>
      <c r="G885"/>
      <c r="H885"/>
    </row>
    <row r="886" spans="1:8" ht="14.5" x14ac:dyDescent="0.35">
      <c r="A886"/>
      <c r="B886"/>
      <c r="C886"/>
      <c r="D886"/>
      <c r="E886"/>
      <c r="F886"/>
      <c r="G886"/>
      <c r="H886"/>
    </row>
    <row r="887" spans="1:8" ht="14.5" x14ac:dyDescent="0.35">
      <c r="A887"/>
      <c r="B887"/>
      <c r="C887"/>
      <c r="D887"/>
      <c r="E887"/>
      <c r="F887"/>
      <c r="G887"/>
      <c r="H887"/>
    </row>
    <row r="888" spans="1:8" ht="14.5" x14ac:dyDescent="0.35">
      <c r="A888"/>
      <c r="B888"/>
      <c r="C888"/>
      <c r="D888"/>
      <c r="E888"/>
      <c r="F888"/>
      <c r="G888"/>
      <c r="H888"/>
    </row>
    <row r="889" spans="1:8" ht="14.5" x14ac:dyDescent="0.35">
      <c r="A889"/>
      <c r="B889"/>
      <c r="C889"/>
      <c r="D889"/>
      <c r="E889"/>
      <c r="F889"/>
      <c r="G889"/>
      <c r="H889"/>
    </row>
    <row r="890" spans="1:8" ht="14.5" x14ac:dyDescent="0.35">
      <c r="A890"/>
      <c r="B890"/>
      <c r="C890"/>
      <c r="D890"/>
      <c r="E890"/>
      <c r="F890"/>
      <c r="G890"/>
      <c r="H890"/>
    </row>
    <row r="891" spans="1:8" ht="14.5" x14ac:dyDescent="0.35">
      <c r="A891"/>
      <c r="B891"/>
      <c r="C891"/>
      <c r="D891"/>
      <c r="E891"/>
      <c r="F891"/>
      <c r="G891"/>
      <c r="H891"/>
    </row>
    <row r="892" spans="1:8" ht="14.5" x14ac:dyDescent="0.35">
      <c r="A892"/>
      <c r="B892"/>
      <c r="C892"/>
      <c r="D892"/>
      <c r="E892"/>
      <c r="F892"/>
      <c r="G892"/>
      <c r="H892"/>
    </row>
    <row r="893" spans="1:8" ht="14.5" x14ac:dyDescent="0.35">
      <c r="A893"/>
      <c r="B893"/>
      <c r="C893"/>
      <c r="D893"/>
      <c r="E893"/>
      <c r="F893"/>
      <c r="G893"/>
      <c r="H893"/>
    </row>
    <row r="894" spans="1:8" ht="14.5" x14ac:dyDescent="0.35">
      <c r="A894"/>
      <c r="B894"/>
      <c r="C894"/>
      <c r="D894"/>
      <c r="E894"/>
      <c r="F894"/>
      <c r="G894"/>
      <c r="H894"/>
    </row>
    <row r="895" spans="1:8" ht="14.5" x14ac:dyDescent="0.35">
      <c r="A895"/>
      <c r="B895"/>
      <c r="C895"/>
      <c r="D895"/>
      <c r="E895"/>
      <c r="F895"/>
      <c r="G895"/>
      <c r="H895"/>
    </row>
    <row r="896" spans="1:8" ht="14.5" x14ac:dyDescent="0.35">
      <c r="A896"/>
      <c r="B896"/>
      <c r="C896"/>
      <c r="D896"/>
      <c r="E896"/>
      <c r="F896"/>
      <c r="G896"/>
      <c r="H896"/>
    </row>
    <row r="897" spans="1:8" ht="14.5" x14ac:dyDescent="0.35">
      <c r="A897"/>
      <c r="B897"/>
      <c r="C897"/>
      <c r="D897"/>
      <c r="E897"/>
      <c r="F897"/>
      <c r="G897"/>
      <c r="H897"/>
    </row>
    <row r="898" spans="1:8" ht="14.5" x14ac:dyDescent="0.35">
      <c r="A898"/>
      <c r="B898"/>
      <c r="C898"/>
      <c r="D898"/>
      <c r="E898"/>
      <c r="F898"/>
      <c r="G898"/>
      <c r="H898"/>
    </row>
    <row r="899" spans="1:8" ht="14.5" x14ac:dyDescent="0.35">
      <c r="A899"/>
      <c r="B899"/>
      <c r="C899"/>
      <c r="D899"/>
      <c r="E899"/>
      <c r="F899"/>
      <c r="G899"/>
      <c r="H899"/>
    </row>
    <row r="900" spans="1:8" ht="14.5" x14ac:dyDescent="0.35">
      <c r="A900"/>
      <c r="B900"/>
      <c r="C900"/>
      <c r="D900"/>
      <c r="E900"/>
      <c r="F900"/>
      <c r="G900"/>
      <c r="H900"/>
    </row>
    <row r="901" spans="1:8" ht="14.5" x14ac:dyDescent="0.35">
      <c r="A901"/>
      <c r="B901"/>
      <c r="C901"/>
      <c r="D901"/>
      <c r="E901"/>
      <c r="F901"/>
      <c r="G901"/>
      <c r="H901"/>
    </row>
    <row r="902" spans="1:8" ht="14.5" x14ac:dyDescent="0.35">
      <c r="A902"/>
      <c r="B902"/>
      <c r="C902"/>
      <c r="D902"/>
      <c r="E902"/>
      <c r="F902"/>
      <c r="G902"/>
      <c r="H902"/>
    </row>
    <row r="903" spans="1:8" ht="14.5" x14ac:dyDescent="0.35">
      <c r="A903"/>
      <c r="B903"/>
      <c r="C903"/>
      <c r="D903"/>
      <c r="E903"/>
      <c r="F903"/>
      <c r="G903"/>
      <c r="H903"/>
    </row>
    <row r="904" spans="1:8" ht="14.5" x14ac:dyDescent="0.35">
      <c r="A904"/>
      <c r="B904"/>
      <c r="C904"/>
      <c r="D904"/>
      <c r="E904"/>
      <c r="F904"/>
      <c r="G904"/>
      <c r="H904"/>
    </row>
    <row r="905" spans="1:8" ht="14.5" x14ac:dyDescent="0.35">
      <c r="A905"/>
      <c r="B905"/>
      <c r="C905"/>
      <c r="D905"/>
      <c r="E905"/>
      <c r="F905"/>
      <c r="G905"/>
      <c r="H905"/>
    </row>
    <row r="906" spans="1:8" ht="14.5" x14ac:dyDescent="0.35">
      <c r="A906"/>
      <c r="B906"/>
      <c r="C906"/>
      <c r="D906"/>
      <c r="E906"/>
      <c r="F906"/>
      <c r="G906"/>
      <c r="H906"/>
    </row>
    <row r="907" spans="1:8" ht="14.5" x14ac:dyDescent="0.35">
      <c r="A907"/>
      <c r="B907"/>
      <c r="C907"/>
      <c r="D907"/>
      <c r="E907"/>
      <c r="F907"/>
      <c r="G907"/>
      <c r="H907"/>
    </row>
    <row r="908" spans="1:8" ht="14.5" x14ac:dyDescent="0.35">
      <c r="A908"/>
      <c r="B908"/>
      <c r="C908"/>
      <c r="D908"/>
      <c r="E908"/>
      <c r="F908"/>
      <c r="G908"/>
      <c r="H908"/>
    </row>
    <row r="909" spans="1:8" ht="14.5" x14ac:dyDescent="0.35">
      <c r="A909"/>
      <c r="B909"/>
      <c r="C909"/>
      <c r="D909"/>
      <c r="E909"/>
      <c r="F909"/>
      <c r="G909"/>
      <c r="H909"/>
    </row>
    <row r="910" spans="1:8" ht="14.5" x14ac:dyDescent="0.35">
      <c r="A910"/>
      <c r="B910"/>
      <c r="C910"/>
      <c r="D910"/>
      <c r="E910"/>
      <c r="F910"/>
      <c r="G910"/>
      <c r="H910"/>
    </row>
    <row r="911" spans="1:8" ht="14.5" x14ac:dyDescent="0.35">
      <c r="A911"/>
      <c r="B911"/>
      <c r="C911"/>
      <c r="D911"/>
      <c r="E911"/>
      <c r="F911"/>
      <c r="G911"/>
      <c r="H911"/>
    </row>
    <row r="912" spans="1:8" ht="14.5" x14ac:dyDescent="0.35">
      <c r="A912"/>
      <c r="B912"/>
      <c r="C912"/>
      <c r="D912"/>
      <c r="E912"/>
      <c r="F912"/>
      <c r="G912"/>
      <c r="H912"/>
    </row>
    <row r="913" spans="1:8" ht="14.5" x14ac:dyDescent="0.35">
      <c r="A913"/>
      <c r="B913"/>
      <c r="C913"/>
      <c r="D913"/>
      <c r="E913"/>
      <c r="F913"/>
      <c r="G913"/>
      <c r="H913"/>
    </row>
    <row r="914" spans="1:8" ht="14.5" x14ac:dyDescent="0.35">
      <c r="A914"/>
      <c r="B914"/>
      <c r="C914"/>
      <c r="D914"/>
      <c r="E914"/>
      <c r="F914"/>
      <c r="G914"/>
      <c r="H914"/>
    </row>
    <row r="915" spans="1:8" ht="14.5" x14ac:dyDescent="0.35">
      <c r="A915"/>
      <c r="B915"/>
      <c r="C915"/>
      <c r="D915"/>
      <c r="E915"/>
      <c r="F915"/>
      <c r="G915"/>
      <c r="H915"/>
    </row>
    <row r="916" spans="1:8" ht="14.5" x14ac:dyDescent="0.35">
      <c r="A916"/>
      <c r="B916"/>
      <c r="C916"/>
      <c r="D916"/>
      <c r="E916"/>
      <c r="F916"/>
      <c r="G916"/>
      <c r="H916"/>
    </row>
    <row r="917" spans="1:8" ht="14.5" x14ac:dyDescent="0.35">
      <c r="A917"/>
      <c r="B917"/>
      <c r="C917"/>
      <c r="D917"/>
      <c r="E917"/>
      <c r="F917"/>
      <c r="G917"/>
      <c r="H917"/>
    </row>
    <row r="918" spans="1:8" ht="14.5" x14ac:dyDescent="0.35">
      <c r="A918"/>
      <c r="B918"/>
      <c r="C918"/>
      <c r="D918"/>
      <c r="E918"/>
      <c r="F918"/>
      <c r="G918"/>
      <c r="H918"/>
    </row>
    <row r="919" spans="1:8" ht="14.5" x14ac:dyDescent="0.35">
      <c r="A919"/>
      <c r="B919"/>
      <c r="C919"/>
      <c r="D919"/>
      <c r="E919"/>
      <c r="F919"/>
      <c r="G919"/>
      <c r="H919"/>
    </row>
    <row r="920" spans="1:8" ht="14.5" x14ac:dyDescent="0.35">
      <c r="A920"/>
      <c r="B920"/>
      <c r="C920"/>
      <c r="D920"/>
      <c r="E920"/>
      <c r="F920"/>
      <c r="G920"/>
      <c r="H920"/>
    </row>
    <row r="921" spans="1:8" ht="14.5" x14ac:dyDescent="0.35">
      <c r="A921"/>
      <c r="B921"/>
      <c r="C921"/>
      <c r="D921"/>
      <c r="E921"/>
      <c r="F921"/>
      <c r="G921"/>
      <c r="H921"/>
    </row>
    <row r="922" spans="1:8" ht="14.5" x14ac:dyDescent="0.35">
      <c r="A922"/>
      <c r="B922"/>
      <c r="C922"/>
      <c r="D922"/>
      <c r="E922"/>
      <c r="F922"/>
      <c r="G922"/>
      <c r="H922"/>
    </row>
    <row r="923" spans="1:8" ht="14.5" x14ac:dyDescent="0.35">
      <c r="A923"/>
      <c r="B923"/>
      <c r="C923"/>
      <c r="D923"/>
      <c r="E923"/>
      <c r="F923"/>
      <c r="G923"/>
      <c r="H923"/>
    </row>
    <row r="924" spans="1:8" ht="14.5" x14ac:dyDescent="0.35">
      <c r="A924"/>
      <c r="B924"/>
      <c r="C924"/>
      <c r="D924"/>
      <c r="E924"/>
      <c r="F924"/>
      <c r="G924"/>
      <c r="H924"/>
    </row>
    <row r="925" spans="1:8" ht="14.5" x14ac:dyDescent="0.35">
      <c r="A925"/>
      <c r="B925"/>
      <c r="C925"/>
      <c r="D925"/>
      <c r="E925"/>
      <c r="F925"/>
      <c r="G925"/>
      <c r="H925"/>
    </row>
    <row r="926" spans="1:8" ht="14.5" x14ac:dyDescent="0.35">
      <c r="A926"/>
      <c r="B926"/>
      <c r="C926"/>
      <c r="D926"/>
      <c r="E926"/>
      <c r="F926"/>
      <c r="G926"/>
      <c r="H926"/>
    </row>
    <row r="927" spans="1:8" ht="14.5" x14ac:dyDescent="0.35">
      <c r="A927"/>
      <c r="B927"/>
      <c r="C927"/>
      <c r="D927"/>
      <c r="E927"/>
      <c r="F927"/>
      <c r="G927"/>
      <c r="H927"/>
    </row>
    <row r="928" spans="1:8" ht="14.5" x14ac:dyDescent="0.35">
      <c r="A928"/>
      <c r="B928"/>
      <c r="C928"/>
      <c r="D928"/>
      <c r="E928"/>
      <c r="F928"/>
      <c r="G928"/>
      <c r="H928"/>
    </row>
    <row r="929" spans="1:8" ht="14.5" x14ac:dyDescent="0.35">
      <c r="A929"/>
      <c r="B929"/>
      <c r="C929"/>
      <c r="D929"/>
      <c r="E929"/>
      <c r="F929"/>
      <c r="G929"/>
      <c r="H929"/>
    </row>
    <row r="930" spans="1:8" ht="14.5" x14ac:dyDescent="0.35">
      <c r="A930"/>
      <c r="B930"/>
      <c r="C930"/>
      <c r="D930"/>
      <c r="E930"/>
      <c r="F930"/>
      <c r="G930"/>
      <c r="H930"/>
    </row>
    <row r="931" spans="1:8" ht="14.5" x14ac:dyDescent="0.35">
      <c r="A931"/>
      <c r="B931"/>
      <c r="C931"/>
      <c r="D931"/>
      <c r="E931"/>
      <c r="F931"/>
      <c r="G931"/>
      <c r="H931"/>
    </row>
    <row r="932" spans="1:8" ht="14.5" x14ac:dyDescent="0.35">
      <c r="A932"/>
      <c r="B932"/>
      <c r="C932"/>
      <c r="D932"/>
      <c r="E932"/>
      <c r="F932"/>
      <c r="G932"/>
      <c r="H932"/>
    </row>
    <row r="933" spans="1:8" ht="14.5" x14ac:dyDescent="0.35">
      <c r="A933"/>
      <c r="B933"/>
      <c r="C933"/>
      <c r="D933"/>
      <c r="E933"/>
      <c r="F933"/>
      <c r="G933"/>
      <c r="H933"/>
    </row>
    <row r="934" spans="1:8" ht="14.5" x14ac:dyDescent="0.35">
      <c r="A934"/>
      <c r="B934"/>
      <c r="C934"/>
      <c r="D934"/>
      <c r="E934"/>
      <c r="F934"/>
      <c r="G934"/>
      <c r="H934"/>
    </row>
    <row r="935" spans="1:8" ht="14.5" x14ac:dyDescent="0.35">
      <c r="A935"/>
      <c r="B935"/>
      <c r="C935"/>
      <c r="D935"/>
      <c r="E935"/>
      <c r="F935"/>
      <c r="G935"/>
      <c r="H935"/>
    </row>
    <row r="936" spans="1:8" ht="14.5" x14ac:dyDescent="0.35">
      <c r="A936"/>
      <c r="B936"/>
      <c r="C936"/>
      <c r="D936"/>
      <c r="E936"/>
      <c r="F936"/>
      <c r="G936"/>
      <c r="H936"/>
    </row>
    <row r="937" spans="1:8" ht="14.5" x14ac:dyDescent="0.35">
      <c r="A937"/>
      <c r="B937"/>
      <c r="C937"/>
      <c r="D937"/>
      <c r="E937"/>
      <c r="F937"/>
      <c r="G937"/>
      <c r="H937"/>
    </row>
    <row r="938" spans="1:8" ht="14.5" x14ac:dyDescent="0.35">
      <c r="A938"/>
      <c r="B938"/>
      <c r="C938"/>
      <c r="D938"/>
      <c r="E938"/>
      <c r="F938"/>
      <c r="G938"/>
      <c r="H938"/>
    </row>
    <row r="939" spans="1:8" ht="14.5" x14ac:dyDescent="0.35">
      <c r="A939"/>
      <c r="B939"/>
      <c r="C939"/>
      <c r="D939"/>
      <c r="E939"/>
      <c r="F939"/>
      <c r="G939"/>
      <c r="H939"/>
    </row>
    <row r="940" spans="1:8" ht="14.5" x14ac:dyDescent="0.35">
      <c r="A940"/>
      <c r="B940"/>
      <c r="C940"/>
      <c r="D940"/>
      <c r="E940"/>
      <c r="F940"/>
      <c r="G940"/>
      <c r="H940"/>
    </row>
    <row r="941" spans="1:8" ht="14.5" x14ac:dyDescent="0.35">
      <c r="A941"/>
      <c r="B941"/>
      <c r="C941"/>
      <c r="D941"/>
      <c r="E941"/>
      <c r="F941"/>
      <c r="G941"/>
      <c r="H941"/>
    </row>
    <row r="942" spans="1:8" ht="14.5" x14ac:dyDescent="0.35">
      <c r="A942"/>
      <c r="B942"/>
      <c r="C942"/>
      <c r="D942"/>
      <c r="E942"/>
      <c r="F942"/>
      <c r="G942"/>
      <c r="H942"/>
    </row>
    <row r="943" spans="1:8" ht="14.5" x14ac:dyDescent="0.35">
      <c r="A943"/>
      <c r="B943"/>
      <c r="C943"/>
      <c r="D943"/>
      <c r="E943"/>
      <c r="F943"/>
      <c r="G943"/>
      <c r="H943"/>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tnUpsertDvAllRpt">
              <controlPr defaultSize="0" print="0" autoFill="0" autoPict="0" macro="[0]!RunUpsertDvAllRptVrbse">
                <anchor>
                  <from>
                    <xdr:col>5</xdr:col>
                    <xdr:colOff>749300</xdr:colOff>
                    <xdr:row>0</xdr:row>
                    <xdr:rowOff>63500</xdr:rowOff>
                  </from>
                  <to>
                    <xdr:col>7</xdr:col>
                    <xdr:colOff>628650</xdr:colOff>
                    <xdr:row>1</xdr:row>
                    <xdr:rowOff>114300</xdr:rowOff>
                  </to>
                </anchor>
              </controlPr>
            </control>
          </mc:Choice>
        </mc:AlternateContent>
      </controls>
    </mc:Choice>
  </mc:AlternateContent>
  <tableParts count="1">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55E92-D041-4EF3-8565-9E2AE1B769E0}">
  <sheetPr codeName="SheetDvByForumlaRpt"/>
  <dimension ref="A1:D5"/>
  <sheetViews>
    <sheetView workbookViewId="0"/>
  </sheetViews>
  <sheetFormatPr defaultRowHeight="13" x14ac:dyDescent="0.3"/>
  <cols>
    <col min="1" max="1" width="10.81640625" style="88" bestFit="1" customWidth="1"/>
    <col min="2" max="2" width="4.90625" style="88" bestFit="1" customWidth="1"/>
    <col min="3" max="3" width="11.54296875" style="88" customWidth="1"/>
    <col min="4" max="4" width="146.1796875" style="88" bestFit="1" customWidth="1"/>
    <col min="5" max="16384" width="8.7265625" style="88"/>
  </cols>
  <sheetData>
    <row r="1" spans="1:4" ht="16" x14ac:dyDescent="0.4">
      <c r="A1" s="89" t="s">
        <v>311</v>
      </c>
    </row>
    <row r="3" spans="1:4" x14ac:dyDescent="0.3">
      <c r="A3" s="90" t="s">
        <v>98</v>
      </c>
      <c r="B3" s="90" t="s">
        <v>100</v>
      </c>
      <c r="C3" s="90" t="s">
        <v>312</v>
      </c>
      <c r="D3" s="90" t="s">
        <v>313</v>
      </c>
    </row>
    <row r="4" spans="1:4" x14ac:dyDescent="0.3">
      <c r="A4" s="91" t="s">
        <v>105</v>
      </c>
      <c r="B4" s="91" t="s">
        <v>107</v>
      </c>
      <c r="C4" s="88">
        <v>358</v>
      </c>
      <c r="D4" s="91" t="s">
        <v>314</v>
      </c>
    </row>
    <row r="5" spans="1:4" x14ac:dyDescent="0.3">
      <c r="A5" s="91" t="s">
        <v>208</v>
      </c>
      <c r="B5" s="91" t="s">
        <v>107</v>
      </c>
      <c r="C5" s="88">
        <v>158</v>
      </c>
      <c r="D5" s="91" t="s">
        <v>421</v>
      </c>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tnUpsertDvByFormulaRpt">
              <controlPr defaultSize="0" print="0" autoFill="0" autoPict="0" macro="[0]!UpsertDvByFormulaRpt">
                <anchor>
                  <from>
                    <xdr:col>3</xdr:col>
                    <xdr:colOff>2266950</xdr:colOff>
                    <xdr:row>0</xdr:row>
                    <xdr:rowOff>63500</xdr:rowOff>
                  </from>
                  <to>
                    <xdr:col>3</xdr:col>
                    <xdr:colOff>3282950</xdr:colOff>
                    <xdr:row>1</xdr:row>
                    <xdr:rowOff>114300</xdr:rowOff>
                  </to>
                </anchor>
              </controlPr>
            </control>
          </mc:Choice>
        </mc:AlternateContent>
      </controls>
    </mc:Choice>
  </mc:AlternateContent>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CB178A-FD05-4F51-8ADD-A19175984815}">
  <sheetPr codeName="SheetTblsWsRefsRpt"/>
  <dimension ref="A1:E17"/>
  <sheetViews>
    <sheetView workbookViewId="0"/>
  </sheetViews>
  <sheetFormatPr defaultRowHeight="13" x14ac:dyDescent="0.3"/>
  <cols>
    <col min="1" max="1" width="21.7265625" style="88" customWidth="1"/>
    <col min="2" max="2" width="24.453125" style="88" customWidth="1"/>
    <col min="3" max="3" width="16" style="88" customWidth="1"/>
    <col min="4" max="4" width="10.7265625" style="88" customWidth="1"/>
    <col min="5" max="5" width="12.26953125" style="88" customWidth="1"/>
    <col min="6" max="16384" width="8.7265625" style="88"/>
  </cols>
  <sheetData>
    <row r="1" spans="1:5" ht="16" x14ac:dyDescent="0.4">
      <c r="A1" s="89" t="s">
        <v>315</v>
      </c>
    </row>
    <row r="3" spans="1:5" x14ac:dyDescent="0.3">
      <c r="A3" s="90" t="s">
        <v>25</v>
      </c>
      <c r="B3" s="90" t="s">
        <v>316</v>
      </c>
      <c r="C3" s="90" t="s">
        <v>317</v>
      </c>
      <c r="D3" s="90" t="s">
        <v>318</v>
      </c>
      <c r="E3" s="90" t="s">
        <v>313</v>
      </c>
    </row>
    <row r="4" spans="1:5" x14ac:dyDescent="0.3">
      <c r="A4" s="91" t="s">
        <v>404</v>
      </c>
      <c r="B4" s="91" t="s">
        <v>405</v>
      </c>
      <c r="C4" s="91" t="s">
        <v>107</v>
      </c>
      <c r="D4" s="91" t="s">
        <v>322</v>
      </c>
      <c r="E4" s="91" t="s">
        <v>107</v>
      </c>
    </row>
    <row r="5" spans="1:5" x14ac:dyDescent="0.3">
      <c r="A5" s="91" t="s">
        <v>323</v>
      </c>
      <c r="B5" s="91" t="s">
        <v>324</v>
      </c>
      <c r="C5" s="91" t="s">
        <v>107</v>
      </c>
      <c r="D5" s="91" t="s">
        <v>320</v>
      </c>
      <c r="E5" s="91" t="s">
        <v>406</v>
      </c>
    </row>
    <row r="6" spans="1:5" x14ac:dyDescent="0.3">
      <c r="A6" s="91" t="s">
        <v>407</v>
      </c>
      <c r="B6" s="91" t="s">
        <v>325</v>
      </c>
      <c r="C6" s="91" t="s">
        <v>107</v>
      </c>
      <c r="D6" s="91" t="s">
        <v>322</v>
      </c>
      <c r="E6" s="91" t="s">
        <v>107</v>
      </c>
    </row>
    <row r="7" spans="1:5" x14ac:dyDescent="0.3">
      <c r="A7" s="91" t="s">
        <v>319</v>
      </c>
      <c r="B7" s="91" t="s">
        <v>408</v>
      </c>
      <c r="C7" s="91" t="s">
        <v>107</v>
      </c>
      <c r="D7" s="91" t="s">
        <v>320</v>
      </c>
      <c r="E7" s="91" t="s">
        <v>409</v>
      </c>
    </row>
    <row r="8" spans="1:5" x14ac:dyDescent="0.3">
      <c r="A8" s="91" t="s">
        <v>410</v>
      </c>
      <c r="B8" s="91" t="s">
        <v>321</v>
      </c>
      <c r="C8" s="91" t="s">
        <v>107</v>
      </c>
      <c r="D8" s="91" t="s">
        <v>322</v>
      </c>
      <c r="E8" s="91" t="s">
        <v>107</v>
      </c>
    </row>
    <row r="9" spans="1:5" x14ac:dyDescent="0.3">
      <c r="A9" s="91" t="s">
        <v>326</v>
      </c>
      <c r="B9" s="91" t="s">
        <v>411</v>
      </c>
      <c r="C9" s="91" t="s">
        <v>107</v>
      </c>
      <c r="D9" s="91" t="s">
        <v>320</v>
      </c>
      <c r="E9" s="91" t="s">
        <v>412</v>
      </c>
    </row>
    <row r="10" spans="1:5" x14ac:dyDescent="0.3">
      <c r="A10" s="91" t="s">
        <v>413</v>
      </c>
      <c r="B10" s="91" t="s">
        <v>327</v>
      </c>
      <c r="C10" s="91" t="s">
        <v>107</v>
      </c>
      <c r="D10" s="91" t="s">
        <v>322</v>
      </c>
      <c r="E10" s="91" t="s">
        <v>107</v>
      </c>
    </row>
    <row r="11" spans="1:5" x14ac:dyDescent="0.3">
      <c r="A11" s="91" t="s">
        <v>328</v>
      </c>
      <c r="B11" s="91" t="s">
        <v>414</v>
      </c>
      <c r="C11" s="91" t="s">
        <v>107</v>
      </c>
      <c r="D11" s="91" t="s">
        <v>320</v>
      </c>
      <c r="E11" s="91" t="s">
        <v>415</v>
      </c>
    </row>
    <row r="12" spans="1:5" x14ac:dyDescent="0.3">
      <c r="A12" s="91" t="s">
        <v>416</v>
      </c>
      <c r="B12" s="91" t="s">
        <v>329</v>
      </c>
      <c r="C12" s="91" t="s">
        <v>107</v>
      </c>
      <c r="D12" s="91" t="s">
        <v>322</v>
      </c>
      <c r="E12" s="91" t="s">
        <v>107</v>
      </c>
    </row>
    <row r="13" spans="1:5" x14ac:dyDescent="0.3">
      <c r="A13" s="91" t="s">
        <v>330</v>
      </c>
      <c r="B13" s="91" t="s">
        <v>417</v>
      </c>
      <c r="C13" s="91" t="s">
        <v>107</v>
      </c>
      <c r="D13" s="91" t="s">
        <v>320</v>
      </c>
      <c r="E13" s="91" t="s">
        <v>418</v>
      </c>
    </row>
    <row r="14" spans="1:5" x14ac:dyDescent="0.3">
      <c r="A14" s="91" t="s">
        <v>419</v>
      </c>
      <c r="B14" s="91" t="s">
        <v>331</v>
      </c>
      <c r="C14" s="91" t="s">
        <v>107</v>
      </c>
      <c r="D14" s="91" t="s">
        <v>322</v>
      </c>
      <c r="E14" s="91" t="s">
        <v>107</v>
      </c>
    </row>
    <row r="15" spans="1:5" x14ac:dyDescent="0.3">
      <c r="A15" s="91" t="s">
        <v>337</v>
      </c>
      <c r="B15" s="91" t="s">
        <v>420</v>
      </c>
      <c r="C15" s="91" t="s">
        <v>107</v>
      </c>
      <c r="D15" s="91" t="s">
        <v>322</v>
      </c>
      <c r="E15" s="91" t="s">
        <v>107</v>
      </c>
    </row>
    <row r="16" spans="1:5" x14ac:dyDescent="0.3">
      <c r="A16" s="91" t="s">
        <v>332</v>
      </c>
      <c r="B16" s="91" t="s">
        <v>333</v>
      </c>
      <c r="C16" s="91" t="s">
        <v>107</v>
      </c>
      <c r="D16" s="91" t="s">
        <v>320</v>
      </c>
      <c r="E16" s="91" t="s">
        <v>334</v>
      </c>
    </row>
    <row r="17" spans="1:5" x14ac:dyDescent="0.3">
      <c r="A17" s="91" t="s">
        <v>335</v>
      </c>
      <c r="B17" s="91" t="s">
        <v>336</v>
      </c>
      <c r="C17" s="91" t="s">
        <v>107</v>
      </c>
      <c r="D17" s="91" t="s">
        <v>322</v>
      </c>
      <c r="E17" s="91" t="s">
        <v>107</v>
      </c>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tnRunUpsrtTblsWsWsRptSlowVrbs">
              <controlPr defaultSize="0" print="0" autoFill="0" autoPict="0" macro="[0]!RunUpsrtTblsWsRptSlowVrbs">
                <anchor>
                  <from>
                    <xdr:col>2</xdr:col>
                    <xdr:colOff>1104900</xdr:colOff>
                    <xdr:row>0</xdr:row>
                    <xdr:rowOff>63500</xdr:rowOff>
                  </from>
                  <to>
                    <xdr:col>5</xdr:col>
                    <xdr:colOff>285750</xdr:colOff>
                    <xdr:row>1</xdr:row>
                    <xdr:rowOff>114300</xdr:rowOff>
                  </to>
                </anchor>
              </controlPr>
            </control>
          </mc:Choice>
        </mc:AlternateContent>
        <mc:AlternateContent xmlns:mc="http://schemas.openxmlformats.org/markup-compatibility/2006">
          <mc:Choice Requires="x14">
            <control shapeId="23554" r:id="rId4" name="btnRunUpsrtTblsWsWsRptFastVrbs">
              <controlPr defaultSize="0" print="0" autoFill="0" autoPict="0" macro="[0]!RunUpsrtTblsWsRptFastVrbs">
                <anchor>
                  <from>
                    <xdr:col>5</xdr:col>
                    <xdr:colOff>603250</xdr:colOff>
                    <xdr:row>0</xdr:row>
                    <xdr:rowOff>63500</xdr:rowOff>
                  </from>
                  <to>
                    <xdr:col>9</xdr:col>
                    <xdr:colOff>69850</xdr:colOff>
                    <xdr:row>1</xdr:row>
                    <xdr:rowOff>114300</xdr:rowOff>
                  </to>
                </anchor>
              </controlPr>
            </control>
          </mc:Choice>
        </mc:AlternateContent>
      </controls>
    </mc:Choice>
  </mc:AlternateContent>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E624D-9F76-44DA-B446-172CB3DC713A}">
  <sheetPr codeName="SheetDefNamesWsRefsRpt"/>
  <dimension ref="A1:H45"/>
  <sheetViews>
    <sheetView workbookViewId="0"/>
  </sheetViews>
  <sheetFormatPr defaultRowHeight="13" x14ac:dyDescent="0.3"/>
  <cols>
    <col min="1" max="1" width="34.36328125" style="88" customWidth="1"/>
    <col min="2" max="2" width="10.90625" style="88" customWidth="1"/>
    <col min="3" max="5" width="8.7265625" style="88"/>
    <col min="6" max="6" width="11.08984375" style="88" customWidth="1"/>
    <col min="7" max="7" width="9.453125" style="88" customWidth="1"/>
    <col min="8" max="8" width="12.26953125" style="88" customWidth="1"/>
    <col min="9" max="16384" width="8.7265625" style="88"/>
  </cols>
  <sheetData>
    <row r="1" spans="1:8" ht="16" x14ac:dyDescent="0.4">
      <c r="A1" s="89" t="s">
        <v>338</v>
      </c>
    </row>
    <row r="3" spans="1:8" x14ac:dyDescent="0.3">
      <c r="A3" s="90" t="s">
        <v>25</v>
      </c>
      <c r="B3" s="90" t="s">
        <v>339</v>
      </c>
      <c r="C3" s="90" t="s">
        <v>340</v>
      </c>
      <c r="D3" s="90" t="s">
        <v>81</v>
      </c>
      <c r="E3" s="90" t="s">
        <v>341</v>
      </c>
      <c r="F3" s="90" t="s">
        <v>317</v>
      </c>
      <c r="G3" s="90" t="s">
        <v>318</v>
      </c>
      <c r="H3" s="90" t="s">
        <v>313</v>
      </c>
    </row>
    <row r="4" spans="1:8" x14ac:dyDescent="0.3">
      <c r="A4" s="91" t="s">
        <v>379</v>
      </c>
      <c r="B4" s="91" t="s">
        <v>422</v>
      </c>
      <c r="C4" s="91" t="s">
        <v>342</v>
      </c>
      <c r="D4" s="91" t="s">
        <v>380</v>
      </c>
      <c r="E4" s="88" t="b">
        <v>1</v>
      </c>
      <c r="F4" s="91" t="s">
        <v>107</v>
      </c>
      <c r="G4" s="91" t="s">
        <v>322</v>
      </c>
      <c r="H4" s="91" t="s">
        <v>107</v>
      </c>
    </row>
    <row r="5" spans="1:8" x14ac:dyDescent="0.3">
      <c r="A5" s="91" t="s">
        <v>344</v>
      </c>
      <c r="B5" s="91" t="s">
        <v>345</v>
      </c>
      <c r="C5" s="91" t="s">
        <v>342</v>
      </c>
      <c r="D5" s="91" t="s">
        <v>80</v>
      </c>
      <c r="E5" s="88" t="b">
        <v>1</v>
      </c>
      <c r="F5" s="91" t="s">
        <v>107</v>
      </c>
      <c r="G5" s="91" t="s">
        <v>346</v>
      </c>
      <c r="H5" s="91" t="s">
        <v>423</v>
      </c>
    </row>
    <row r="6" spans="1:8" x14ac:dyDescent="0.3">
      <c r="A6" s="91" t="s">
        <v>347</v>
      </c>
      <c r="B6" s="91" t="s">
        <v>503</v>
      </c>
      <c r="C6" s="91" t="s">
        <v>342</v>
      </c>
      <c r="D6" s="91" t="s">
        <v>343</v>
      </c>
      <c r="E6" s="88" t="b">
        <v>1</v>
      </c>
      <c r="F6" s="91" t="s">
        <v>504</v>
      </c>
      <c r="G6" s="91" t="s">
        <v>320</v>
      </c>
      <c r="H6" s="91" t="s">
        <v>505</v>
      </c>
    </row>
    <row r="7" spans="1:8" x14ac:dyDescent="0.3">
      <c r="A7" s="91" t="s">
        <v>424</v>
      </c>
      <c r="B7" s="91" t="s">
        <v>425</v>
      </c>
      <c r="C7" s="91" t="s">
        <v>342</v>
      </c>
      <c r="D7" s="91" t="s">
        <v>343</v>
      </c>
      <c r="E7" s="88" t="b">
        <v>1</v>
      </c>
      <c r="F7" s="91" t="s">
        <v>426</v>
      </c>
      <c r="G7" s="91" t="s">
        <v>320</v>
      </c>
      <c r="H7" s="91" t="s">
        <v>427</v>
      </c>
    </row>
    <row r="8" spans="1:8" x14ac:dyDescent="0.3">
      <c r="A8" s="91" t="s">
        <v>428</v>
      </c>
      <c r="B8" s="91" t="s">
        <v>429</v>
      </c>
      <c r="C8" s="91" t="s">
        <v>342</v>
      </c>
      <c r="D8" s="91" t="s">
        <v>343</v>
      </c>
      <c r="E8" s="88" t="b">
        <v>1</v>
      </c>
      <c r="F8" s="91" t="s">
        <v>430</v>
      </c>
      <c r="G8" s="91" t="s">
        <v>320</v>
      </c>
      <c r="H8" s="91" t="s">
        <v>431</v>
      </c>
    </row>
    <row r="9" spans="1:8" x14ac:dyDescent="0.3">
      <c r="A9" s="91" t="s">
        <v>348</v>
      </c>
      <c r="B9" s="91" t="s">
        <v>349</v>
      </c>
      <c r="C9" s="91" t="s">
        <v>342</v>
      </c>
      <c r="D9" s="91" t="s">
        <v>343</v>
      </c>
      <c r="E9" s="88" t="b">
        <v>1</v>
      </c>
      <c r="F9" s="91" t="s">
        <v>350</v>
      </c>
      <c r="G9" s="91" t="s">
        <v>346</v>
      </c>
      <c r="H9" s="91" t="s">
        <v>432</v>
      </c>
    </row>
    <row r="10" spans="1:8" x14ac:dyDescent="0.3">
      <c r="A10" s="91" t="s">
        <v>433</v>
      </c>
      <c r="B10" s="91" t="s">
        <v>434</v>
      </c>
      <c r="C10" s="91" t="s">
        <v>342</v>
      </c>
      <c r="D10" s="91" t="s">
        <v>343</v>
      </c>
      <c r="E10" s="88" t="b">
        <v>1</v>
      </c>
      <c r="F10" s="91" t="s">
        <v>435</v>
      </c>
      <c r="G10" s="91" t="s">
        <v>322</v>
      </c>
      <c r="H10" s="91" t="s">
        <v>107</v>
      </c>
    </row>
    <row r="11" spans="1:8" x14ac:dyDescent="0.3">
      <c r="A11" s="91" t="s">
        <v>436</v>
      </c>
      <c r="B11" s="91" t="s">
        <v>437</v>
      </c>
      <c r="C11" s="91" t="s">
        <v>342</v>
      </c>
      <c r="D11" s="91" t="s">
        <v>343</v>
      </c>
      <c r="E11" s="88" t="b">
        <v>1</v>
      </c>
      <c r="F11" s="91" t="s">
        <v>438</v>
      </c>
      <c r="G11" s="91" t="s">
        <v>322</v>
      </c>
      <c r="H11" s="91" t="s">
        <v>107</v>
      </c>
    </row>
    <row r="12" spans="1:8" x14ac:dyDescent="0.3">
      <c r="A12" s="91" t="s">
        <v>439</v>
      </c>
      <c r="B12" s="91" t="s">
        <v>440</v>
      </c>
      <c r="C12" s="91" t="s">
        <v>342</v>
      </c>
      <c r="D12" s="91" t="s">
        <v>343</v>
      </c>
      <c r="E12" s="88" t="b">
        <v>1</v>
      </c>
      <c r="F12" s="91" t="s">
        <v>441</v>
      </c>
      <c r="G12" s="91" t="s">
        <v>322</v>
      </c>
      <c r="H12" s="91" t="s">
        <v>107</v>
      </c>
    </row>
    <row r="13" spans="1:8" x14ac:dyDescent="0.3">
      <c r="A13" s="91" t="s">
        <v>442</v>
      </c>
      <c r="B13" s="91" t="s">
        <v>443</v>
      </c>
      <c r="C13" s="91" t="s">
        <v>342</v>
      </c>
      <c r="D13" s="91" t="s">
        <v>343</v>
      </c>
      <c r="E13" s="88" t="b">
        <v>1</v>
      </c>
      <c r="F13" s="91" t="s">
        <v>444</v>
      </c>
      <c r="G13" s="91" t="s">
        <v>322</v>
      </c>
      <c r="H13" s="91" t="s">
        <v>107</v>
      </c>
    </row>
    <row r="14" spans="1:8" x14ac:dyDescent="0.3">
      <c r="A14" s="91" t="s">
        <v>445</v>
      </c>
      <c r="B14" s="91" t="s">
        <v>446</v>
      </c>
      <c r="C14" s="91" t="s">
        <v>342</v>
      </c>
      <c r="D14" s="91" t="s">
        <v>343</v>
      </c>
      <c r="E14" s="88" t="b">
        <v>1</v>
      </c>
      <c r="F14" s="91" t="s">
        <v>447</v>
      </c>
      <c r="G14" s="91" t="s">
        <v>322</v>
      </c>
      <c r="H14" s="91" t="s">
        <v>107</v>
      </c>
    </row>
    <row r="15" spans="1:8" x14ac:dyDescent="0.3">
      <c r="A15" s="91" t="s">
        <v>448</v>
      </c>
      <c r="B15" s="91" t="s">
        <v>449</v>
      </c>
      <c r="C15" s="91" t="s">
        <v>342</v>
      </c>
      <c r="D15" s="91" t="s">
        <v>343</v>
      </c>
      <c r="E15" s="88" t="b">
        <v>1</v>
      </c>
      <c r="F15" s="91" t="s">
        <v>450</v>
      </c>
      <c r="G15" s="91" t="s">
        <v>322</v>
      </c>
      <c r="H15" s="91" t="s">
        <v>107</v>
      </c>
    </row>
    <row r="16" spans="1:8" x14ac:dyDescent="0.3">
      <c r="A16" s="91" t="s">
        <v>451</v>
      </c>
      <c r="B16" s="91" t="s">
        <v>452</v>
      </c>
      <c r="C16" s="91" t="s">
        <v>342</v>
      </c>
      <c r="D16" s="91" t="s">
        <v>343</v>
      </c>
      <c r="E16" s="88" t="b">
        <v>1</v>
      </c>
      <c r="F16" s="91" t="s">
        <v>453</v>
      </c>
      <c r="G16" s="91" t="s">
        <v>322</v>
      </c>
      <c r="H16" s="91" t="s">
        <v>107</v>
      </c>
    </row>
    <row r="17" spans="1:8" x14ac:dyDescent="0.3">
      <c r="A17" s="91" t="s">
        <v>454</v>
      </c>
      <c r="B17" s="91" t="s">
        <v>455</v>
      </c>
      <c r="C17" s="91" t="s">
        <v>342</v>
      </c>
      <c r="D17" s="91" t="s">
        <v>343</v>
      </c>
      <c r="E17" s="88" t="b">
        <v>1</v>
      </c>
      <c r="F17" s="91" t="s">
        <v>456</v>
      </c>
      <c r="G17" s="91" t="s">
        <v>322</v>
      </c>
      <c r="H17" s="91" t="s">
        <v>107</v>
      </c>
    </row>
    <row r="18" spans="1:8" x14ac:dyDescent="0.3">
      <c r="A18" s="91" t="s">
        <v>457</v>
      </c>
      <c r="B18" s="91" t="s">
        <v>458</v>
      </c>
      <c r="C18" s="91" t="s">
        <v>342</v>
      </c>
      <c r="D18" s="91" t="s">
        <v>343</v>
      </c>
      <c r="E18" s="88" t="b">
        <v>1</v>
      </c>
      <c r="F18" s="91" t="s">
        <v>459</v>
      </c>
      <c r="G18" s="91" t="s">
        <v>322</v>
      </c>
      <c r="H18" s="91" t="s">
        <v>107</v>
      </c>
    </row>
    <row r="19" spans="1:8" x14ac:dyDescent="0.3">
      <c r="A19" s="91" t="s">
        <v>460</v>
      </c>
      <c r="B19" s="91" t="s">
        <v>461</v>
      </c>
      <c r="C19" s="91" t="s">
        <v>342</v>
      </c>
      <c r="D19" s="91" t="s">
        <v>343</v>
      </c>
      <c r="E19" s="88" t="b">
        <v>1</v>
      </c>
      <c r="F19" s="91" t="s">
        <v>462</v>
      </c>
      <c r="G19" s="91" t="s">
        <v>322</v>
      </c>
      <c r="H19" s="91" t="s">
        <v>107</v>
      </c>
    </row>
    <row r="20" spans="1:8" x14ac:dyDescent="0.3">
      <c r="A20" s="91" t="s">
        <v>463</v>
      </c>
      <c r="B20" s="91" t="s">
        <v>464</v>
      </c>
      <c r="C20" s="91" t="s">
        <v>342</v>
      </c>
      <c r="D20" s="91" t="s">
        <v>343</v>
      </c>
      <c r="E20" s="88" t="b">
        <v>1</v>
      </c>
      <c r="F20" s="91" t="s">
        <v>465</v>
      </c>
      <c r="G20" s="91" t="s">
        <v>322</v>
      </c>
      <c r="H20" s="91" t="s">
        <v>107</v>
      </c>
    </row>
    <row r="21" spans="1:8" x14ac:dyDescent="0.3">
      <c r="A21" s="91" t="s">
        <v>466</v>
      </c>
      <c r="B21" s="91" t="s">
        <v>467</v>
      </c>
      <c r="C21" s="91" t="s">
        <v>342</v>
      </c>
      <c r="D21" s="91" t="s">
        <v>343</v>
      </c>
      <c r="E21" s="88" t="b">
        <v>1</v>
      </c>
      <c r="F21" s="91" t="s">
        <v>468</v>
      </c>
      <c r="G21" s="91" t="s">
        <v>322</v>
      </c>
      <c r="H21" s="91" t="s">
        <v>107</v>
      </c>
    </row>
    <row r="22" spans="1:8" x14ac:dyDescent="0.3">
      <c r="A22" s="91" t="s">
        <v>469</v>
      </c>
      <c r="B22" s="91" t="s">
        <v>470</v>
      </c>
      <c r="C22" s="91" t="s">
        <v>342</v>
      </c>
      <c r="D22" s="91" t="s">
        <v>343</v>
      </c>
      <c r="E22" s="88" t="b">
        <v>1</v>
      </c>
      <c r="F22" s="91" t="s">
        <v>471</v>
      </c>
      <c r="G22" s="91" t="s">
        <v>320</v>
      </c>
      <c r="H22" s="91" t="s">
        <v>472</v>
      </c>
    </row>
    <row r="23" spans="1:8" x14ac:dyDescent="0.3">
      <c r="A23" s="91" t="s">
        <v>506</v>
      </c>
      <c r="B23" s="91" t="s">
        <v>507</v>
      </c>
      <c r="C23" s="91" t="s">
        <v>342</v>
      </c>
      <c r="D23" s="91" t="s">
        <v>343</v>
      </c>
      <c r="E23" s="88" t="b">
        <v>1</v>
      </c>
      <c r="F23" s="91" t="s">
        <v>508</v>
      </c>
      <c r="G23" s="91" t="s">
        <v>320</v>
      </c>
      <c r="H23" s="91" t="s">
        <v>356</v>
      </c>
    </row>
    <row r="24" spans="1:8" x14ac:dyDescent="0.3">
      <c r="A24" s="91" t="s">
        <v>473</v>
      </c>
      <c r="B24" s="91" t="s">
        <v>474</v>
      </c>
      <c r="C24" s="91" t="s">
        <v>342</v>
      </c>
      <c r="D24" s="91" t="s">
        <v>343</v>
      </c>
      <c r="E24" s="88" t="b">
        <v>1</v>
      </c>
      <c r="F24" s="91" t="s">
        <v>475</v>
      </c>
      <c r="G24" s="91" t="s">
        <v>322</v>
      </c>
      <c r="H24" s="91" t="s">
        <v>107</v>
      </c>
    </row>
    <row r="25" spans="1:8" x14ac:dyDescent="0.3">
      <c r="A25" s="91" t="s">
        <v>476</v>
      </c>
      <c r="B25" s="91" t="s">
        <v>477</v>
      </c>
      <c r="C25" s="91" t="s">
        <v>342</v>
      </c>
      <c r="D25" s="91" t="s">
        <v>343</v>
      </c>
      <c r="E25" s="88" t="b">
        <v>1</v>
      </c>
      <c r="F25" s="91" t="s">
        <v>478</v>
      </c>
      <c r="G25" s="91" t="s">
        <v>322</v>
      </c>
      <c r="H25" s="91" t="s">
        <v>107</v>
      </c>
    </row>
    <row r="26" spans="1:8" x14ac:dyDescent="0.3">
      <c r="A26" s="91" t="s">
        <v>479</v>
      </c>
      <c r="B26" s="91" t="s">
        <v>480</v>
      </c>
      <c r="C26" s="91" t="s">
        <v>342</v>
      </c>
      <c r="D26" s="91" t="s">
        <v>343</v>
      </c>
      <c r="E26" s="88" t="b">
        <v>1</v>
      </c>
      <c r="F26" s="91" t="s">
        <v>481</v>
      </c>
      <c r="G26" s="91" t="s">
        <v>320</v>
      </c>
      <c r="H26" s="91" t="s">
        <v>482</v>
      </c>
    </row>
    <row r="27" spans="1:8" x14ac:dyDescent="0.3">
      <c r="A27" s="91" t="s">
        <v>483</v>
      </c>
      <c r="B27" s="91" t="s">
        <v>484</v>
      </c>
      <c r="C27" s="91" t="s">
        <v>342</v>
      </c>
      <c r="D27" s="91" t="s">
        <v>343</v>
      </c>
      <c r="E27" s="88" t="b">
        <v>1</v>
      </c>
      <c r="F27" s="91" t="s">
        <v>485</v>
      </c>
      <c r="G27" s="91" t="s">
        <v>322</v>
      </c>
      <c r="H27" s="91" t="s">
        <v>107</v>
      </c>
    </row>
    <row r="28" spans="1:8" x14ac:dyDescent="0.3">
      <c r="A28" s="91" t="s">
        <v>486</v>
      </c>
      <c r="B28" s="91" t="s">
        <v>487</v>
      </c>
      <c r="C28" s="91" t="s">
        <v>342</v>
      </c>
      <c r="D28" s="91" t="s">
        <v>343</v>
      </c>
      <c r="E28" s="88" t="b">
        <v>1</v>
      </c>
      <c r="F28" s="91" t="s">
        <v>488</v>
      </c>
      <c r="G28" s="91" t="s">
        <v>322</v>
      </c>
      <c r="H28" s="91" t="s">
        <v>107</v>
      </c>
    </row>
    <row r="29" spans="1:8" x14ac:dyDescent="0.3">
      <c r="A29" s="91" t="s">
        <v>489</v>
      </c>
      <c r="B29" s="91" t="s">
        <v>490</v>
      </c>
      <c r="C29" s="91" t="s">
        <v>342</v>
      </c>
      <c r="D29" s="91" t="s">
        <v>343</v>
      </c>
      <c r="E29" s="88" t="b">
        <v>1</v>
      </c>
      <c r="F29" s="91" t="s">
        <v>491</v>
      </c>
      <c r="G29" s="91" t="s">
        <v>322</v>
      </c>
      <c r="H29" s="91" t="s">
        <v>107</v>
      </c>
    </row>
    <row r="30" spans="1:8" x14ac:dyDescent="0.3">
      <c r="A30" s="91" t="s">
        <v>351</v>
      </c>
      <c r="B30" s="91" t="s">
        <v>352</v>
      </c>
      <c r="C30" s="91" t="s">
        <v>342</v>
      </c>
      <c r="D30" s="91" t="s">
        <v>343</v>
      </c>
      <c r="E30" s="88" t="b">
        <v>1</v>
      </c>
      <c r="F30" s="91" t="s">
        <v>353</v>
      </c>
      <c r="G30" s="91" t="s">
        <v>320</v>
      </c>
      <c r="H30" s="91" t="s">
        <v>492</v>
      </c>
    </row>
    <row r="31" spans="1:8" x14ac:dyDescent="0.3">
      <c r="A31" s="91" t="s">
        <v>354</v>
      </c>
      <c r="B31" s="91" t="s">
        <v>493</v>
      </c>
      <c r="C31" s="91" t="s">
        <v>342</v>
      </c>
      <c r="D31" s="91" t="s">
        <v>343</v>
      </c>
      <c r="E31" s="88" t="b">
        <v>1</v>
      </c>
      <c r="F31" s="91" t="s">
        <v>355</v>
      </c>
      <c r="G31" s="91" t="s">
        <v>322</v>
      </c>
      <c r="H31" s="91" t="s">
        <v>107</v>
      </c>
    </row>
    <row r="32" spans="1:8" x14ac:dyDescent="0.3">
      <c r="A32" s="91" t="s">
        <v>509</v>
      </c>
      <c r="B32" s="91" t="s">
        <v>510</v>
      </c>
      <c r="C32" s="91" t="s">
        <v>342</v>
      </c>
      <c r="D32" s="91" t="s">
        <v>343</v>
      </c>
      <c r="E32" s="88" t="b">
        <v>1</v>
      </c>
      <c r="F32" s="91" t="s">
        <v>511</v>
      </c>
      <c r="G32" s="91" t="s">
        <v>322</v>
      </c>
      <c r="H32" s="91" t="s">
        <v>107</v>
      </c>
    </row>
    <row r="33" spans="1:8" x14ac:dyDescent="0.3">
      <c r="A33" s="91" t="s">
        <v>494</v>
      </c>
      <c r="B33" s="91" t="s">
        <v>495</v>
      </c>
      <c r="C33" s="91" t="s">
        <v>342</v>
      </c>
      <c r="D33" s="91" t="s">
        <v>343</v>
      </c>
      <c r="E33" s="88" t="b">
        <v>1</v>
      </c>
      <c r="F33" s="91" t="s">
        <v>496</v>
      </c>
      <c r="G33" s="91" t="s">
        <v>320</v>
      </c>
      <c r="H33" s="91" t="s">
        <v>497</v>
      </c>
    </row>
    <row r="34" spans="1:8" x14ac:dyDescent="0.3">
      <c r="A34" s="91" t="s">
        <v>105</v>
      </c>
      <c r="B34" s="91" t="s">
        <v>357</v>
      </c>
      <c r="C34" s="91" t="s">
        <v>342</v>
      </c>
      <c r="D34" s="91" t="s">
        <v>358</v>
      </c>
      <c r="E34" s="88" t="b">
        <v>1</v>
      </c>
      <c r="F34" s="91" t="s">
        <v>107</v>
      </c>
      <c r="G34" s="91" t="s">
        <v>322</v>
      </c>
      <c r="H34" s="91" t="s">
        <v>107</v>
      </c>
    </row>
    <row r="35" spans="1:8" x14ac:dyDescent="0.3">
      <c r="A35" s="91" t="s">
        <v>208</v>
      </c>
      <c r="B35" s="91" t="s">
        <v>359</v>
      </c>
      <c r="C35" s="91" t="s">
        <v>342</v>
      </c>
      <c r="D35" s="91" t="s">
        <v>360</v>
      </c>
      <c r="E35" s="88" t="b">
        <v>1</v>
      </c>
      <c r="F35" s="91" t="s">
        <v>107</v>
      </c>
      <c r="G35" s="91" t="s">
        <v>322</v>
      </c>
      <c r="H35" s="91" t="s">
        <v>107</v>
      </c>
    </row>
    <row r="36" spans="1:8" ht="14.5" x14ac:dyDescent="0.35">
      <c r="A36"/>
      <c r="B36"/>
      <c r="C36"/>
      <c r="D36"/>
      <c r="E36"/>
      <c r="F36"/>
      <c r="G36"/>
      <c r="H36"/>
    </row>
    <row r="37" spans="1:8" ht="14.5" x14ac:dyDescent="0.35">
      <c r="A37"/>
      <c r="B37"/>
      <c r="C37"/>
      <c r="D37"/>
      <c r="E37"/>
      <c r="F37"/>
      <c r="G37"/>
      <c r="H37"/>
    </row>
    <row r="38" spans="1:8" ht="14.5" x14ac:dyDescent="0.35">
      <c r="A38"/>
      <c r="B38"/>
      <c r="C38"/>
      <c r="D38"/>
      <c r="E38"/>
      <c r="F38"/>
      <c r="G38"/>
      <c r="H38"/>
    </row>
    <row r="39" spans="1:8" ht="14.5" x14ac:dyDescent="0.35">
      <c r="A39"/>
      <c r="B39"/>
      <c r="C39"/>
      <c r="D39"/>
      <c r="E39"/>
      <c r="F39"/>
      <c r="G39"/>
      <c r="H39"/>
    </row>
    <row r="40" spans="1:8" ht="14.5" x14ac:dyDescent="0.35">
      <c r="A40"/>
      <c r="B40"/>
      <c r="C40"/>
      <c r="D40"/>
      <c r="E40"/>
      <c r="F40"/>
      <c r="G40"/>
      <c r="H40"/>
    </row>
    <row r="41" spans="1:8" ht="14.5" x14ac:dyDescent="0.35">
      <c r="A41"/>
      <c r="B41"/>
      <c r="C41"/>
      <c r="D41"/>
      <c r="E41"/>
      <c r="F41"/>
      <c r="G41"/>
      <c r="H41"/>
    </row>
    <row r="42" spans="1:8" ht="14.5" x14ac:dyDescent="0.35">
      <c r="A42"/>
      <c r="B42"/>
      <c r="C42"/>
      <c r="D42"/>
      <c r="E42"/>
      <c r="F42"/>
      <c r="G42"/>
      <c r="H42"/>
    </row>
    <row r="43" spans="1:8" ht="14.5" x14ac:dyDescent="0.35">
      <c r="A43"/>
      <c r="B43"/>
      <c r="C43"/>
      <c r="D43"/>
      <c r="E43"/>
      <c r="F43"/>
      <c r="G43"/>
      <c r="H43"/>
    </row>
    <row r="44" spans="1:8" ht="14.5" x14ac:dyDescent="0.35">
      <c r="A44"/>
      <c r="B44"/>
      <c r="C44"/>
      <c r="D44"/>
      <c r="E44"/>
      <c r="F44"/>
      <c r="G44"/>
      <c r="H44"/>
    </row>
    <row r="45" spans="1:8" ht="14.5" x14ac:dyDescent="0.35">
      <c r="A45"/>
      <c r="B45"/>
      <c r="C45"/>
      <c r="D45"/>
      <c r="E45"/>
      <c r="F45"/>
      <c r="G45"/>
      <c r="H45"/>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tnRunUpsrtDfNmsWsRptSlowVrbs">
              <controlPr defaultSize="0" print="0" autoFill="0" autoPict="0" macro="[0]!RunUpsrtDfNmsWsRptSlowVrbs">
                <anchor>
                  <from>
                    <xdr:col>3</xdr:col>
                    <xdr:colOff>298450</xdr:colOff>
                    <xdr:row>0</xdr:row>
                    <xdr:rowOff>63500</xdr:rowOff>
                  </from>
                  <to>
                    <xdr:col>6</xdr:col>
                    <xdr:colOff>450850</xdr:colOff>
                    <xdr:row>1</xdr:row>
                    <xdr:rowOff>114300</xdr:rowOff>
                  </to>
                </anchor>
              </controlPr>
            </control>
          </mc:Choice>
        </mc:AlternateContent>
        <mc:AlternateContent xmlns:mc="http://schemas.openxmlformats.org/markup-compatibility/2006">
          <mc:Choice Requires="x14">
            <control shapeId="24578" r:id="rId4" name="btnRunUpsrtDfNmsWsRptFastVrbs">
              <controlPr defaultSize="0" print="0" autoFill="0" autoPict="0" macro="[0]!RunUpsrtDfNmsWsRptFastVrbs">
                <anchor>
                  <from>
                    <xdr:col>7</xdr:col>
                    <xdr:colOff>158750</xdr:colOff>
                    <xdr:row>0</xdr:row>
                    <xdr:rowOff>63500</xdr:rowOff>
                  </from>
                  <to>
                    <xdr:col>10</xdr:col>
                    <xdr:colOff>50800</xdr:colOff>
                    <xdr:row>1</xdr:row>
                    <xdr:rowOff>114300</xdr:rowOff>
                  </to>
                </anchor>
              </controlPr>
            </control>
          </mc:Choice>
        </mc:AlternateContent>
      </controls>
    </mc:Choice>
  </mc:AlternateContent>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F1E5E-69D3-4BA7-8DBF-608F9901EBFF}">
  <sheetPr codeName="SheetDefNamesAllRefs"/>
  <dimension ref="A1:J47"/>
  <sheetViews>
    <sheetView workbookViewId="0"/>
  </sheetViews>
  <sheetFormatPr defaultRowHeight="13" x14ac:dyDescent="0.3"/>
  <cols>
    <col min="1" max="1" width="41.08984375" style="88" customWidth="1"/>
    <col min="2" max="10" width="15.6328125" style="88" customWidth="1"/>
    <col min="11" max="16384" width="8.7265625" style="88"/>
  </cols>
  <sheetData>
    <row r="1" spans="1:10" ht="16" x14ac:dyDescent="0.4">
      <c r="A1" s="89" t="s">
        <v>361</v>
      </c>
    </row>
    <row r="3" spans="1:10" x14ac:dyDescent="0.3">
      <c r="B3" s="92" t="s">
        <v>362</v>
      </c>
      <c r="C3" s="92"/>
      <c r="D3" s="92"/>
      <c r="E3" s="92"/>
      <c r="F3" s="92"/>
      <c r="G3" s="92"/>
      <c r="H3" s="92"/>
      <c r="I3" s="92"/>
      <c r="J3" s="92"/>
    </row>
    <row r="4" spans="1:10" x14ac:dyDescent="0.3">
      <c r="B4" s="92" t="s">
        <v>363</v>
      </c>
      <c r="C4" s="92"/>
      <c r="D4" s="92" t="s">
        <v>364</v>
      </c>
      <c r="E4" s="92"/>
      <c r="F4" s="92" t="s">
        <v>365</v>
      </c>
      <c r="G4" s="92"/>
      <c r="H4" s="92" t="s">
        <v>366</v>
      </c>
      <c r="I4" s="92"/>
      <c r="J4" s="92" t="s">
        <v>367</v>
      </c>
    </row>
    <row r="5" spans="1:10" x14ac:dyDescent="0.3">
      <c r="A5" s="90" t="s">
        <v>25</v>
      </c>
      <c r="B5" s="90" t="s">
        <v>368</v>
      </c>
      <c r="C5" s="90" t="s">
        <v>369</v>
      </c>
      <c r="D5" s="90" t="s">
        <v>370</v>
      </c>
      <c r="E5" s="90" t="s">
        <v>371</v>
      </c>
      <c r="F5" s="90" t="s">
        <v>372</v>
      </c>
      <c r="G5" s="90" t="s">
        <v>373</v>
      </c>
      <c r="H5" s="90" t="s">
        <v>374</v>
      </c>
      <c r="I5" s="90" t="s">
        <v>375</v>
      </c>
      <c r="J5" s="90" t="s">
        <v>376</v>
      </c>
    </row>
    <row r="6" spans="1:10" x14ac:dyDescent="0.3">
      <c r="A6" s="91" t="s">
        <v>483</v>
      </c>
      <c r="B6" s="91" t="s">
        <v>322</v>
      </c>
      <c r="C6" s="91" t="s">
        <v>107</v>
      </c>
      <c r="D6" s="91" t="s">
        <v>322</v>
      </c>
      <c r="E6" s="91" t="s">
        <v>107</v>
      </c>
      <c r="F6" s="88">
        <v>0</v>
      </c>
      <c r="G6" s="91" t="s">
        <v>107</v>
      </c>
      <c r="H6" s="91" t="s">
        <v>322</v>
      </c>
      <c r="I6" s="91" t="s">
        <v>107</v>
      </c>
      <c r="J6" s="88" t="b">
        <v>0</v>
      </c>
    </row>
    <row r="7" spans="1:10" x14ac:dyDescent="0.3">
      <c r="A7" s="91" t="s">
        <v>379</v>
      </c>
      <c r="B7" s="91" t="s">
        <v>322</v>
      </c>
      <c r="C7" s="91" t="s">
        <v>107</v>
      </c>
      <c r="D7" s="91" t="s">
        <v>320</v>
      </c>
      <c r="E7" s="91" t="s">
        <v>498</v>
      </c>
      <c r="F7" s="88">
        <v>0</v>
      </c>
      <c r="G7" s="91" t="s">
        <v>107</v>
      </c>
      <c r="H7" s="91" t="s">
        <v>322</v>
      </c>
      <c r="I7" s="91" t="s">
        <v>107</v>
      </c>
      <c r="J7" s="88" t="b">
        <v>1</v>
      </c>
    </row>
    <row r="8" spans="1:10" x14ac:dyDescent="0.3">
      <c r="A8" s="91" t="s">
        <v>344</v>
      </c>
      <c r="B8" s="91" t="s">
        <v>346</v>
      </c>
      <c r="C8" s="91" t="s">
        <v>423</v>
      </c>
      <c r="D8" s="91" t="s">
        <v>322</v>
      </c>
      <c r="E8" s="91" t="s">
        <v>107</v>
      </c>
      <c r="F8" s="88">
        <v>0</v>
      </c>
      <c r="G8" s="91" t="s">
        <v>107</v>
      </c>
      <c r="H8" s="91" t="s">
        <v>322</v>
      </c>
      <c r="I8" s="91" t="s">
        <v>107</v>
      </c>
      <c r="J8" s="88" t="b">
        <v>1</v>
      </c>
    </row>
    <row r="9" spans="1:10" x14ac:dyDescent="0.3">
      <c r="A9" s="91" t="s">
        <v>347</v>
      </c>
      <c r="B9" s="91" t="s">
        <v>320</v>
      </c>
      <c r="C9" s="91" t="s">
        <v>505</v>
      </c>
      <c r="D9" s="91" t="s">
        <v>322</v>
      </c>
      <c r="E9" s="91" t="s">
        <v>107</v>
      </c>
      <c r="F9" s="88">
        <v>0</v>
      </c>
      <c r="G9" s="91" t="s">
        <v>107</v>
      </c>
      <c r="H9" s="91" t="s">
        <v>322</v>
      </c>
      <c r="I9" s="91" t="s">
        <v>107</v>
      </c>
      <c r="J9" s="88" t="b">
        <v>1</v>
      </c>
    </row>
    <row r="10" spans="1:10" x14ac:dyDescent="0.3">
      <c r="A10" s="91" t="s">
        <v>424</v>
      </c>
      <c r="B10" s="91" t="s">
        <v>320</v>
      </c>
      <c r="C10" s="91" t="s">
        <v>427</v>
      </c>
      <c r="D10" s="91" t="s">
        <v>322</v>
      </c>
      <c r="E10" s="91" t="s">
        <v>107</v>
      </c>
      <c r="F10" s="88">
        <v>0</v>
      </c>
      <c r="G10" s="91" t="s">
        <v>107</v>
      </c>
      <c r="H10" s="91" t="s">
        <v>322</v>
      </c>
      <c r="I10" s="91" t="s">
        <v>107</v>
      </c>
      <c r="J10" s="88" t="b">
        <v>1</v>
      </c>
    </row>
    <row r="11" spans="1:10" x14ac:dyDescent="0.3">
      <c r="A11" s="91" t="s">
        <v>428</v>
      </c>
      <c r="B11" s="91" t="s">
        <v>320</v>
      </c>
      <c r="C11" s="91" t="s">
        <v>431</v>
      </c>
      <c r="D11" s="91" t="s">
        <v>322</v>
      </c>
      <c r="E11" s="91" t="s">
        <v>107</v>
      </c>
      <c r="F11" s="88">
        <v>0</v>
      </c>
      <c r="G11" s="91" t="s">
        <v>107</v>
      </c>
      <c r="H11" s="91" t="s">
        <v>322</v>
      </c>
      <c r="I11" s="91" t="s">
        <v>107</v>
      </c>
      <c r="J11" s="88" t="b">
        <v>1</v>
      </c>
    </row>
    <row r="12" spans="1:10" x14ac:dyDescent="0.3">
      <c r="A12" s="91" t="s">
        <v>348</v>
      </c>
      <c r="B12" s="91" t="s">
        <v>346</v>
      </c>
      <c r="C12" s="91" t="s">
        <v>432</v>
      </c>
      <c r="D12" s="91" t="s">
        <v>322</v>
      </c>
      <c r="E12" s="91" t="s">
        <v>107</v>
      </c>
      <c r="F12" s="88">
        <v>0</v>
      </c>
      <c r="G12" s="91" t="s">
        <v>107</v>
      </c>
      <c r="H12" s="91" t="s">
        <v>322</v>
      </c>
      <c r="I12" s="91" t="s">
        <v>107</v>
      </c>
      <c r="J12" s="88" t="b">
        <v>1</v>
      </c>
    </row>
    <row r="13" spans="1:10" x14ac:dyDescent="0.3">
      <c r="A13" s="91" t="s">
        <v>433</v>
      </c>
      <c r="B13" s="91" t="s">
        <v>322</v>
      </c>
      <c r="C13" s="91" t="s">
        <v>107</v>
      </c>
      <c r="D13" s="91" t="s">
        <v>377</v>
      </c>
      <c r="E13" s="91" t="s">
        <v>499</v>
      </c>
      <c r="F13" s="88">
        <v>0</v>
      </c>
      <c r="G13" s="91" t="s">
        <v>107</v>
      </c>
      <c r="H13" s="91" t="s">
        <v>322</v>
      </c>
      <c r="I13" s="91" t="s">
        <v>107</v>
      </c>
      <c r="J13" s="88" t="b">
        <v>1</v>
      </c>
    </row>
    <row r="14" spans="1:10" x14ac:dyDescent="0.3">
      <c r="A14" s="91" t="s">
        <v>436</v>
      </c>
      <c r="B14" s="91" t="s">
        <v>322</v>
      </c>
      <c r="C14" s="91" t="s">
        <v>107</v>
      </c>
      <c r="D14" s="91" t="s">
        <v>377</v>
      </c>
      <c r="E14" s="91" t="s">
        <v>500</v>
      </c>
      <c r="F14" s="88">
        <v>0</v>
      </c>
      <c r="G14" s="91" t="s">
        <v>107</v>
      </c>
      <c r="H14" s="91" t="s">
        <v>322</v>
      </c>
      <c r="I14" s="91" t="s">
        <v>107</v>
      </c>
      <c r="J14" s="88" t="b">
        <v>1</v>
      </c>
    </row>
    <row r="15" spans="1:10" x14ac:dyDescent="0.3">
      <c r="A15" s="91" t="s">
        <v>439</v>
      </c>
      <c r="B15" s="91" t="s">
        <v>322</v>
      </c>
      <c r="C15" s="91" t="s">
        <v>107</v>
      </c>
      <c r="D15" s="91" t="s">
        <v>377</v>
      </c>
      <c r="E15" s="91" t="s">
        <v>499</v>
      </c>
      <c r="F15" s="88">
        <v>0</v>
      </c>
      <c r="G15" s="91" t="s">
        <v>107</v>
      </c>
      <c r="H15" s="91" t="s">
        <v>322</v>
      </c>
      <c r="I15" s="91" t="s">
        <v>107</v>
      </c>
      <c r="J15" s="88" t="b">
        <v>1</v>
      </c>
    </row>
    <row r="16" spans="1:10" x14ac:dyDescent="0.3">
      <c r="A16" s="91" t="s">
        <v>442</v>
      </c>
      <c r="B16" s="91" t="s">
        <v>322</v>
      </c>
      <c r="C16" s="91" t="s">
        <v>107</v>
      </c>
      <c r="D16" s="91" t="s">
        <v>377</v>
      </c>
      <c r="E16" s="91" t="s">
        <v>500</v>
      </c>
      <c r="F16" s="88">
        <v>0</v>
      </c>
      <c r="G16" s="91" t="s">
        <v>107</v>
      </c>
      <c r="H16" s="91" t="s">
        <v>322</v>
      </c>
      <c r="I16" s="91" t="s">
        <v>107</v>
      </c>
      <c r="J16" s="88" t="b">
        <v>1</v>
      </c>
    </row>
    <row r="17" spans="1:10" x14ac:dyDescent="0.3">
      <c r="A17" s="91" t="s">
        <v>445</v>
      </c>
      <c r="B17" s="91" t="s">
        <v>322</v>
      </c>
      <c r="C17" s="91" t="s">
        <v>107</v>
      </c>
      <c r="D17" s="91" t="s">
        <v>377</v>
      </c>
      <c r="E17" s="91" t="s">
        <v>499</v>
      </c>
      <c r="F17" s="88">
        <v>0</v>
      </c>
      <c r="G17" s="91" t="s">
        <v>107</v>
      </c>
      <c r="H17" s="91" t="s">
        <v>322</v>
      </c>
      <c r="I17" s="91" t="s">
        <v>107</v>
      </c>
      <c r="J17" s="88" t="b">
        <v>1</v>
      </c>
    </row>
    <row r="18" spans="1:10" x14ac:dyDescent="0.3">
      <c r="A18" s="91" t="s">
        <v>448</v>
      </c>
      <c r="B18" s="91" t="s">
        <v>322</v>
      </c>
      <c r="C18" s="91" t="s">
        <v>107</v>
      </c>
      <c r="D18" s="91" t="s">
        <v>377</v>
      </c>
      <c r="E18" s="91" t="s">
        <v>500</v>
      </c>
      <c r="F18" s="88">
        <v>0</v>
      </c>
      <c r="G18" s="91" t="s">
        <v>107</v>
      </c>
      <c r="H18" s="91" t="s">
        <v>322</v>
      </c>
      <c r="I18" s="91" t="s">
        <v>107</v>
      </c>
      <c r="J18" s="88" t="b">
        <v>1</v>
      </c>
    </row>
    <row r="19" spans="1:10" x14ac:dyDescent="0.3">
      <c r="A19" s="91" t="s">
        <v>451</v>
      </c>
      <c r="B19" s="91" t="s">
        <v>322</v>
      </c>
      <c r="C19" s="91" t="s">
        <v>107</v>
      </c>
      <c r="D19" s="91" t="s">
        <v>377</v>
      </c>
      <c r="E19" s="91" t="s">
        <v>499</v>
      </c>
      <c r="F19" s="88">
        <v>0</v>
      </c>
      <c r="G19" s="91" t="s">
        <v>107</v>
      </c>
      <c r="H19" s="91" t="s">
        <v>322</v>
      </c>
      <c r="I19" s="91" t="s">
        <v>107</v>
      </c>
      <c r="J19" s="88" t="b">
        <v>1</v>
      </c>
    </row>
    <row r="20" spans="1:10" x14ac:dyDescent="0.3">
      <c r="A20" s="91" t="s">
        <v>454</v>
      </c>
      <c r="B20" s="91" t="s">
        <v>322</v>
      </c>
      <c r="C20" s="91" t="s">
        <v>107</v>
      </c>
      <c r="D20" s="91" t="s">
        <v>377</v>
      </c>
      <c r="E20" s="91" t="s">
        <v>500</v>
      </c>
      <c r="F20" s="88">
        <v>0</v>
      </c>
      <c r="G20" s="91" t="s">
        <v>107</v>
      </c>
      <c r="H20" s="91" t="s">
        <v>322</v>
      </c>
      <c r="I20" s="91" t="s">
        <v>107</v>
      </c>
      <c r="J20" s="88" t="b">
        <v>1</v>
      </c>
    </row>
    <row r="21" spans="1:10" x14ac:dyDescent="0.3">
      <c r="A21" s="91" t="s">
        <v>457</v>
      </c>
      <c r="B21" s="91" t="s">
        <v>322</v>
      </c>
      <c r="C21" s="91" t="s">
        <v>107</v>
      </c>
      <c r="D21" s="91" t="s">
        <v>377</v>
      </c>
      <c r="E21" s="91" t="s">
        <v>499</v>
      </c>
      <c r="F21" s="88">
        <v>0</v>
      </c>
      <c r="G21" s="91" t="s">
        <v>107</v>
      </c>
      <c r="H21" s="91" t="s">
        <v>322</v>
      </c>
      <c r="I21" s="91" t="s">
        <v>107</v>
      </c>
      <c r="J21" s="88" t="b">
        <v>1</v>
      </c>
    </row>
    <row r="22" spans="1:10" x14ac:dyDescent="0.3">
      <c r="A22" s="91" t="s">
        <v>460</v>
      </c>
      <c r="B22" s="91" t="s">
        <v>322</v>
      </c>
      <c r="C22" s="91" t="s">
        <v>107</v>
      </c>
      <c r="D22" s="91" t="s">
        <v>377</v>
      </c>
      <c r="E22" s="91" t="s">
        <v>500</v>
      </c>
      <c r="F22" s="88">
        <v>0</v>
      </c>
      <c r="G22" s="91" t="s">
        <v>107</v>
      </c>
      <c r="H22" s="91" t="s">
        <v>322</v>
      </c>
      <c r="I22" s="91" t="s">
        <v>107</v>
      </c>
      <c r="J22" s="88" t="b">
        <v>1</v>
      </c>
    </row>
    <row r="23" spans="1:10" x14ac:dyDescent="0.3">
      <c r="A23" s="91" t="s">
        <v>463</v>
      </c>
      <c r="B23" s="91" t="s">
        <v>322</v>
      </c>
      <c r="C23" s="91" t="s">
        <v>107</v>
      </c>
      <c r="D23" s="91" t="s">
        <v>377</v>
      </c>
      <c r="E23" s="91" t="s">
        <v>499</v>
      </c>
      <c r="F23" s="88">
        <v>0</v>
      </c>
      <c r="G23" s="91" t="s">
        <v>107</v>
      </c>
      <c r="H23" s="91" t="s">
        <v>322</v>
      </c>
      <c r="I23" s="91" t="s">
        <v>107</v>
      </c>
      <c r="J23" s="88" t="b">
        <v>1</v>
      </c>
    </row>
    <row r="24" spans="1:10" x14ac:dyDescent="0.3">
      <c r="A24" s="91" t="s">
        <v>466</v>
      </c>
      <c r="B24" s="91" t="s">
        <v>322</v>
      </c>
      <c r="C24" s="91" t="s">
        <v>107</v>
      </c>
      <c r="D24" s="91" t="s">
        <v>377</v>
      </c>
      <c r="E24" s="91" t="s">
        <v>500</v>
      </c>
      <c r="F24" s="88">
        <v>0</v>
      </c>
      <c r="G24" s="91" t="s">
        <v>107</v>
      </c>
      <c r="H24" s="91" t="s">
        <v>322</v>
      </c>
      <c r="I24" s="91" t="s">
        <v>107</v>
      </c>
      <c r="J24" s="88" t="b">
        <v>1</v>
      </c>
    </row>
    <row r="25" spans="1:10" x14ac:dyDescent="0.3">
      <c r="A25" s="91" t="s">
        <v>469</v>
      </c>
      <c r="B25" s="91" t="s">
        <v>320</v>
      </c>
      <c r="C25" s="91" t="s">
        <v>472</v>
      </c>
      <c r="D25" s="91" t="s">
        <v>322</v>
      </c>
      <c r="E25" s="91" t="s">
        <v>107</v>
      </c>
      <c r="F25" s="88">
        <v>0</v>
      </c>
      <c r="G25" s="91" t="s">
        <v>107</v>
      </c>
      <c r="H25" s="91" t="s">
        <v>322</v>
      </c>
      <c r="I25" s="91" t="s">
        <v>107</v>
      </c>
      <c r="J25" s="88" t="b">
        <v>1</v>
      </c>
    </row>
    <row r="26" spans="1:10" x14ac:dyDescent="0.3">
      <c r="A26" s="91" t="s">
        <v>506</v>
      </c>
      <c r="B26" s="91" t="s">
        <v>320</v>
      </c>
      <c r="C26" s="91" t="s">
        <v>356</v>
      </c>
      <c r="D26" s="91" t="s">
        <v>322</v>
      </c>
      <c r="E26" s="91" t="s">
        <v>107</v>
      </c>
      <c r="F26" s="88">
        <v>0</v>
      </c>
      <c r="G26" s="91" t="s">
        <v>107</v>
      </c>
      <c r="H26" s="91" t="s">
        <v>322</v>
      </c>
      <c r="I26" s="91" t="s">
        <v>107</v>
      </c>
      <c r="J26" s="88" t="b">
        <v>1</v>
      </c>
    </row>
    <row r="27" spans="1:10" x14ac:dyDescent="0.3">
      <c r="A27" s="91" t="s">
        <v>473</v>
      </c>
      <c r="B27" s="91" t="s">
        <v>322</v>
      </c>
      <c r="C27" s="91" t="s">
        <v>107</v>
      </c>
      <c r="D27" s="91" t="s">
        <v>377</v>
      </c>
      <c r="E27" s="91" t="s">
        <v>501</v>
      </c>
      <c r="F27" s="88">
        <v>0</v>
      </c>
      <c r="G27" s="91" t="s">
        <v>107</v>
      </c>
      <c r="H27" s="91" t="s">
        <v>322</v>
      </c>
      <c r="I27" s="91" t="s">
        <v>107</v>
      </c>
      <c r="J27" s="88" t="b">
        <v>1</v>
      </c>
    </row>
    <row r="28" spans="1:10" x14ac:dyDescent="0.3">
      <c r="A28" s="91" t="s">
        <v>476</v>
      </c>
      <c r="B28" s="91" t="s">
        <v>322</v>
      </c>
      <c r="C28" s="91" t="s">
        <v>107</v>
      </c>
      <c r="D28" s="91" t="s">
        <v>377</v>
      </c>
      <c r="E28" s="91" t="s">
        <v>501</v>
      </c>
      <c r="F28" s="88">
        <v>0</v>
      </c>
      <c r="G28" s="91" t="s">
        <v>107</v>
      </c>
      <c r="H28" s="91" t="s">
        <v>322</v>
      </c>
      <c r="I28" s="91" t="s">
        <v>107</v>
      </c>
      <c r="J28" s="88" t="b">
        <v>1</v>
      </c>
    </row>
    <row r="29" spans="1:10" x14ac:dyDescent="0.3">
      <c r="A29" s="91" t="s">
        <v>479</v>
      </c>
      <c r="B29" s="91" t="s">
        <v>320</v>
      </c>
      <c r="C29" s="91" t="s">
        <v>482</v>
      </c>
      <c r="D29" s="91" t="s">
        <v>322</v>
      </c>
      <c r="E29" s="91" t="s">
        <v>107</v>
      </c>
      <c r="F29" s="88">
        <v>0</v>
      </c>
      <c r="G29" s="91" t="s">
        <v>107</v>
      </c>
      <c r="H29" s="91" t="s">
        <v>322</v>
      </c>
      <c r="I29" s="91" t="s">
        <v>107</v>
      </c>
      <c r="J29" s="88" t="b">
        <v>1</v>
      </c>
    </row>
    <row r="30" spans="1:10" x14ac:dyDescent="0.3">
      <c r="A30" s="91" t="s">
        <v>486</v>
      </c>
      <c r="B30" s="91" t="s">
        <v>322</v>
      </c>
      <c r="C30" s="91" t="s">
        <v>107</v>
      </c>
      <c r="D30" s="91" t="s">
        <v>377</v>
      </c>
      <c r="E30" s="91" t="s">
        <v>501</v>
      </c>
      <c r="F30" s="88">
        <v>0</v>
      </c>
      <c r="G30" s="91" t="s">
        <v>107</v>
      </c>
      <c r="H30" s="91" t="s">
        <v>322</v>
      </c>
      <c r="I30" s="91" t="s">
        <v>107</v>
      </c>
      <c r="J30" s="88" t="b">
        <v>1</v>
      </c>
    </row>
    <row r="31" spans="1:10" x14ac:dyDescent="0.3">
      <c r="A31" s="91" t="s">
        <v>489</v>
      </c>
      <c r="B31" s="91" t="s">
        <v>322</v>
      </c>
      <c r="C31" s="91" t="s">
        <v>107</v>
      </c>
      <c r="D31" s="91" t="s">
        <v>377</v>
      </c>
      <c r="E31" s="91" t="s">
        <v>501</v>
      </c>
      <c r="F31" s="88">
        <v>0</v>
      </c>
      <c r="G31" s="91" t="s">
        <v>107</v>
      </c>
      <c r="H31" s="91" t="s">
        <v>322</v>
      </c>
      <c r="I31" s="91" t="s">
        <v>107</v>
      </c>
      <c r="J31" s="88" t="b">
        <v>1</v>
      </c>
    </row>
    <row r="32" spans="1:10" x14ac:dyDescent="0.3">
      <c r="A32" s="91" t="s">
        <v>351</v>
      </c>
      <c r="B32" s="91" t="s">
        <v>320</v>
      </c>
      <c r="C32" s="91" t="s">
        <v>492</v>
      </c>
      <c r="D32" s="91" t="s">
        <v>322</v>
      </c>
      <c r="E32" s="91" t="s">
        <v>107</v>
      </c>
      <c r="F32" s="88">
        <v>0</v>
      </c>
      <c r="G32" s="91" t="s">
        <v>107</v>
      </c>
      <c r="H32" s="91" t="s">
        <v>322</v>
      </c>
      <c r="I32" s="91" t="s">
        <v>107</v>
      </c>
      <c r="J32" s="88" t="b">
        <v>1</v>
      </c>
    </row>
    <row r="33" spans="1:10" x14ac:dyDescent="0.3">
      <c r="A33" s="91" t="s">
        <v>354</v>
      </c>
      <c r="B33" s="91" t="s">
        <v>322</v>
      </c>
      <c r="C33" s="91" t="s">
        <v>107</v>
      </c>
      <c r="D33" s="91" t="s">
        <v>377</v>
      </c>
      <c r="E33" s="91" t="s">
        <v>512</v>
      </c>
      <c r="F33" s="88">
        <v>0</v>
      </c>
      <c r="G33" s="91" t="s">
        <v>107</v>
      </c>
      <c r="H33" s="91" t="s">
        <v>322</v>
      </c>
      <c r="I33" s="91" t="s">
        <v>107</v>
      </c>
      <c r="J33" s="88" t="b">
        <v>1</v>
      </c>
    </row>
    <row r="34" spans="1:10" x14ac:dyDescent="0.3">
      <c r="A34" s="91" t="s">
        <v>509</v>
      </c>
      <c r="B34" s="91" t="s">
        <v>322</v>
      </c>
      <c r="C34" s="91" t="s">
        <v>107</v>
      </c>
      <c r="D34" s="91" t="s">
        <v>377</v>
      </c>
      <c r="E34" s="91" t="s">
        <v>513</v>
      </c>
      <c r="F34" s="88">
        <v>0</v>
      </c>
      <c r="G34" s="91" t="s">
        <v>107</v>
      </c>
      <c r="H34" s="91" t="s">
        <v>322</v>
      </c>
      <c r="I34" s="91" t="s">
        <v>107</v>
      </c>
      <c r="J34" s="88" t="b">
        <v>1</v>
      </c>
    </row>
    <row r="35" spans="1:10" x14ac:dyDescent="0.3">
      <c r="A35" s="91" t="s">
        <v>494</v>
      </c>
      <c r="B35" s="91" t="s">
        <v>320</v>
      </c>
      <c r="C35" s="91" t="s">
        <v>497</v>
      </c>
      <c r="D35" s="91" t="s">
        <v>322</v>
      </c>
      <c r="E35" s="91" t="s">
        <v>107</v>
      </c>
      <c r="F35" s="88">
        <v>0</v>
      </c>
      <c r="G35" s="91" t="s">
        <v>107</v>
      </c>
      <c r="H35" s="91" t="s">
        <v>322</v>
      </c>
      <c r="I35" s="91" t="s">
        <v>107</v>
      </c>
      <c r="J35" s="88" t="b">
        <v>1</v>
      </c>
    </row>
    <row r="36" spans="1:10" x14ac:dyDescent="0.3">
      <c r="A36" s="91" t="s">
        <v>105</v>
      </c>
      <c r="B36" s="91" t="s">
        <v>322</v>
      </c>
      <c r="C36" s="91" t="s">
        <v>107</v>
      </c>
      <c r="D36" s="91" t="s">
        <v>322</v>
      </c>
      <c r="E36" s="91" t="s">
        <v>107</v>
      </c>
      <c r="F36" s="88">
        <v>358</v>
      </c>
      <c r="G36" s="91" t="s">
        <v>378</v>
      </c>
      <c r="H36" s="91" t="s">
        <v>322</v>
      </c>
      <c r="I36" s="91" t="s">
        <v>107</v>
      </c>
      <c r="J36" s="88" t="b">
        <v>1</v>
      </c>
    </row>
    <row r="37" spans="1:10" x14ac:dyDescent="0.3">
      <c r="A37" s="91" t="s">
        <v>208</v>
      </c>
      <c r="B37" s="91" t="s">
        <v>322</v>
      </c>
      <c r="C37" s="91" t="s">
        <v>107</v>
      </c>
      <c r="D37" s="91" t="s">
        <v>322</v>
      </c>
      <c r="E37" s="91" t="s">
        <v>107</v>
      </c>
      <c r="F37" s="88">
        <v>158</v>
      </c>
      <c r="G37" s="91" t="s">
        <v>502</v>
      </c>
      <c r="H37" s="91" t="s">
        <v>322</v>
      </c>
      <c r="I37" s="91" t="s">
        <v>107</v>
      </c>
      <c r="J37" s="88" t="b">
        <v>1</v>
      </c>
    </row>
    <row r="38" spans="1:10" ht="14.5" x14ac:dyDescent="0.35">
      <c r="A38"/>
      <c r="B38"/>
      <c r="C38"/>
      <c r="D38"/>
      <c r="E38"/>
      <c r="F38"/>
      <c r="G38"/>
      <c r="H38"/>
      <c r="I38"/>
      <c r="J38"/>
    </row>
    <row r="39" spans="1:10" ht="14.5" x14ac:dyDescent="0.35">
      <c r="A39"/>
      <c r="B39"/>
      <c r="C39"/>
      <c r="D39"/>
      <c r="E39"/>
      <c r="F39"/>
      <c r="G39"/>
      <c r="H39"/>
      <c r="I39"/>
      <c r="J39"/>
    </row>
    <row r="40" spans="1:10" ht="14.5" x14ac:dyDescent="0.35">
      <c r="A40"/>
      <c r="B40"/>
      <c r="C40"/>
      <c r="D40"/>
      <c r="E40"/>
      <c r="F40"/>
      <c r="G40"/>
      <c r="H40"/>
      <c r="I40"/>
      <c r="J40"/>
    </row>
    <row r="41" spans="1:10" ht="14.5" x14ac:dyDescent="0.35">
      <c r="A41"/>
      <c r="B41"/>
      <c r="C41"/>
      <c r="D41"/>
      <c r="E41"/>
      <c r="F41"/>
      <c r="G41"/>
      <c r="H41"/>
      <c r="I41"/>
      <c r="J41"/>
    </row>
    <row r="42" spans="1:10" ht="14.5" x14ac:dyDescent="0.35">
      <c r="A42"/>
      <c r="B42"/>
      <c r="C42"/>
      <c r="D42"/>
      <c r="E42"/>
      <c r="F42"/>
      <c r="G42"/>
      <c r="H42"/>
      <c r="I42"/>
      <c r="J42"/>
    </row>
    <row r="43" spans="1:10" ht="14.5" x14ac:dyDescent="0.35">
      <c r="A43"/>
      <c r="B43"/>
      <c r="C43"/>
      <c r="D43"/>
      <c r="E43"/>
      <c r="F43"/>
      <c r="G43"/>
      <c r="H43"/>
      <c r="I43"/>
      <c r="J43"/>
    </row>
    <row r="44" spans="1:10" ht="14.5" x14ac:dyDescent="0.35">
      <c r="A44"/>
      <c r="B44"/>
      <c r="C44"/>
      <c r="D44"/>
      <c r="E44"/>
      <c r="F44"/>
      <c r="G44"/>
      <c r="H44"/>
      <c r="I44"/>
      <c r="J44"/>
    </row>
    <row r="45" spans="1:10" ht="14.5" x14ac:dyDescent="0.35">
      <c r="A45"/>
      <c r="B45"/>
      <c r="C45"/>
      <c r="D45"/>
      <c r="E45"/>
      <c r="F45"/>
      <c r="G45"/>
      <c r="H45"/>
      <c r="I45"/>
      <c r="J45"/>
    </row>
    <row r="46" spans="1:10" ht="14.5" x14ac:dyDescent="0.35">
      <c r="A46"/>
      <c r="B46"/>
      <c r="C46"/>
      <c r="D46"/>
      <c r="E46"/>
      <c r="F46"/>
      <c r="G46"/>
      <c r="H46"/>
      <c r="I46"/>
      <c r="J46"/>
    </row>
    <row r="47" spans="1:10" ht="14.5" x14ac:dyDescent="0.35">
      <c r="A47"/>
      <c r="B47"/>
      <c r="C47"/>
      <c r="D47"/>
      <c r="E47"/>
      <c r="F47"/>
      <c r="G47"/>
      <c r="H47"/>
      <c r="I47"/>
      <c r="J47"/>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tnUpsrtDfNmsAllRfsRptSlow">
              <controlPr defaultSize="0" print="0" autoFill="0" autoPict="0" macro="[0]!RunUpsertDefNamesAllRptSlowVrbse">
                <anchor>
                  <from>
                    <xdr:col>1</xdr:col>
                    <xdr:colOff>939800</xdr:colOff>
                    <xdr:row>0</xdr:row>
                    <xdr:rowOff>63500</xdr:rowOff>
                  </from>
                  <to>
                    <xdr:col>4</xdr:col>
                    <xdr:colOff>203200</xdr:colOff>
                    <xdr:row>1</xdr:row>
                    <xdr:rowOff>114300</xdr:rowOff>
                  </to>
                </anchor>
              </controlPr>
            </control>
          </mc:Choice>
        </mc:AlternateContent>
        <mc:AlternateContent xmlns:mc="http://schemas.openxmlformats.org/markup-compatibility/2006">
          <mc:Choice Requires="x14">
            <control shapeId="25602" r:id="rId4" name="btnUpsrtDfNmsAllRfsRptFast">
              <controlPr defaultSize="0" print="0" autoFill="0" autoPict="0" macro="[0]!RunUpsertDefNamesAllRptFastVrbse">
                <anchor>
                  <from>
                    <xdr:col>4</xdr:col>
                    <xdr:colOff>520700</xdr:colOff>
                    <xdr:row>0</xdr:row>
                    <xdr:rowOff>63500</xdr:rowOff>
                  </from>
                  <to>
                    <xdr:col>6</xdr:col>
                    <xdr:colOff>876300</xdr:colOff>
                    <xdr:row>1</xdr:row>
                    <xdr:rowOff>114300</xdr:rowOff>
                  </to>
                </anchor>
              </controlPr>
            </control>
          </mc:Choice>
        </mc:AlternateContent>
      </controls>
    </mc:Choice>
  </mc:AlternateContent>
  <tableParts count="1">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D3857734-C871-4C18-952B-7D2A5E43EC60}">
  <ds:schemaRefs>
    <ds:schemaRef ds:uri="http://schemas.advancedformulaenvironment.officeapps.live.com/afejsonblob/1.0"/>
  </ds:schemaRefs>
</ds:datastoreItem>
</file>

<file path=customXml/itemProps2.xml><?xml version="1.0" encoding="utf-8"?>
<ds:datastoreItem xmlns:ds="http://schemas.openxmlformats.org/officeDocument/2006/customXml" ds:itemID="{E3DC28BF-B7A0-4A72-B281-0AB624BD73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4</vt:i4>
      </vt:variant>
    </vt:vector>
  </HeadingPairs>
  <TitlesOfParts>
    <vt:vector size="21" baseType="lpstr">
      <vt:lpstr>2022-2023</vt:lpstr>
      <vt:lpstr>2023-2024</vt:lpstr>
      <vt:lpstr>2024-2025</vt:lpstr>
      <vt:lpstr>2025-2026</vt:lpstr>
      <vt:lpstr>2026-2027</vt:lpstr>
      <vt:lpstr>2027-2028</vt:lpstr>
      <vt:lpstr>2028-2029</vt:lpstr>
      <vt:lpstr>2029-2030</vt:lpstr>
      <vt:lpstr>Resorts</vt:lpstr>
      <vt:lpstr>Skis</vt:lpstr>
      <vt:lpstr>Misc Values</vt:lpstr>
      <vt:lpstr>Exec Utils</vt:lpstr>
      <vt:lpstr>DV All Rpt</vt:lpstr>
      <vt:lpstr>DV by F Rpt</vt:lpstr>
      <vt:lpstr>Tables Ws Refs Rpt</vt:lpstr>
      <vt:lpstr>Def Names Ws Refs Rpt</vt:lpstr>
      <vt:lpstr>Def Names All Refs</vt:lpstr>
      <vt:lpstr>c_NOT_FOUND</vt:lpstr>
      <vt:lpstr>c_WORKBOOK_TITLE</vt:lpstr>
      <vt:lpstr>ResortNames</vt:lpstr>
      <vt:lpstr>SkiNames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Taylor</dc:creator>
  <cp:lastModifiedBy>Robert Taylor</cp:lastModifiedBy>
  <cp:lastPrinted>2023-02-25T11:34:57Z</cp:lastPrinted>
  <dcterms:created xsi:type="dcterms:W3CDTF">2023-02-25T11:00:34Z</dcterms:created>
  <dcterms:modified xsi:type="dcterms:W3CDTF">2026-09-19T14:06:01Z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9c30d4b0-c498-427c-842c-d2c2de469e14</vt:lpwstr>
  </property>
</Properties>
</file>